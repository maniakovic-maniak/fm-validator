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3.xml" ContentType="application/vnd.openxmlformats-officedocument.drawing+xml"/>
  <Override PartName="/xl/ctrlProps/ctrlProp27.xml" ContentType="application/vnd.ms-excel.controlproperties+xml"/>
  <Override PartName="/xl/drawings/drawing4.xml" ContentType="application/vnd.openxmlformats-officedocument.drawing+xml"/>
  <Override PartName="/xl/ctrlProps/ctrlProp28.xml" ContentType="application/vnd.ms-excel.controlpropertie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nika Lewenski\Courses\Chapter 1. Models and Analysis\A. Corporate Models Templates and Exercises\A. Featured Corporate Finance Models\"/>
    </mc:Choice>
  </mc:AlternateContent>
  <xr:revisionPtr revIDLastSave="0" documentId="13_ncr:1_{7DD811ED-C836-4FBA-B48D-049D9617F191}" xr6:coauthVersionLast="34" xr6:coauthVersionMax="34" xr10:uidLastSave="{00000000-0000-0000-0000-000000000000}"/>
  <bookViews>
    <workbookView xWindow="-20" yWindow="-20" windowWidth="24030" windowHeight="5060" activeTab="1" xr2:uid="{00000000-000D-0000-FFFF-FFFF00000000}"/>
  </bookViews>
  <sheets>
    <sheet name="Key Points About Model" sheetId="133" r:id="rId1"/>
    <sheet name="Summary" sheetId="169" r:id="rId2"/>
    <sheet name="Valuation" sheetId="168" r:id="rId3"/>
    <sheet name="Scenario analysis" sheetId="163" r:id="rId4"/>
    <sheet name="Historic Data from PDF" sheetId="171" r:id="rId5"/>
    <sheet name="Assumptions and Free Cash Flow" sheetId="80" r:id="rId6"/>
    <sheet name="Tornado Diagram" sheetId="174" r:id="rId7"/>
    <sheet name="LBO transaction assumption" sheetId="165" r:id="rId8"/>
    <sheet name="LBO" sheetId="166" r:id="rId9"/>
    <sheet name="Scatter" sheetId="170" r:id="rId10"/>
    <sheet name="Graphs" sheetId="172" r:id="rId11"/>
  </sheets>
  <functionGroups builtInGroupCount="19"/>
  <calcPr calcId="179021" calcMode="autoNoTable" iterate="1" calcOnSave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9" i="168" l="1"/>
  <c r="D10" i="168"/>
  <c r="D13" i="168"/>
  <c r="D19" i="168" l="1"/>
  <c r="D153" i="168" s="1"/>
  <c r="D18" i="168"/>
  <c r="D141" i="168" s="1"/>
  <c r="E117" i="168"/>
  <c r="I117" i="168" s="1"/>
  <c r="AZ117" i="168" l="1"/>
  <c r="AJ117" i="168"/>
  <c r="T117" i="168"/>
  <c r="AV117" i="168"/>
  <c r="AF117" i="168"/>
  <c r="P117" i="168"/>
  <c r="AR117" i="168"/>
  <c r="AB117" i="168"/>
  <c r="L117" i="168"/>
  <c r="F117" i="168"/>
  <c r="AN117" i="168"/>
  <c r="X117" i="168"/>
  <c r="H117" i="168"/>
  <c r="AX117" i="168"/>
  <c r="AP117" i="168"/>
  <c r="AH117" i="168"/>
  <c r="Z117" i="168"/>
  <c r="R117" i="168"/>
  <c r="J117" i="168"/>
  <c r="BB117" i="168"/>
  <c r="AT117" i="168"/>
  <c r="AL117" i="168"/>
  <c r="AD117" i="168"/>
  <c r="V117" i="168"/>
  <c r="N117" i="168"/>
  <c r="BC117" i="168"/>
  <c r="AY117" i="168"/>
  <c r="AU117" i="168"/>
  <c r="AQ117" i="168"/>
  <c r="AM117" i="168"/>
  <c r="AI117" i="168"/>
  <c r="AE117" i="168"/>
  <c r="AA117" i="168"/>
  <c r="W117" i="168"/>
  <c r="S117" i="168"/>
  <c r="O117" i="168"/>
  <c r="K117" i="168"/>
  <c r="G117" i="168"/>
  <c r="BA117" i="168"/>
  <c r="AW117" i="168"/>
  <c r="AS117" i="168"/>
  <c r="AO117" i="168"/>
  <c r="AK117" i="168"/>
  <c r="AG117" i="168"/>
  <c r="AC117" i="168"/>
  <c r="Y117" i="168"/>
  <c r="U117" i="168"/>
  <c r="Q117" i="168"/>
  <c r="M117" i="168"/>
  <c r="E111" i="168" l="1"/>
  <c r="L20" i="169"/>
  <c r="D20" i="168"/>
  <c r="L27" i="169" s="1"/>
  <c r="D17" i="168"/>
  <c r="D16" i="168"/>
  <c r="F112" i="168" s="1"/>
  <c r="D11" i="168"/>
  <c r="L26" i="169"/>
  <c r="J38" i="168"/>
  <c r="J40" i="168" s="1"/>
  <c r="K38" i="168"/>
  <c r="K40" i="168" s="1"/>
  <c r="L38" i="168"/>
  <c r="L40" i="168" s="1"/>
  <c r="I38" i="168"/>
  <c r="I40" i="168" s="1"/>
  <c r="D12" i="163" a="1"/>
  <c r="D12" i="163" s="1"/>
  <c r="G24" i="163"/>
  <c r="M12" i="169"/>
  <c r="N12" i="169"/>
  <c r="L12" i="169"/>
  <c r="I67" i="171"/>
  <c r="J67" i="171"/>
  <c r="K67" i="171"/>
  <c r="L67" i="171"/>
  <c r="M67" i="171"/>
  <c r="N67" i="171"/>
  <c r="O67" i="171"/>
  <c r="P67" i="171"/>
  <c r="Q67" i="171"/>
  <c r="R67" i="171"/>
  <c r="S67" i="171"/>
  <c r="T67" i="171"/>
  <c r="U67" i="171"/>
  <c r="V67" i="171"/>
  <c r="D103" i="168" s="1"/>
  <c r="H67" i="171"/>
  <c r="I66" i="171"/>
  <c r="J66" i="171"/>
  <c r="K66" i="171"/>
  <c r="H66" i="171"/>
  <c r="I64" i="171"/>
  <c r="J64" i="171"/>
  <c r="K64" i="171"/>
  <c r="L64" i="171"/>
  <c r="M64" i="171"/>
  <c r="N64" i="171"/>
  <c r="O64" i="171"/>
  <c r="P64" i="171"/>
  <c r="Q64" i="171"/>
  <c r="R64" i="171"/>
  <c r="S64" i="171"/>
  <c r="T64" i="171"/>
  <c r="U64" i="171"/>
  <c r="V64" i="171"/>
  <c r="D100" i="168" s="1"/>
  <c r="H64" i="171"/>
  <c r="J65" i="171"/>
  <c r="N65" i="171"/>
  <c r="R65" i="171"/>
  <c r="V65" i="171"/>
  <c r="D101" i="168" s="1"/>
  <c r="I63" i="171"/>
  <c r="J63" i="171"/>
  <c r="J68" i="171" s="1"/>
  <c r="J70" i="171" s="1"/>
  <c r="K63" i="171"/>
  <c r="H63" i="171"/>
  <c r="H68" i="171" s="1"/>
  <c r="I60" i="171"/>
  <c r="I65" i="171" s="1"/>
  <c r="J60" i="171"/>
  <c r="K60" i="171"/>
  <c r="K65" i="171" s="1"/>
  <c r="L60" i="171"/>
  <c r="L65" i="171" s="1"/>
  <c r="M60" i="171"/>
  <c r="M65" i="171" s="1"/>
  <c r="N60" i="171"/>
  <c r="O60" i="171"/>
  <c r="O65" i="171" s="1"/>
  <c r="P60" i="171"/>
  <c r="P65" i="171" s="1"/>
  <c r="Q60" i="171"/>
  <c r="Q65" i="171" s="1"/>
  <c r="R60" i="171"/>
  <c r="S60" i="171"/>
  <c r="S65" i="171" s="1"/>
  <c r="T60" i="171"/>
  <c r="T65" i="171" s="1"/>
  <c r="U60" i="171"/>
  <c r="U65" i="171" s="1"/>
  <c r="V60" i="171"/>
  <c r="H60" i="171"/>
  <c r="H65" i="171" s="1"/>
  <c r="I59" i="171"/>
  <c r="J59" i="171"/>
  <c r="K59" i="171"/>
  <c r="N59" i="171"/>
  <c r="H59" i="171"/>
  <c r="I58" i="171"/>
  <c r="I61" i="171" s="1"/>
  <c r="J58" i="171"/>
  <c r="J61" i="171" s="1"/>
  <c r="K58" i="171"/>
  <c r="K61" i="171" s="1"/>
  <c r="H58" i="171"/>
  <c r="H61" i="171" s="1"/>
  <c r="B5" i="172"/>
  <c r="B6" i="172"/>
  <c r="B7" i="172"/>
  <c r="B8" i="172"/>
  <c r="B9" i="172"/>
  <c r="B10" i="172"/>
  <c r="B11" i="172"/>
  <c r="B12" i="172"/>
  <c r="B13" i="172"/>
  <c r="B14" i="172"/>
  <c r="B15" i="172"/>
  <c r="B16" i="172"/>
  <c r="B17" i="172"/>
  <c r="B18" i="172"/>
  <c r="B19" i="172"/>
  <c r="B20" i="172"/>
  <c r="B21" i="172"/>
  <c r="B22" i="172"/>
  <c r="B23" i="172"/>
  <c r="B24" i="172"/>
  <c r="B25" i="172"/>
  <c r="B26" i="172"/>
  <c r="B27" i="172"/>
  <c r="B28" i="172"/>
  <c r="B29" i="172"/>
  <c r="B30" i="172"/>
  <c r="B31" i="172"/>
  <c r="B32" i="172"/>
  <c r="B33" i="172"/>
  <c r="B34" i="172"/>
  <c r="B35" i="172"/>
  <c r="B36" i="172"/>
  <c r="B37" i="172"/>
  <c r="B38" i="172"/>
  <c r="B39" i="172"/>
  <c r="B40" i="172"/>
  <c r="B41" i="172"/>
  <c r="B42" i="172"/>
  <c r="B43" i="172"/>
  <c r="B44" i="172"/>
  <c r="B45" i="172"/>
  <c r="B46" i="172"/>
  <c r="B47" i="172"/>
  <c r="B48" i="172"/>
  <c r="B49" i="172"/>
  <c r="B50" i="172"/>
  <c r="B51" i="172"/>
  <c r="B52" i="172"/>
  <c r="B53" i="172"/>
  <c r="B54" i="172"/>
  <c r="B55" i="172"/>
  <c r="B56" i="172"/>
  <c r="B57" i="172"/>
  <c r="B58" i="172"/>
  <c r="B59" i="172"/>
  <c r="B60" i="172"/>
  <c r="B61" i="172"/>
  <c r="B62" i="172"/>
  <c r="B63" i="172"/>
  <c r="B64" i="172"/>
  <c r="B65" i="172"/>
  <c r="B66" i="172"/>
  <c r="B67" i="172"/>
  <c r="B68" i="172"/>
  <c r="B69" i="172"/>
  <c r="B70" i="172"/>
  <c r="B71" i="172"/>
  <c r="B72" i="172"/>
  <c r="B73" i="172"/>
  <c r="B74" i="172"/>
  <c r="B75" i="172"/>
  <c r="B76" i="172"/>
  <c r="B77" i="172"/>
  <c r="B78" i="172"/>
  <c r="B79" i="172"/>
  <c r="B80" i="172"/>
  <c r="B81" i="172"/>
  <c r="B82" i="172"/>
  <c r="B83" i="172"/>
  <c r="B84" i="172"/>
  <c r="B85" i="172"/>
  <c r="B86" i="172"/>
  <c r="B87" i="172"/>
  <c r="B88" i="172"/>
  <c r="B89" i="172"/>
  <c r="B90" i="172"/>
  <c r="B91" i="172"/>
  <c r="B93" i="172"/>
  <c r="B94" i="172"/>
  <c r="B96" i="172"/>
  <c r="B97" i="172"/>
  <c r="B98" i="172"/>
  <c r="B99" i="172"/>
  <c r="B102" i="172"/>
  <c r="B103" i="172"/>
  <c r="B104" i="172"/>
  <c r="B105" i="172"/>
  <c r="B106" i="172"/>
  <c r="B107" i="172"/>
  <c r="B108" i="172"/>
  <c r="B109" i="172"/>
  <c r="B110" i="172"/>
  <c r="B111" i="172"/>
  <c r="B112" i="172"/>
  <c r="B113" i="172"/>
  <c r="B114" i="172"/>
  <c r="B115" i="172"/>
  <c r="B116" i="172"/>
  <c r="B117" i="172"/>
  <c r="B118" i="172"/>
  <c r="B119" i="172"/>
  <c r="B120" i="172"/>
  <c r="B121" i="172"/>
  <c r="B122" i="172"/>
  <c r="B123" i="172"/>
  <c r="B124" i="172"/>
  <c r="B125" i="172"/>
  <c r="B126" i="172"/>
  <c r="B127" i="172"/>
  <c r="B128" i="172"/>
  <c r="B129" i="172"/>
  <c r="B130" i="172"/>
  <c r="B131" i="172"/>
  <c r="B132" i="172"/>
  <c r="B133" i="172"/>
  <c r="B134" i="172"/>
  <c r="B135" i="172"/>
  <c r="B136" i="172"/>
  <c r="B137" i="172"/>
  <c r="B138" i="172"/>
  <c r="B139" i="172"/>
  <c r="B140" i="172"/>
  <c r="B141" i="172"/>
  <c r="B142" i="172"/>
  <c r="B143" i="172"/>
  <c r="B144" i="172"/>
  <c r="B145" i="172"/>
  <c r="B146" i="172"/>
  <c r="B147" i="172"/>
  <c r="B148" i="172"/>
  <c r="B149" i="172"/>
  <c r="B150" i="172"/>
  <c r="B151" i="172"/>
  <c r="B152" i="172"/>
  <c r="B153" i="172"/>
  <c r="B154" i="172"/>
  <c r="B155" i="172"/>
  <c r="B156" i="172"/>
  <c r="B157" i="172"/>
  <c r="B158" i="172"/>
  <c r="B159" i="172"/>
  <c r="B160" i="172"/>
  <c r="B161" i="172"/>
  <c r="B162" i="172"/>
  <c r="B163" i="172"/>
  <c r="B164" i="172"/>
  <c r="B165" i="172"/>
  <c r="B166" i="172"/>
  <c r="B167" i="172"/>
  <c r="B168" i="172"/>
  <c r="B169" i="172"/>
  <c r="B170" i="172"/>
  <c r="B171" i="172"/>
  <c r="B172" i="172"/>
  <c r="B173" i="172"/>
  <c r="B174" i="172"/>
  <c r="B175" i="172"/>
  <c r="B176" i="172"/>
  <c r="B177" i="172"/>
  <c r="B178" i="172"/>
  <c r="B179" i="172"/>
  <c r="B180" i="172"/>
  <c r="B181" i="172"/>
  <c r="B182" i="172"/>
  <c r="B183" i="172"/>
  <c r="B184" i="172"/>
  <c r="B185" i="172"/>
  <c r="B186" i="172"/>
  <c r="B187" i="172"/>
  <c r="B188" i="172"/>
  <c r="B189" i="172"/>
  <c r="B190" i="172"/>
  <c r="B191" i="172"/>
  <c r="B192" i="172"/>
  <c r="B193" i="172"/>
  <c r="B194" i="172"/>
  <c r="B195" i="172"/>
  <c r="B196" i="172"/>
  <c r="B197" i="172"/>
  <c r="B198" i="172"/>
  <c r="B199" i="172"/>
  <c r="B200" i="172"/>
  <c r="B201" i="172"/>
  <c r="B202" i="172"/>
  <c r="B203" i="172"/>
  <c r="B204" i="172"/>
  <c r="B205" i="172"/>
  <c r="B206" i="172"/>
  <c r="B207" i="172"/>
  <c r="B208" i="172"/>
  <c r="B209" i="172"/>
  <c r="B210" i="172"/>
  <c r="B211" i="172"/>
  <c r="B212" i="172"/>
  <c r="B213" i="172"/>
  <c r="B214" i="172"/>
  <c r="B215" i="172"/>
  <c r="B216" i="172"/>
  <c r="B217" i="172"/>
  <c r="B218" i="172"/>
  <c r="B219" i="172"/>
  <c r="B220" i="172"/>
  <c r="B221" i="172"/>
  <c r="B222" i="172"/>
  <c r="B223" i="172"/>
  <c r="B224" i="172"/>
  <c r="B225" i="172"/>
  <c r="B226" i="172"/>
  <c r="B227" i="172"/>
  <c r="B228" i="172"/>
  <c r="B229" i="172"/>
  <c r="B230" i="172"/>
  <c r="B4" i="172"/>
  <c r="K41" i="163"/>
  <c r="L41" i="163" s="1"/>
  <c r="M41" i="163" s="1"/>
  <c r="N41" i="163" s="1"/>
  <c r="O41" i="163" s="1"/>
  <c r="G34" i="163"/>
  <c r="H34" i="163"/>
  <c r="I34" i="163"/>
  <c r="J34" i="163"/>
  <c r="K34" i="163"/>
  <c r="L34" i="163"/>
  <c r="M34" i="163"/>
  <c r="N34" i="163"/>
  <c r="O34" i="163"/>
  <c r="F34" i="163"/>
  <c r="G37" i="163"/>
  <c r="H37" i="163" s="1"/>
  <c r="I10" i="80"/>
  <c r="J10" i="80"/>
  <c r="K10" i="80"/>
  <c r="L10" i="80"/>
  <c r="M10" i="80"/>
  <c r="N10" i="80"/>
  <c r="O10" i="80"/>
  <c r="P10" i="80"/>
  <c r="Q10" i="80"/>
  <c r="R10" i="80"/>
  <c r="S10" i="80"/>
  <c r="T10" i="80"/>
  <c r="U10" i="80"/>
  <c r="V10" i="80"/>
  <c r="W10" i="80"/>
  <c r="H10" i="80"/>
  <c r="J188" i="80"/>
  <c r="K188" i="80"/>
  <c r="L188" i="80"/>
  <c r="I188" i="80"/>
  <c r="I75" i="80"/>
  <c r="J75" i="80"/>
  <c r="K75" i="80"/>
  <c r="L75" i="80"/>
  <c r="M75" i="80"/>
  <c r="N75" i="80"/>
  <c r="O75" i="80"/>
  <c r="P75" i="80"/>
  <c r="Q75" i="80"/>
  <c r="R75" i="80"/>
  <c r="S75" i="80"/>
  <c r="T75" i="80"/>
  <c r="U75" i="80"/>
  <c r="V75" i="80"/>
  <c r="W75" i="80"/>
  <c r="L3" i="169" s="1"/>
  <c r="H75" i="80"/>
  <c r="I55" i="171"/>
  <c r="J55" i="171"/>
  <c r="K55" i="171"/>
  <c r="L55" i="171"/>
  <c r="M55" i="171"/>
  <c r="N55" i="171"/>
  <c r="O55" i="171"/>
  <c r="P55" i="171"/>
  <c r="Q55" i="171"/>
  <c r="R55" i="171"/>
  <c r="S55" i="171"/>
  <c r="T55" i="171"/>
  <c r="U55" i="171"/>
  <c r="V55" i="171"/>
  <c r="H55" i="171"/>
  <c r="X180" i="80"/>
  <c r="Y180" i="80"/>
  <c r="Z180" i="80"/>
  <c r="AA180" i="80"/>
  <c r="AB180" i="80"/>
  <c r="AC180" i="80"/>
  <c r="AD180" i="80"/>
  <c r="AE180" i="80"/>
  <c r="AF180" i="80"/>
  <c r="AG180" i="80"/>
  <c r="J179" i="80"/>
  <c r="K179" i="80"/>
  <c r="L179" i="80"/>
  <c r="X179" i="80"/>
  <c r="Y179" i="80"/>
  <c r="Z179" i="80"/>
  <c r="AA179" i="80"/>
  <c r="AB179" i="80"/>
  <c r="AC179" i="80"/>
  <c r="AD179" i="80"/>
  <c r="AE179" i="80"/>
  <c r="AF179" i="80"/>
  <c r="AG179" i="80"/>
  <c r="I179" i="80"/>
  <c r="J178" i="80"/>
  <c r="K178" i="80"/>
  <c r="L178" i="80"/>
  <c r="M178" i="80"/>
  <c r="N178" i="80"/>
  <c r="O178" i="80"/>
  <c r="P178" i="80"/>
  <c r="Q178" i="80"/>
  <c r="R178" i="80"/>
  <c r="S178" i="80"/>
  <c r="T178" i="80"/>
  <c r="U178" i="80"/>
  <c r="V178" i="80"/>
  <c r="W178" i="80"/>
  <c r="X178" i="80"/>
  <c r="Y178" i="80"/>
  <c r="Z178" i="80"/>
  <c r="AA178" i="80"/>
  <c r="AB178" i="80"/>
  <c r="AC178" i="80"/>
  <c r="AD178" i="80"/>
  <c r="AE178" i="80"/>
  <c r="AF178" i="80"/>
  <c r="AG178" i="80"/>
  <c r="I178" i="80"/>
  <c r="J177" i="80"/>
  <c r="K177" i="80"/>
  <c r="L177" i="80"/>
  <c r="M177" i="80"/>
  <c r="N177" i="80"/>
  <c r="O177" i="80"/>
  <c r="P177" i="80"/>
  <c r="Q177" i="80"/>
  <c r="R177" i="80"/>
  <c r="S177" i="80"/>
  <c r="T177" i="80"/>
  <c r="U177" i="80"/>
  <c r="V177" i="80"/>
  <c r="W177" i="80"/>
  <c r="X177" i="80"/>
  <c r="Y177" i="80"/>
  <c r="Z177" i="80"/>
  <c r="AA177" i="80"/>
  <c r="AB177" i="80"/>
  <c r="AC177" i="80"/>
  <c r="AD177" i="80"/>
  <c r="AE177" i="80"/>
  <c r="AF177" i="80"/>
  <c r="AG177" i="80"/>
  <c r="I177" i="80"/>
  <c r="J176" i="80"/>
  <c r="K176" i="80"/>
  <c r="L176" i="80"/>
  <c r="X176" i="80"/>
  <c r="Y176" i="80"/>
  <c r="Z176" i="80"/>
  <c r="AA176" i="80"/>
  <c r="AB176" i="80"/>
  <c r="AC176" i="80"/>
  <c r="AD176" i="80"/>
  <c r="AE176" i="80"/>
  <c r="AF176" i="80"/>
  <c r="AG176" i="80"/>
  <c r="I176" i="80"/>
  <c r="J174" i="80"/>
  <c r="K174" i="80"/>
  <c r="L174" i="80"/>
  <c r="M174" i="80"/>
  <c r="N174" i="80"/>
  <c r="O174" i="80"/>
  <c r="P174" i="80"/>
  <c r="Q174" i="80"/>
  <c r="R174" i="80"/>
  <c r="S174" i="80"/>
  <c r="T174" i="80"/>
  <c r="U174" i="80"/>
  <c r="V174" i="80"/>
  <c r="W174" i="80"/>
  <c r="X174" i="80"/>
  <c r="Y174" i="80"/>
  <c r="Z174" i="80"/>
  <c r="AA174" i="80"/>
  <c r="AB174" i="80"/>
  <c r="AC174" i="80"/>
  <c r="AD174" i="80"/>
  <c r="AE174" i="80"/>
  <c r="AF174" i="80"/>
  <c r="AG174" i="80"/>
  <c r="H70" i="171" l="1"/>
  <c r="K68" i="171"/>
  <c r="K70" i="171" s="1"/>
  <c r="I68" i="171"/>
  <c r="I70" i="171" s="1"/>
  <c r="L18" i="169"/>
  <c r="F123" i="168"/>
  <c r="D144" i="168"/>
  <c r="L25" i="169"/>
  <c r="D143" i="168"/>
  <c r="L24" i="169"/>
  <c r="L19" i="169"/>
  <c r="E110" i="168"/>
  <c r="D142" i="168" s="1"/>
  <c r="D15" i="163"/>
  <c r="D14" i="163"/>
  <c r="D13" i="163"/>
  <c r="D16" i="163"/>
  <c r="D147" i="168"/>
  <c r="G123" i="168" l="1"/>
  <c r="H123" i="168" s="1"/>
  <c r="I123" i="168" s="1"/>
  <c r="J123" i="168" s="1"/>
  <c r="K123" i="168" s="1"/>
  <c r="L123" i="168" s="1"/>
  <c r="M123" i="168" s="1"/>
  <c r="N123" i="168" s="1"/>
  <c r="O123" i="168" s="1"/>
  <c r="P123" i="168" s="1"/>
  <c r="Q123" i="168" s="1"/>
  <c r="R123" i="168" s="1"/>
  <c r="S123" i="168" s="1"/>
  <c r="T123" i="168" s="1"/>
  <c r="U123" i="168" s="1"/>
  <c r="V123" i="168" s="1"/>
  <c r="W123" i="168" s="1"/>
  <c r="X123" i="168" s="1"/>
  <c r="Y123" i="168" s="1"/>
  <c r="Z123" i="168" s="1"/>
  <c r="AA123" i="168" s="1"/>
  <c r="AB123" i="168" s="1"/>
  <c r="AC123" i="168" s="1"/>
  <c r="AD123" i="168" s="1"/>
  <c r="AE123" i="168" s="1"/>
  <c r="AF123" i="168" s="1"/>
  <c r="AG123" i="168" s="1"/>
  <c r="AH123" i="168" s="1"/>
  <c r="AI123" i="168" s="1"/>
  <c r="AJ123" i="168" s="1"/>
  <c r="AK123" i="168" s="1"/>
  <c r="AL123" i="168" s="1"/>
  <c r="AM123" i="168" s="1"/>
  <c r="AN123" i="168" s="1"/>
  <c r="AO123" i="168" s="1"/>
  <c r="AP123" i="168" s="1"/>
  <c r="AQ123" i="168" s="1"/>
  <c r="AR123" i="168" s="1"/>
  <c r="AS123" i="168" s="1"/>
  <c r="AT123" i="168" s="1"/>
  <c r="AU123" i="168" s="1"/>
  <c r="AV123" i="168" s="1"/>
  <c r="AW123" i="168" s="1"/>
  <c r="AX123" i="168" s="1"/>
  <c r="AY123" i="168" s="1"/>
  <c r="AZ123" i="168" s="1"/>
  <c r="BA123" i="168" s="1"/>
  <c r="BB123" i="168" s="1"/>
  <c r="BC123" i="168" s="1"/>
  <c r="D154" i="168"/>
  <c r="I174" i="80"/>
  <c r="D126" i="168" l="1"/>
  <c r="D43" i="168"/>
  <c r="M54" i="171"/>
  <c r="N180" i="80" s="1"/>
  <c r="N54" i="171"/>
  <c r="O180" i="80" s="1"/>
  <c r="O54" i="171"/>
  <c r="P180" i="80" s="1"/>
  <c r="P54" i="171"/>
  <c r="Q180" i="80" s="1"/>
  <c r="Q54" i="171"/>
  <c r="R180" i="80" s="1"/>
  <c r="R54" i="171"/>
  <c r="S180" i="80" s="1"/>
  <c r="S54" i="171"/>
  <c r="T180" i="80" s="1"/>
  <c r="T54" i="171"/>
  <c r="U180" i="80" s="1"/>
  <c r="U54" i="171"/>
  <c r="V180" i="80" s="1"/>
  <c r="V54" i="171"/>
  <c r="W180" i="80" s="1"/>
  <c r="I54" i="171"/>
  <c r="J180" i="80" s="1"/>
  <c r="J54" i="171"/>
  <c r="K180" i="80" s="1"/>
  <c r="K54" i="171"/>
  <c r="L180" i="80" s="1"/>
  <c r="L54" i="171"/>
  <c r="M180" i="80" s="1"/>
  <c r="H54" i="171"/>
  <c r="I180" i="80" s="1"/>
  <c r="W49" i="171"/>
  <c r="W50" i="171" s="1"/>
  <c r="W48" i="171"/>
  <c r="AA10" i="172" l="1"/>
  <c r="AA18" i="172" s="1"/>
  <c r="AB10" i="172"/>
  <c r="AB18" i="172" s="1"/>
  <c r="AC10" i="172"/>
  <c r="AC18" i="172" s="1"/>
  <c r="W10" i="172"/>
  <c r="W18" i="172" s="1"/>
  <c r="X10" i="172"/>
  <c r="X18" i="172" s="1"/>
  <c r="Y10" i="172"/>
  <c r="Y18" i="172" s="1"/>
  <c r="Z10" i="172"/>
  <c r="Z18" i="172" s="1"/>
  <c r="J10" i="172"/>
  <c r="J18" i="172" s="1"/>
  <c r="K10" i="172"/>
  <c r="K18" i="172" s="1"/>
  <c r="L10" i="172"/>
  <c r="L18" i="172" s="1"/>
  <c r="M10" i="172"/>
  <c r="M18" i="172" s="1"/>
  <c r="N10" i="172"/>
  <c r="N18" i="172" s="1"/>
  <c r="O10" i="172"/>
  <c r="O18" i="172" s="1"/>
  <c r="P10" i="172"/>
  <c r="P18" i="172" s="1"/>
  <c r="Q10" i="172"/>
  <c r="Q18" i="172" s="1"/>
  <c r="R10" i="172"/>
  <c r="R18" i="172" s="1"/>
  <c r="S10" i="172"/>
  <c r="S18" i="172" s="1"/>
  <c r="T10" i="172"/>
  <c r="T18" i="172" s="1"/>
  <c r="U10" i="172"/>
  <c r="U18" i="172" s="1"/>
  <c r="V10" i="172"/>
  <c r="V18" i="172" s="1"/>
  <c r="I10" i="172"/>
  <c r="I18" i="172" s="1"/>
  <c r="T13" i="172" l="1"/>
  <c r="T11" i="172"/>
  <c r="T14" i="172" s="1"/>
  <c r="P13" i="172"/>
  <c r="P11" i="172"/>
  <c r="P15" i="172" s="1"/>
  <c r="Y13" i="172"/>
  <c r="Y11" i="172"/>
  <c r="Y14" i="172" s="1"/>
  <c r="I11" i="172"/>
  <c r="I15" i="172" s="1"/>
  <c r="I13" i="172"/>
  <c r="S11" i="172"/>
  <c r="S15" i="172" s="1"/>
  <c r="S13" i="172"/>
  <c r="O13" i="172"/>
  <c r="O11" i="172"/>
  <c r="O15" i="172" s="1"/>
  <c r="K11" i="172"/>
  <c r="K15" i="172" s="1"/>
  <c r="K13" i="172"/>
  <c r="X13" i="172"/>
  <c r="X11" i="172"/>
  <c r="X14" i="172" s="1"/>
  <c r="V11" i="172"/>
  <c r="V14" i="172" s="1"/>
  <c r="V13" i="172"/>
  <c r="R11" i="172"/>
  <c r="R15" i="172" s="1"/>
  <c r="R13" i="172"/>
  <c r="N11" i="172"/>
  <c r="N15" i="172" s="1"/>
  <c r="N13" i="172"/>
  <c r="J11" i="172"/>
  <c r="J15" i="172" s="1"/>
  <c r="J13" i="172"/>
  <c r="W11" i="172"/>
  <c r="W14" i="172" s="1"/>
  <c r="W13" i="172"/>
  <c r="U13" i="172"/>
  <c r="U11" i="172"/>
  <c r="U14" i="172" s="1"/>
  <c r="Q11" i="172"/>
  <c r="Q15" i="172" s="1"/>
  <c r="Q13" i="172"/>
  <c r="M13" i="172"/>
  <c r="M11" i="172"/>
  <c r="M15" i="172" s="1"/>
  <c r="Z11" i="172"/>
  <c r="Z14" i="172" s="1"/>
  <c r="Z13" i="172"/>
  <c r="AC11" i="172"/>
  <c r="AC14" i="172" s="1"/>
  <c r="AC13" i="172"/>
  <c r="L13" i="172"/>
  <c r="L11" i="172"/>
  <c r="L15" i="172" s="1"/>
  <c r="AB13" i="172"/>
  <c r="AB11" i="172"/>
  <c r="AB14" i="172" s="1"/>
  <c r="AA11" i="172"/>
  <c r="AA14" i="172" s="1"/>
  <c r="AA13" i="172"/>
  <c r="AF4" i="171" l="1"/>
  <c r="AE4" i="171"/>
  <c r="AD4" i="171"/>
  <c r="AC4" i="171"/>
  <c r="AB4" i="171"/>
  <c r="AA4" i="171"/>
  <c r="Z4" i="171"/>
  <c r="Y4" i="171"/>
  <c r="X4" i="171"/>
  <c r="W4" i="171"/>
  <c r="V4" i="171"/>
  <c r="U4" i="171"/>
  <c r="T4" i="171"/>
  <c r="S4" i="171"/>
  <c r="R4" i="171"/>
  <c r="Q4" i="171"/>
  <c r="P4" i="171"/>
  <c r="O4" i="171"/>
  <c r="N4" i="171"/>
  <c r="M4" i="171"/>
  <c r="L4" i="171"/>
  <c r="K4" i="171"/>
  <c r="J4" i="171"/>
  <c r="I4" i="171"/>
  <c r="H4" i="171"/>
  <c r="G4" i="171"/>
  <c r="AF3" i="171"/>
  <c r="AE3" i="171"/>
  <c r="AD3" i="171"/>
  <c r="AC3" i="171"/>
  <c r="AB3" i="171"/>
  <c r="AA3" i="171"/>
  <c r="Z3" i="171"/>
  <c r="Y3" i="171"/>
  <c r="X3" i="171"/>
  <c r="W3" i="171"/>
  <c r="V3" i="171"/>
  <c r="U3" i="171"/>
  <c r="T3" i="171"/>
  <c r="S3" i="171"/>
  <c r="R3" i="171"/>
  <c r="Q3" i="171"/>
  <c r="P3" i="171"/>
  <c r="O3" i="171"/>
  <c r="N3" i="171"/>
  <c r="M3" i="171"/>
  <c r="L3" i="171"/>
  <c r="K3" i="171"/>
  <c r="J3" i="171"/>
  <c r="I3" i="171"/>
  <c r="H3" i="171"/>
  <c r="G3" i="171"/>
  <c r="AF2" i="171"/>
  <c r="AE2" i="171"/>
  <c r="AD2" i="171"/>
  <c r="AC2" i="171"/>
  <c r="AB2" i="171"/>
  <c r="AA2" i="171"/>
  <c r="Z2" i="171"/>
  <c r="Y2" i="171"/>
  <c r="X2" i="171"/>
  <c r="W2" i="171"/>
  <c r="V2" i="171"/>
  <c r="U2" i="171"/>
  <c r="T2" i="171"/>
  <c r="S2" i="171"/>
  <c r="R2" i="171"/>
  <c r="Q2" i="171"/>
  <c r="P2" i="171"/>
  <c r="O2" i="171"/>
  <c r="N2" i="171"/>
  <c r="M2" i="171"/>
  <c r="L2" i="171"/>
  <c r="K2" i="171"/>
  <c r="J2" i="171"/>
  <c r="I2" i="171"/>
  <c r="H2" i="171"/>
  <c r="G2" i="171"/>
  <c r="L12" i="171"/>
  <c r="M12" i="171"/>
  <c r="N12" i="171"/>
  <c r="O12" i="171"/>
  <c r="P12" i="171"/>
  <c r="Q12" i="171"/>
  <c r="Q23" i="171" s="1"/>
  <c r="R12" i="171"/>
  <c r="S12" i="171"/>
  <c r="T12" i="171"/>
  <c r="U12" i="171"/>
  <c r="V12" i="171"/>
  <c r="L21" i="171"/>
  <c r="M21" i="171"/>
  <c r="M23" i="171" s="1"/>
  <c r="N21" i="171"/>
  <c r="N23" i="171" s="1"/>
  <c r="O21" i="171"/>
  <c r="P21" i="171"/>
  <c r="Q21" i="171"/>
  <c r="R21" i="171"/>
  <c r="S21" i="171"/>
  <c r="T21" i="171"/>
  <c r="U21" i="171"/>
  <c r="U23" i="171" s="1"/>
  <c r="V21" i="171"/>
  <c r="V23" i="171" s="1"/>
  <c r="R23" i="171"/>
  <c r="L31" i="171"/>
  <c r="L59" i="171" s="1"/>
  <c r="M31" i="171"/>
  <c r="M59" i="171" s="1"/>
  <c r="O31" i="171"/>
  <c r="O59" i="171" s="1"/>
  <c r="P31" i="171"/>
  <c r="P59" i="171" s="1"/>
  <c r="Q31" i="171"/>
  <c r="Q59" i="171" s="1"/>
  <c r="R31" i="171"/>
  <c r="R59" i="171" s="1"/>
  <c r="S31" i="171"/>
  <c r="S59" i="171" s="1"/>
  <c r="T31" i="171"/>
  <c r="T59" i="171" s="1"/>
  <c r="U31" i="171"/>
  <c r="U59" i="171" s="1"/>
  <c r="V31" i="171"/>
  <c r="V59" i="171" s="1"/>
  <c r="L36" i="171"/>
  <c r="M36" i="171"/>
  <c r="N36" i="171"/>
  <c r="O36" i="171"/>
  <c r="P36" i="171"/>
  <c r="Q36" i="171"/>
  <c r="R36" i="171"/>
  <c r="R45" i="171" s="1"/>
  <c r="S36" i="171"/>
  <c r="S46" i="171" s="1"/>
  <c r="T36" i="171"/>
  <c r="U36" i="171"/>
  <c r="V36" i="171"/>
  <c r="L44" i="171"/>
  <c r="M44" i="171"/>
  <c r="M45" i="171" s="1"/>
  <c r="N44" i="171"/>
  <c r="O44" i="171"/>
  <c r="P44" i="171"/>
  <c r="Q44" i="171"/>
  <c r="Q45" i="171" s="1"/>
  <c r="R44" i="171"/>
  <c r="S44" i="171"/>
  <c r="S45" i="171" s="1"/>
  <c r="T44" i="171"/>
  <c r="U44" i="171"/>
  <c r="U45" i="171" s="1"/>
  <c r="V44" i="171"/>
  <c r="N45" i="171"/>
  <c r="O45" i="171"/>
  <c r="V45" i="171"/>
  <c r="O46" i="171"/>
  <c r="I93" i="168"/>
  <c r="I94" i="168" s="1"/>
  <c r="I95" i="168" s="1"/>
  <c r="K91" i="168"/>
  <c r="L91" i="168" s="1"/>
  <c r="M91" i="168" s="1"/>
  <c r="K85" i="168"/>
  <c r="L85" i="168" s="1"/>
  <c r="M85" i="168" s="1"/>
  <c r="I81" i="168"/>
  <c r="I82" i="168" s="1"/>
  <c r="I83" i="168" s="1"/>
  <c r="K79" i="168"/>
  <c r="L79" i="168" s="1"/>
  <c r="M79" i="168" s="1"/>
  <c r="D12" i="168"/>
  <c r="AG5" i="168"/>
  <c r="AF5" i="168"/>
  <c r="AE5" i="168"/>
  <c r="AD5" i="168"/>
  <c r="AC5" i="168"/>
  <c r="AB5" i="168"/>
  <c r="AA5" i="168"/>
  <c r="Z5" i="168"/>
  <c r="Y5" i="168"/>
  <c r="X5" i="168"/>
  <c r="W5" i="168"/>
  <c r="V5" i="168"/>
  <c r="U5" i="168"/>
  <c r="T5" i="168"/>
  <c r="S5" i="168"/>
  <c r="R5" i="168"/>
  <c r="Q5" i="168"/>
  <c r="P5" i="168"/>
  <c r="O5" i="168"/>
  <c r="N5" i="168"/>
  <c r="M5" i="168"/>
  <c r="L5" i="168"/>
  <c r="K5" i="168"/>
  <c r="J5" i="168"/>
  <c r="I5" i="168"/>
  <c r="AG4" i="168"/>
  <c r="AG53" i="168" s="1"/>
  <c r="AF4" i="168"/>
  <c r="AF53" i="168" s="1"/>
  <c r="AE4" i="168"/>
  <c r="AD4" i="168"/>
  <c r="AC4" i="168"/>
  <c r="AB4" i="168"/>
  <c r="AA4" i="168"/>
  <c r="Z4" i="168"/>
  <c r="Y4" i="168"/>
  <c r="X4" i="168"/>
  <c r="W4" i="168"/>
  <c r="W53" i="168" s="1"/>
  <c r="V4" i="168"/>
  <c r="V53" i="168" s="1"/>
  <c r="U4" i="168"/>
  <c r="U53" i="168" s="1"/>
  <c r="T4" i="168"/>
  <c r="T53" i="168" s="1"/>
  <c r="S4" i="168"/>
  <c r="S53" i="168" s="1"/>
  <c r="R4" i="168"/>
  <c r="R53" i="168" s="1"/>
  <c r="Q4" i="168"/>
  <c r="Q53" i="168" s="1"/>
  <c r="P4" i="168"/>
  <c r="P53" i="168" s="1"/>
  <c r="O4" i="168"/>
  <c r="O53" i="168" s="1"/>
  <c r="N4" i="168"/>
  <c r="N53" i="168" s="1"/>
  <c r="M4" i="168"/>
  <c r="M53" i="168" s="1"/>
  <c r="L4" i="168"/>
  <c r="L53" i="168" s="1"/>
  <c r="K4" i="168"/>
  <c r="K53" i="168" s="1"/>
  <c r="J4" i="168"/>
  <c r="J53" i="168" s="1"/>
  <c r="I4" i="168"/>
  <c r="I53" i="168" s="1"/>
  <c r="V46" i="171" l="1"/>
  <c r="R46" i="171"/>
  <c r="R49" i="171" s="1"/>
  <c r="N46" i="171"/>
  <c r="U46" i="171"/>
  <c r="U47" i="171" s="1"/>
  <c r="U51" i="171" s="1"/>
  <c r="U66" i="171" s="1"/>
  <c r="Q46" i="171"/>
  <c r="Q47" i="171" s="1"/>
  <c r="Q51" i="171" s="1"/>
  <c r="Q66" i="171" s="1"/>
  <c r="M46" i="171"/>
  <c r="M47" i="171" s="1"/>
  <c r="M51" i="171" s="1"/>
  <c r="M66" i="171" s="1"/>
  <c r="T46" i="171"/>
  <c r="T47" i="171" s="1"/>
  <c r="T51" i="171" s="1"/>
  <c r="T66" i="171" s="1"/>
  <c r="P46" i="171"/>
  <c r="L46" i="171"/>
  <c r="J24" i="168"/>
  <c r="J43" i="168" s="1"/>
  <c r="J25" i="168"/>
  <c r="J51" i="168"/>
  <c r="R24" i="168"/>
  <c r="R43" i="168" s="1"/>
  <c r="R25" i="168"/>
  <c r="R51" i="168"/>
  <c r="O24" i="168"/>
  <c r="O43" i="168" s="1"/>
  <c r="O51" i="168"/>
  <c r="O25" i="168"/>
  <c r="W24" i="168"/>
  <c r="W43" i="168" s="1"/>
  <c r="W25" i="168"/>
  <c r="W51" i="168"/>
  <c r="L24" i="168"/>
  <c r="L43" i="168" s="1"/>
  <c r="L25" i="168"/>
  <c r="L51" i="168"/>
  <c r="P24" i="168"/>
  <c r="P43" i="168" s="1"/>
  <c r="P51" i="168"/>
  <c r="P25" i="168"/>
  <c r="T24" i="168"/>
  <c r="T43" i="168" s="1"/>
  <c r="T25" i="168"/>
  <c r="T51" i="168"/>
  <c r="AF24" i="168"/>
  <c r="AF43" i="168" s="1"/>
  <c r="AF25" i="168"/>
  <c r="AF51" i="168"/>
  <c r="N24" i="168"/>
  <c r="N43" i="168" s="1"/>
  <c r="N25" i="168"/>
  <c r="N51" i="168"/>
  <c r="V24" i="168"/>
  <c r="V43" i="168" s="1"/>
  <c r="V25" i="168"/>
  <c r="V51" i="168"/>
  <c r="K24" i="168"/>
  <c r="K43" i="168" s="1"/>
  <c r="K25" i="168"/>
  <c r="K51" i="168"/>
  <c r="S24" i="168"/>
  <c r="S43" i="168" s="1"/>
  <c r="S51" i="168"/>
  <c r="S25" i="168"/>
  <c r="I52" i="168"/>
  <c r="I25" i="168"/>
  <c r="I51" i="168"/>
  <c r="M51" i="168"/>
  <c r="M25" i="168"/>
  <c r="Q51" i="168"/>
  <c r="Q25" i="168"/>
  <c r="U51" i="168"/>
  <c r="U25" i="168"/>
  <c r="AG51" i="168"/>
  <c r="AG25" i="168"/>
  <c r="I23" i="168"/>
  <c r="I24" i="168"/>
  <c r="I43" i="168" s="1"/>
  <c r="M23" i="168"/>
  <c r="M24" i="168"/>
  <c r="M43" i="168" s="1"/>
  <c r="Q23" i="168"/>
  <c r="Q24" i="168"/>
  <c r="Q43" i="168" s="1"/>
  <c r="U23" i="168"/>
  <c r="U24" i="168"/>
  <c r="U43" i="168" s="1"/>
  <c r="AG23" i="168"/>
  <c r="AG24" i="168"/>
  <c r="AG43" i="168" s="1"/>
  <c r="N23" i="168"/>
  <c r="V27" i="168"/>
  <c r="V23" i="168"/>
  <c r="K27" i="168"/>
  <c r="K23" i="168"/>
  <c r="O27" i="168"/>
  <c r="O23" i="168"/>
  <c r="S30" i="168"/>
  <c r="S23" i="168"/>
  <c r="W52" i="168"/>
  <c r="W23" i="168"/>
  <c r="J27" i="168"/>
  <c r="J23" i="168"/>
  <c r="R30" i="168"/>
  <c r="R23" i="168"/>
  <c r="L31" i="168"/>
  <c r="L23" i="168"/>
  <c r="P23" i="168"/>
  <c r="T27" i="168"/>
  <c r="T23" i="168"/>
  <c r="AF23" i="168"/>
  <c r="L23" i="169"/>
  <c r="E109" i="168"/>
  <c r="F113" i="168" s="1"/>
  <c r="V47" i="171"/>
  <c r="V51" i="171" s="1"/>
  <c r="V66" i="171" s="1"/>
  <c r="D102" i="168" s="1"/>
  <c r="V49" i="171"/>
  <c r="V53" i="171"/>
  <c r="W179" i="80" s="1"/>
  <c r="U48" i="171"/>
  <c r="U58" i="171" s="1"/>
  <c r="U61" i="171" s="1"/>
  <c r="U52" i="171"/>
  <c r="V176" i="80" s="1"/>
  <c r="Q52" i="171"/>
  <c r="R176" i="80" s="1"/>
  <c r="Q48" i="171"/>
  <c r="Q58" i="171" s="1"/>
  <c r="Q61" i="171" s="1"/>
  <c r="M52" i="171"/>
  <c r="N176" i="80" s="1"/>
  <c r="M48" i="171"/>
  <c r="M58" i="171" s="1"/>
  <c r="M61" i="171" s="1"/>
  <c r="M50" i="171"/>
  <c r="M63" i="171" s="1"/>
  <c r="M68" i="171" s="1"/>
  <c r="M70" i="171" s="1"/>
  <c r="R53" i="171"/>
  <c r="S179" i="80" s="1"/>
  <c r="R47" i="171"/>
  <c r="R51" i="171" s="1"/>
  <c r="R66" i="171" s="1"/>
  <c r="U50" i="171"/>
  <c r="U63" i="171" s="1"/>
  <c r="U68" i="171" s="1"/>
  <c r="U70" i="171" s="1"/>
  <c r="N47" i="171"/>
  <c r="N51" i="171" s="1"/>
  <c r="N66" i="171" s="1"/>
  <c r="N49" i="171"/>
  <c r="N53" i="171"/>
  <c r="O179" i="80" s="1"/>
  <c r="V48" i="171"/>
  <c r="V58" i="171" s="1"/>
  <c r="V61" i="171" s="1"/>
  <c r="N48" i="171"/>
  <c r="N58" i="171" s="1"/>
  <c r="N61" i="171" s="1"/>
  <c r="Q50" i="171"/>
  <c r="Q63" i="171" s="1"/>
  <c r="Q68" i="171" s="1"/>
  <c r="U53" i="171"/>
  <c r="V179" i="80" s="1"/>
  <c r="Q53" i="171"/>
  <c r="R179" i="80" s="1"/>
  <c r="M53" i="171"/>
  <c r="N179" i="80" s="1"/>
  <c r="V50" i="171"/>
  <c r="V63" i="171" s="1"/>
  <c r="R50" i="171"/>
  <c r="R63" i="171" s="1"/>
  <c r="R68" i="171" s="1"/>
  <c r="N50" i="171"/>
  <c r="N63" i="171" s="1"/>
  <c r="N68" i="171" s="1"/>
  <c r="N70" i="171" s="1"/>
  <c r="U49" i="171"/>
  <c r="Q49" i="171"/>
  <c r="M49" i="171"/>
  <c r="T23" i="171"/>
  <c r="P23" i="171"/>
  <c r="L23" i="171"/>
  <c r="L50" i="171" s="1"/>
  <c r="L63" i="171" s="1"/>
  <c r="L53" i="171"/>
  <c r="M179" i="80" s="1"/>
  <c r="S52" i="171"/>
  <c r="T176" i="80" s="1"/>
  <c r="L49" i="171"/>
  <c r="T45" i="171"/>
  <c r="T48" i="171" s="1"/>
  <c r="T58" i="171" s="1"/>
  <c r="T61" i="171" s="1"/>
  <c r="P45" i="171"/>
  <c r="P49" i="171" s="1"/>
  <c r="L45" i="171"/>
  <c r="S23" i="171"/>
  <c r="O23" i="171"/>
  <c r="O48" i="171" s="1"/>
  <c r="O58" i="171" s="1"/>
  <c r="O61" i="171" s="1"/>
  <c r="V52" i="171"/>
  <c r="W176" i="80" s="1"/>
  <c r="R52" i="171"/>
  <c r="S176" i="80" s="1"/>
  <c r="N52" i="171"/>
  <c r="O176" i="80" s="1"/>
  <c r="M52" i="168"/>
  <c r="Q52" i="168"/>
  <c r="U52" i="168"/>
  <c r="AG29" i="168"/>
  <c r="AG52" i="168"/>
  <c r="N27" i="168"/>
  <c r="R27" i="168"/>
  <c r="I28" i="168"/>
  <c r="M28" i="168"/>
  <c r="Q28" i="168"/>
  <c r="U28" i="168"/>
  <c r="AG28" i="168"/>
  <c r="L29" i="168"/>
  <c r="P29" i="168"/>
  <c r="T29" i="168"/>
  <c r="AF29" i="168"/>
  <c r="M30" i="168"/>
  <c r="W30" i="168"/>
  <c r="I31" i="168"/>
  <c r="N31" i="168"/>
  <c r="T31" i="168"/>
  <c r="S52" i="168"/>
  <c r="J52" i="168"/>
  <c r="N52" i="168"/>
  <c r="R52" i="168"/>
  <c r="V52" i="168"/>
  <c r="S27" i="168"/>
  <c r="W27" i="168"/>
  <c r="J28" i="168"/>
  <c r="N28" i="168"/>
  <c r="R28" i="168"/>
  <c r="V28" i="168"/>
  <c r="I29" i="168"/>
  <c r="M29" i="168"/>
  <c r="Q29" i="168"/>
  <c r="U29" i="168"/>
  <c r="I30" i="168"/>
  <c r="N30" i="168"/>
  <c r="J31" i="168"/>
  <c r="P31" i="168"/>
  <c r="U31" i="168"/>
  <c r="AF31" i="168"/>
  <c r="K31" i="168"/>
  <c r="O31" i="168"/>
  <c r="S31" i="168"/>
  <c r="W31" i="168"/>
  <c r="L27" i="168"/>
  <c r="P27" i="168"/>
  <c r="AF27" i="168"/>
  <c r="K28" i="168"/>
  <c r="O28" i="168"/>
  <c r="S28" i="168"/>
  <c r="W28" i="168"/>
  <c r="J29" i="168"/>
  <c r="N29" i="168"/>
  <c r="R29" i="168"/>
  <c r="V29" i="168"/>
  <c r="J30" i="168"/>
  <c r="O30" i="168"/>
  <c r="U30" i="168"/>
  <c r="Q31" i="168"/>
  <c r="V31" i="168"/>
  <c r="AG31" i="168"/>
  <c r="K52" i="168"/>
  <c r="L30" i="168"/>
  <c r="L52" i="168"/>
  <c r="P30" i="168"/>
  <c r="P52" i="168"/>
  <c r="T30" i="168"/>
  <c r="T52" i="168"/>
  <c r="AF30" i="168"/>
  <c r="AF52" i="168"/>
  <c r="I27" i="168"/>
  <c r="M27" i="168"/>
  <c r="Q27" i="168"/>
  <c r="U27" i="168"/>
  <c r="AG27" i="168"/>
  <c r="L28" i="168"/>
  <c r="P28" i="168"/>
  <c r="T28" i="168"/>
  <c r="AF28" i="168"/>
  <c r="K29" i="168"/>
  <c r="O29" i="168"/>
  <c r="S29" i="168"/>
  <c r="W29" i="168"/>
  <c r="K30" i="168"/>
  <c r="Q30" i="168"/>
  <c r="V30" i="168"/>
  <c r="AG30" i="168"/>
  <c r="M31" i="168"/>
  <c r="R31" i="168"/>
  <c r="O52" i="168"/>
  <c r="V68" i="171" l="1"/>
  <c r="D99" i="168"/>
  <c r="L48" i="171"/>
  <c r="L58" i="171" s="1"/>
  <c r="L61" i="171" s="1"/>
  <c r="P52" i="171"/>
  <c r="Q176" i="80" s="1"/>
  <c r="Q70" i="171"/>
  <c r="T53" i="171"/>
  <c r="U179" i="80" s="1"/>
  <c r="R48" i="171"/>
  <c r="R58" i="171" s="1"/>
  <c r="R61" i="171" s="1"/>
  <c r="R70" i="171" s="1"/>
  <c r="T52" i="171"/>
  <c r="U176" i="80" s="1"/>
  <c r="P50" i="171"/>
  <c r="P63" i="171" s="1"/>
  <c r="P68" i="171" s="1"/>
  <c r="S53" i="171"/>
  <c r="T179" i="80" s="1"/>
  <c r="S50" i="171"/>
  <c r="S63" i="171" s="1"/>
  <c r="T49" i="171"/>
  <c r="P53" i="171"/>
  <c r="Q179" i="80" s="1"/>
  <c r="S47" i="171"/>
  <c r="S51" i="171" s="1"/>
  <c r="S66" i="171" s="1"/>
  <c r="L47" i="171"/>
  <c r="L51" i="171" s="1"/>
  <c r="L66" i="171" s="1"/>
  <c r="L68" i="171" s="1"/>
  <c r="L70" i="171" s="1"/>
  <c r="O53" i="171"/>
  <c r="P179" i="80" s="1"/>
  <c r="O50" i="171"/>
  <c r="O63" i="171" s="1"/>
  <c r="T50" i="171"/>
  <c r="T63" i="171" s="1"/>
  <c r="T68" i="171" s="1"/>
  <c r="T70" i="171" s="1"/>
  <c r="S48" i="171"/>
  <c r="S58" i="171" s="1"/>
  <c r="S61" i="171" s="1"/>
  <c r="O52" i="171"/>
  <c r="P176" i="80" s="1"/>
  <c r="P48" i="171"/>
  <c r="P58" i="171" s="1"/>
  <c r="P61" i="171" s="1"/>
  <c r="L52" i="171"/>
  <c r="M176" i="80" s="1"/>
  <c r="O49" i="171"/>
  <c r="P47" i="171"/>
  <c r="P51" i="171" s="1"/>
  <c r="P66" i="171" s="1"/>
  <c r="O47" i="171"/>
  <c r="O51" i="171" s="1"/>
  <c r="O66" i="171" s="1"/>
  <c r="S49" i="171"/>
  <c r="O68" i="171" l="1"/>
  <c r="O70" i="171" s="1"/>
  <c r="P70" i="171"/>
  <c r="V70" i="171"/>
  <c r="D104" i="168"/>
  <c r="S68" i="171"/>
  <c r="S70" i="171" s="1"/>
  <c r="F24" i="163"/>
  <c r="D99" i="80" s="1"/>
  <c r="C99" i="80" s="1"/>
  <c r="B95" i="172" s="1"/>
  <c r="W2" i="80"/>
  <c r="W106" i="80" s="1"/>
  <c r="W137" i="80" s="1"/>
  <c r="X2" i="80"/>
  <c r="E24" i="163"/>
  <c r="D96" i="80" s="1"/>
  <c r="C96" i="80" s="1"/>
  <c r="B92" i="172" s="1"/>
  <c r="F103" i="80"/>
  <c r="H24" i="163"/>
  <c r="F104" i="80" s="1"/>
  <c r="I24" i="163"/>
  <c r="F105" i="80" s="1"/>
  <c r="Y2" i="80"/>
  <c r="Z2" i="80"/>
  <c r="AA2" i="80"/>
  <c r="AB2" i="80"/>
  <c r="AC2" i="80"/>
  <c r="H32" i="80"/>
  <c r="H42" i="80" s="1"/>
  <c r="H9" i="80"/>
  <c r="H16" i="80"/>
  <c r="H30" i="80" s="1"/>
  <c r="H46" i="80"/>
  <c r="H47" i="80" s="1"/>
  <c r="H48" i="80" s="1"/>
  <c r="H50" i="80"/>
  <c r="H51" i="80" s="1"/>
  <c r="H53" i="80" s="1"/>
  <c r="H52" i="80"/>
  <c r="H55" i="80"/>
  <c r="H56" i="80" s="1"/>
  <c r="H58" i="80" s="1"/>
  <c r="H57" i="80"/>
  <c r="H60" i="80"/>
  <c r="H61" i="80" s="1"/>
  <c r="H63" i="80" s="1"/>
  <c r="H62" i="80"/>
  <c r="H65" i="80"/>
  <c r="H67" i="80"/>
  <c r="H70" i="80"/>
  <c r="H71" i="80"/>
  <c r="H72" i="80" s="1"/>
  <c r="H73" i="80" s="1"/>
  <c r="H76" i="80"/>
  <c r="H77" i="80"/>
  <c r="I77" i="80"/>
  <c r="H81" i="80"/>
  <c r="H88" i="80" s="1"/>
  <c r="H2" i="80"/>
  <c r="H114" i="80" s="1"/>
  <c r="E4" i="166"/>
  <c r="F4" i="166" s="1"/>
  <c r="D5" i="165"/>
  <c r="D5" i="166" s="1"/>
  <c r="F8" i="166"/>
  <c r="G8" i="166" s="1"/>
  <c r="AD2" i="80"/>
  <c r="AE2" i="80"/>
  <c r="AF2" i="80"/>
  <c r="AG2" i="80"/>
  <c r="Q17" i="166"/>
  <c r="R17" i="166"/>
  <c r="S17" i="166"/>
  <c r="T17" i="166"/>
  <c r="U17" i="166"/>
  <c r="D21" i="166"/>
  <c r="E16" i="166"/>
  <c r="E18" i="166" s="1"/>
  <c r="E17" i="166"/>
  <c r="D23" i="166"/>
  <c r="C61" i="166"/>
  <c r="D61" i="166" s="1"/>
  <c r="F17" i="166"/>
  <c r="G17" i="166"/>
  <c r="H17" i="166"/>
  <c r="I17" i="166"/>
  <c r="J17" i="166"/>
  <c r="K17" i="166"/>
  <c r="L17" i="166"/>
  <c r="M17" i="166"/>
  <c r="N17" i="166"/>
  <c r="O17" i="166"/>
  <c r="P17" i="166"/>
  <c r="C69" i="166"/>
  <c r="D69" i="166" s="1"/>
  <c r="C74" i="166"/>
  <c r="U5" i="165"/>
  <c r="V5" i="165" s="1"/>
  <c r="U6" i="165"/>
  <c r="V6" i="165" s="1"/>
  <c r="U7" i="165"/>
  <c r="V7" i="165" s="1"/>
  <c r="U8" i="165"/>
  <c r="V8" i="165" s="1"/>
  <c r="U4" i="165"/>
  <c r="V4" i="165" s="1"/>
  <c r="I5" i="165"/>
  <c r="I6" i="165" s="1"/>
  <c r="I7" i="165" s="1"/>
  <c r="I8" i="165" s="1"/>
  <c r="K3" i="165"/>
  <c r="L3" i="165" s="1"/>
  <c r="M3" i="165" s="1"/>
  <c r="N3" i="165" s="1"/>
  <c r="O3" i="165" s="1"/>
  <c r="P3" i="165" s="1"/>
  <c r="Q3" i="165" s="1"/>
  <c r="R3" i="165" s="1"/>
  <c r="S3" i="165" s="1"/>
  <c r="D9" i="165"/>
  <c r="D25" i="166"/>
  <c r="F28" i="163"/>
  <c r="F29" i="163"/>
  <c r="F30" i="163"/>
  <c r="F31" i="163"/>
  <c r="F27" i="163"/>
  <c r="E28" i="163"/>
  <c r="E29" i="163"/>
  <c r="E30" i="163"/>
  <c r="E31" i="163"/>
  <c r="E27" i="163"/>
  <c r="D27" i="163" a="1"/>
  <c r="D28" i="163" s="1"/>
  <c r="I161" i="80"/>
  <c r="X140" i="80"/>
  <c r="Y140" i="80"/>
  <c r="Z140" i="80"/>
  <c r="AA140" i="80"/>
  <c r="AB140" i="80"/>
  <c r="AC140" i="80"/>
  <c r="AD140" i="80"/>
  <c r="AE140" i="80"/>
  <c r="AF140" i="80"/>
  <c r="AG140" i="80"/>
  <c r="E18" i="163"/>
  <c r="F18" i="163"/>
  <c r="G18" i="163"/>
  <c r="H18" i="163"/>
  <c r="I18" i="163"/>
  <c r="E19" i="163"/>
  <c r="F19" i="163"/>
  <c r="G19" i="163"/>
  <c r="H19" i="163"/>
  <c r="I19" i="163"/>
  <c r="E20" i="163"/>
  <c r="F20" i="163"/>
  <c r="G20" i="163"/>
  <c r="H20" i="163"/>
  <c r="I20" i="163"/>
  <c r="E21" i="163"/>
  <c r="F21" i="163"/>
  <c r="G21" i="163"/>
  <c r="H21" i="163"/>
  <c r="I21" i="163"/>
  <c r="F17" i="163"/>
  <c r="G17" i="163"/>
  <c r="H17" i="163"/>
  <c r="I17" i="163"/>
  <c r="E17" i="163"/>
  <c r="E13" i="163"/>
  <c r="F13" i="163"/>
  <c r="G13" i="163"/>
  <c r="H13" i="163"/>
  <c r="I13" i="163"/>
  <c r="E14" i="163"/>
  <c r="F14" i="163"/>
  <c r="G14" i="163"/>
  <c r="H14" i="163"/>
  <c r="I14" i="163"/>
  <c r="E15" i="163"/>
  <c r="F15" i="163"/>
  <c r="G15" i="163"/>
  <c r="H15" i="163"/>
  <c r="I15" i="163"/>
  <c r="E16" i="163"/>
  <c r="F16" i="163"/>
  <c r="G16" i="163"/>
  <c r="H16" i="163"/>
  <c r="I16" i="163"/>
  <c r="F12" i="163"/>
  <c r="G12" i="163"/>
  <c r="H12" i="163"/>
  <c r="I12" i="163"/>
  <c r="E12" i="163"/>
  <c r="D17" i="163" a="1"/>
  <c r="D17" i="163" s="1"/>
  <c r="D24" i="163"/>
  <c r="C105" i="80"/>
  <c r="B101" i="172" s="1"/>
  <c r="C104" i="80"/>
  <c r="B100" i="172" s="1"/>
  <c r="I3" i="80"/>
  <c r="J3" i="80"/>
  <c r="K3" i="80"/>
  <c r="L3" i="80"/>
  <c r="M3" i="80"/>
  <c r="N3" i="80"/>
  <c r="O3" i="80"/>
  <c r="P3" i="80"/>
  <c r="Q3" i="80"/>
  <c r="R3" i="80"/>
  <c r="S3" i="80"/>
  <c r="T3" i="80"/>
  <c r="U3" i="80"/>
  <c r="V3" i="80"/>
  <c r="W3" i="80"/>
  <c r="X3" i="80"/>
  <c r="Y3" i="80"/>
  <c r="Z3" i="80"/>
  <c r="AA3" i="80"/>
  <c r="AB3" i="80"/>
  <c r="AC3" i="80"/>
  <c r="AD3" i="80"/>
  <c r="AE3" i="80"/>
  <c r="AF3" i="80"/>
  <c r="AG3" i="80"/>
  <c r="H3" i="80"/>
  <c r="M11" i="80"/>
  <c r="N11" i="80"/>
  <c r="O11" i="80"/>
  <c r="P11" i="80"/>
  <c r="Q11" i="80"/>
  <c r="R11" i="80"/>
  <c r="S11" i="80"/>
  <c r="T11" i="80"/>
  <c r="U11" i="80"/>
  <c r="V11" i="80"/>
  <c r="W11" i="80"/>
  <c r="L11" i="80"/>
  <c r="X4" i="80"/>
  <c r="Y4" i="80"/>
  <c r="Z4" i="80"/>
  <c r="AA4" i="80"/>
  <c r="AB4" i="80"/>
  <c r="AC4" i="80"/>
  <c r="AD4" i="80"/>
  <c r="AE4" i="80"/>
  <c r="AF4" i="80"/>
  <c r="AG4" i="80"/>
  <c r="I4" i="80"/>
  <c r="J4" i="80"/>
  <c r="K4" i="80"/>
  <c r="L4" i="80"/>
  <c r="M4" i="80"/>
  <c r="N4" i="80"/>
  <c r="O4" i="80"/>
  <c r="P4" i="80"/>
  <c r="Q4" i="80"/>
  <c r="R4" i="80"/>
  <c r="S4" i="80"/>
  <c r="T4" i="80"/>
  <c r="U4" i="80"/>
  <c r="V4" i="80"/>
  <c r="W4" i="80"/>
  <c r="I2" i="80"/>
  <c r="J2" i="80"/>
  <c r="K2" i="80"/>
  <c r="L2" i="80"/>
  <c r="M2" i="80"/>
  <c r="N2" i="80"/>
  <c r="O2" i="80"/>
  <c r="P2" i="80"/>
  <c r="Q2" i="80"/>
  <c r="R2" i="80"/>
  <c r="S2" i="80"/>
  <c r="T2" i="80"/>
  <c r="U2" i="80"/>
  <c r="V2" i="80"/>
  <c r="H4" i="80"/>
  <c r="I9" i="80"/>
  <c r="I12" i="80" s="1"/>
  <c r="J9" i="80"/>
  <c r="K9" i="80"/>
  <c r="L9" i="80"/>
  <c r="H14" i="80"/>
  <c r="H21" i="80" s="1"/>
  <c r="I14" i="80"/>
  <c r="I22" i="80" s="1"/>
  <c r="J14" i="80"/>
  <c r="J22" i="80" s="1"/>
  <c r="K14" i="80"/>
  <c r="K22" i="80" s="1"/>
  <c r="L14" i="80"/>
  <c r="L21" i="80" s="1"/>
  <c r="H15" i="80"/>
  <c r="H17" i="80" s="1"/>
  <c r="H38" i="80" s="1"/>
  <c r="I15" i="80"/>
  <c r="J15" i="80"/>
  <c r="K15" i="80"/>
  <c r="L15" i="80"/>
  <c r="I16" i="80"/>
  <c r="I30" i="80" s="1"/>
  <c r="J16" i="80"/>
  <c r="J30" i="80" s="1"/>
  <c r="K16" i="80"/>
  <c r="K30" i="80" s="1"/>
  <c r="L16" i="80"/>
  <c r="L30" i="80" s="1"/>
  <c r="H24" i="80"/>
  <c r="H25" i="80" s="1"/>
  <c r="H26" i="80" s="1"/>
  <c r="I24" i="80"/>
  <c r="J24" i="80"/>
  <c r="K24" i="80"/>
  <c r="L24" i="80"/>
  <c r="H28" i="80"/>
  <c r="I28" i="80"/>
  <c r="J28" i="80"/>
  <c r="K28" i="80"/>
  <c r="L28" i="80"/>
  <c r="H29" i="80"/>
  <c r="I29" i="80"/>
  <c r="J29" i="80"/>
  <c r="K29" i="80"/>
  <c r="L29" i="80"/>
  <c r="I32" i="80"/>
  <c r="J32" i="80"/>
  <c r="J42" i="80" s="1"/>
  <c r="K32" i="80"/>
  <c r="K42" i="80" s="1"/>
  <c r="L32" i="80"/>
  <c r="L42" i="80" s="1"/>
  <c r="H34" i="80"/>
  <c r="I34" i="80"/>
  <c r="J34" i="80"/>
  <c r="K34" i="80"/>
  <c r="L34" i="80"/>
  <c r="H37" i="80"/>
  <c r="I37" i="80"/>
  <c r="J37" i="80"/>
  <c r="K37" i="80"/>
  <c r="L37" i="80"/>
  <c r="I46" i="80"/>
  <c r="J46" i="80"/>
  <c r="K46" i="80"/>
  <c r="L46" i="80"/>
  <c r="I50" i="80"/>
  <c r="I51" i="80" s="1"/>
  <c r="I53" i="80" s="1"/>
  <c r="J50" i="80"/>
  <c r="K50" i="80"/>
  <c r="L50" i="80"/>
  <c r="I52" i="80"/>
  <c r="J52" i="80"/>
  <c r="K52" i="80"/>
  <c r="L52" i="80"/>
  <c r="I55" i="80"/>
  <c r="J55" i="80"/>
  <c r="K55" i="80"/>
  <c r="L55" i="80"/>
  <c r="I57" i="80"/>
  <c r="J57" i="80"/>
  <c r="K57" i="80"/>
  <c r="L57" i="80"/>
  <c r="I60" i="80"/>
  <c r="J60" i="80"/>
  <c r="K60" i="80"/>
  <c r="L60" i="80"/>
  <c r="I62" i="80"/>
  <c r="J62" i="80"/>
  <c r="K62" i="80"/>
  <c r="L62" i="80"/>
  <c r="I65" i="80"/>
  <c r="J65" i="80"/>
  <c r="K65" i="80"/>
  <c r="L65" i="80"/>
  <c r="I67" i="80"/>
  <c r="J67" i="80"/>
  <c r="K67" i="80"/>
  <c r="L67" i="80"/>
  <c r="I70" i="80"/>
  <c r="J70" i="80"/>
  <c r="K70" i="80"/>
  <c r="L70" i="80"/>
  <c r="I71" i="80"/>
  <c r="J71" i="80"/>
  <c r="K71" i="80"/>
  <c r="L71" i="80"/>
  <c r="I76" i="80"/>
  <c r="I87" i="80" s="1"/>
  <c r="J76" i="80"/>
  <c r="J87" i="80" s="1"/>
  <c r="K76" i="80"/>
  <c r="L76" i="80"/>
  <c r="L87" i="80" s="1"/>
  <c r="J77" i="80"/>
  <c r="K77" i="80"/>
  <c r="L77" i="80"/>
  <c r="I81" i="80"/>
  <c r="I88" i="80" s="1"/>
  <c r="J81" i="80"/>
  <c r="K81" i="80"/>
  <c r="L81" i="80"/>
  <c r="M76" i="80"/>
  <c r="N76" i="80"/>
  <c r="O76" i="80"/>
  <c r="P76" i="80"/>
  <c r="Q76" i="80"/>
  <c r="R76" i="80"/>
  <c r="S76" i="80"/>
  <c r="T76" i="80"/>
  <c r="U76" i="80"/>
  <c r="V76" i="80"/>
  <c r="W76" i="80"/>
  <c r="M57" i="80"/>
  <c r="N57" i="80"/>
  <c r="O57" i="80"/>
  <c r="P57" i="80"/>
  <c r="Q57" i="80"/>
  <c r="R57" i="80"/>
  <c r="S57" i="80"/>
  <c r="T57" i="80"/>
  <c r="U57" i="80"/>
  <c r="V57" i="80"/>
  <c r="W57" i="80"/>
  <c r="M55" i="80"/>
  <c r="N55" i="80"/>
  <c r="O56" i="80" s="1"/>
  <c r="P55" i="80"/>
  <c r="Q55" i="80"/>
  <c r="R55" i="80"/>
  <c r="S55" i="80"/>
  <c r="T55" i="80"/>
  <c r="U55" i="80"/>
  <c r="V55" i="80"/>
  <c r="W55" i="80"/>
  <c r="W50" i="80"/>
  <c r="V50" i="80"/>
  <c r="T50" i="80"/>
  <c r="R50" i="80"/>
  <c r="Q50" i="80"/>
  <c r="P50" i="80"/>
  <c r="M50" i="80"/>
  <c r="W79" i="80"/>
  <c r="M77" i="80"/>
  <c r="N77" i="80"/>
  <c r="O77" i="80"/>
  <c r="P77" i="80"/>
  <c r="Q77" i="80"/>
  <c r="Q78" i="80" s="1"/>
  <c r="R77" i="80"/>
  <c r="S77" i="80"/>
  <c r="T77" i="80"/>
  <c r="T78" i="80" s="1"/>
  <c r="U77" i="80"/>
  <c r="V77" i="80"/>
  <c r="W77" i="80"/>
  <c r="M52" i="80"/>
  <c r="N52" i="80"/>
  <c r="O52" i="80"/>
  <c r="P52" i="80"/>
  <c r="Q52" i="80"/>
  <c r="R52" i="80"/>
  <c r="S52" i="80"/>
  <c r="T52" i="80"/>
  <c r="U52" i="80"/>
  <c r="V52" i="80"/>
  <c r="W52" i="80"/>
  <c r="O50" i="80"/>
  <c r="M32" i="80"/>
  <c r="N32" i="80"/>
  <c r="N42" i="80" s="1"/>
  <c r="O32" i="80"/>
  <c r="P32" i="80"/>
  <c r="P42" i="80" s="1"/>
  <c r="Q32" i="80"/>
  <c r="Q42" i="80" s="1"/>
  <c r="R32" i="80"/>
  <c r="R42" i="80" s="1"/>
  <c r="S32" i="80"/>
  <c r="T32" i="80"/>
  <c r="T42" i="80" s="1"/>
  <c r="U32" i="80"/>
  <c r="U42" i="80" s="1"/>
  <c r="V32" i="80"/>
  <c r="V42" i="80" s="1"/>
  <c r="W32" i="80"/>
  <c r="W42" i="80" s="1"/>
  <c r="M15" i="80"/>
  <c r="N15" i="80"/>
  <c r="O15" i="80"/>
  <c r="P15" i="80"/>
  <c r="Q15" i="80"/>
  <c r="R15" i="80"/>
  <c r="S15" i="80"/>
  <c r="T15" i="80"/>
  <c r="U15" i="80"/>
  <c r="V15" i="80"/>
  <c r="W15" i="80"/>
  <c r="M9" i="80"/>
  <c r="N9" i="80"/>
  <c r="O9" i="80"/>
  <c r="P9" i="80"/>
  <c r="Q9" i="80"/>
  <c r="R9" i="80"/>
  <c r="S9" i="80"/>
  <c r="T9" i="80"/>
  <c r="U9" i="80"/>
  <c r="V9" i="80"/>
  <c r="W9" i="80"/>
  <c r="M14" i="80"/>
  <c r="N14" i="80"/>
  <c r="N22" i="80" s="1"/>
  <c r="O14" i="80"/>
  <c r="O22" i="80" s="1"/>
  <c r="P14" i="80"/>
  <c r="Q14" i="80"/>
  <c r="R14" i="80"/>
  <c r="R21" i="80" s="1"/>
  <c r="S14" i="80"/>
  <c r="S22" i="80" s="1"/>
  <c r="T14" i="80"/>
  <c r="T22" i="80" s="1"/>
  <c r="U14" i="80"/>
  <c r="U22" i="80" s="1"/>
  <c r="V14" i="80"/>
  <c r="W14" i="80"/>
  <c r="W22" i="80" s="1"/>
  <c r="M16" i="80"/>
  <c r="N16" i="80"/>
  <c r="O16" i="80"/>
  <c r="P16" i="80"/>
  <c r="Q16" i="80"/>
  <c r="R16" i="80"/>
  <c r="S16" i="80"/>
  <c r="T16" i="80"/>
  <c r="U16" i="80"/>
  <c r="V16" i="80"/>
  <c r="W16" i="80"/>
  <c r="M24" i="80"/>
  <c r="N24" i="80"/>
  <c r="O24" i="80"/>
  <c r="P24" i="80"/>
  <c r="Q24" i="80"/>
  <c r="R24" i="80"/>
  <c r="S24" i="80"/>
  <c r="T24" i="80"/>
  <c r="U24" i="80"/>
  <c r="V24" i="80"/>
  <c r="W24" i="80"/>
  <c r="M60" i="80"/>
  <c r="N60" i="80"/>
  <c r="O60" i="80"/>
  <c r="P60" i="80"/>
  <c r="Q60" i="80"/>
  <c r="R60" i="80"/>
  <c r="S60" i="80"/>
  <c r="T60" i="80"/>
  <c r="U60" i="80"/>
  <c r="V60" i="80"/>
  <c r="W60" i="80"/>
  <c r="M62" i="80"/>
  <c r="N62" i="80"/>
  <c r="O62" i="80"/>
  <c r="P62" i="80"/>
  <c r="Q62" i="80"/>
  <c r="R62" i="80"/>
  <c r="S62" i="80"/>
  <c r="T62" i="80"/>
  <c r="U62" i="80"/>
  <c r="V62" i="80"/>
  <c r="W62" i="80"/>
  <c r="M65" i="80"/>
  <c r="N65" i="80"/>
  <c r="O65" i="80"/>
  <c r="P65" i="80"/>
  <c r="Q65" i="80"/>
  <c r="R65" i="80"/>
  <c r="S65" i="80"/>
  <c r="T65" i="80"/>
  <c r="U65" i="80"/>
  <c r="V65" i="80"/>
  <c r="W65" i="80"/>
  <c r="M67" i="80"/>
  <c r="N67" i="80"/>
  <c r="O67" i="80"/>
  <c r="P67" i="80"/>
  <c r="Q67" i="80"/>
  <c r="R67" i="80"/>
  <c r="S67" i="80"/>
  <c r="T67" i="80"/>
  <c r="U67" i="80"/>
  <c r="V67" i="80"/>
  <c r="W67" i="80"/>
  <c r="M70" i="80"/>
  <c r="N70" i="80"/>
  <c r="O70" i="80"/>
  <c r="P70" i="80"/>
  <c r="Q70" i="80"/>
  <c r="R70" i="80"/>
  <c r="S70" i="80"/>
  <c r="T70" i="80"/>
  <c r="U70" i="80"/>
  <c r="V70" i="80"/>
  <c r="W70" i="80"/>
  <c r="M71" i="80"/>
  <c r="N71" i="80"/>
  <c r="O71" i="80"/>
  <c r="P71" i="80"/>
  <c r="Q71" i="80"/>
  <c r="R71" i="80"/>
  <c r="S71" i="80"/>
  <c r="T71" i="80"/>
  <c r="U71" i="80"/>
  <c r="V71" i="80"/>
  <c r="W71" i="80"/>
  <c r="M28" i="80"/>
  <c r="N28" i="80"/>
  <c r="O28" i="80"/>
  <c r="O30" i="80" s="1"/>
  <c r="P28" i="80"/>
  <c r="P30" i="80" s="1"/>
  <c r="Q28" i="80"/>
  <c r="R28" i="80"/>
  <c r="S28" i="80"/>
  <c r="T28" i="80"/>
  <c r="T30" i="80" s="1"/>
  <c r="U28" i="80"/>
  <c r="V28" i="80"/>
  <c r="W28" i="80"/>
  <c r="M29" i="80"/>
  <c r="N29" i="80"/>
  <c r="O29" i="80"/>
  <c r="P29" i="80"/>
  <c r="Q29" i="80"/>
  <c r="R29" i="80"/>
  <c r="S29" i="80"/>
  <c r="T29" i="80"/>
  <c r="U29" i="80"/>
  <c r="V29" i="80"/>
  <c r="W29" i="80"/>
  <c r="W114" i="80" s="1"/>
  <c r="W156" i="80" s="1"/>
  <c r="W162" i="80" s="1"/>
  <c r="M34" i="80"/>
  <c r="N34" i="80"/>
  <c r="O34" i="80"/>
  <c r="P34" i="80"/>
  <c r="Q34" i="80"/>
  <c r="R34" i="80"/>
  <c r="S34" i="80"/>
  <c r="T34" i="80"/>
  <c r="U34" i="80"/>
  <c r="V34" i="80"/>
  <c r="W34" i="80"/>
  <c r="M37" i="80"/>
  <c r="N37" i="80"/>
  <c r="O37" i="80"/>
  <c r="P37" i="80"/>
  <c r="Q37" i="80"/>
  <c r="R37" i="80"/>
  <c r="S37" i="80"/>
  <c r="T37" i="80"/>
  <c r="U37" i="80"/>
  <c r="V37" i="80"/>
  <c r="W37" i="80"/>
  <c r="G16" i="166" l="1"/>
  <c r="G18" i="166" s="1"/>
  <c r="H8" i="166"/>
  <c r="J82" i="80"/>
  <c r="J72" i="80"/>
  <c r="J73" i="80" s="1"/>
  <c r="J61" i="80"/>
  <c r="J63" i="80" s="1"/>
  <c r="L10" i="169"/>
  <c r="N10" i="169"/>
  <c r="M10" i="169"/>
  <c r="W168" i="80"/>
  <c r="W175" i="80" s="1"/>
  <c r="W181" i="80" s="1"/>
  <c r="F16" i="166"/>
  <c r="F18" i="166" s="1"/>
  <c r="W105" i="80"/>
  <c r="E105" i="80" s="1"/>
  <c r="D29" i="163"/>
  <c r="D21" i="163"/>
  <c r="D18" i="163"/>
  <c r="D20" i="163"/>
  <c r="D19" i="163"/>
  <c r="S17" i="80"/>
  <c r="S111" i="80" s="1"/>
  <c r="D31" i="163"/>
  <c r="D27" i="163"/>
  <c r="D30" i="163"/>
  <c r="U184" i="80"/>
  <c r="U154" i="80"/>
  <c r="U170" i="80" s="1"/>
  <c r="Q154" i="80"/>
  <c r="Q170" i="80" s="1"/>
  <c r="Q184" i="80"/>
  <c r="M154" i="80"/>
  <c r="M170" i="80" s="1"/>
  <c r="I154" i="80"/>
  <c r="I170" i="80" s="1"/>
  <c r="T154" i="80"/>
  <c r="T170" i="80" s="1"/>
  <c r="T184" i="80"/>
  <c r="P154" i="80"/>
  <c r="P170" i="80" s="1"/>
  <c r="P184" i="80"/>
  <c r="L154" i="80"/>
  <c r="L170" i="80" s="1"/>
  <c r="L184" i="80"/>
  <c r="S154" i="80"/>
  <c r="S170" i="80" s="1"/>
  <c r="O154" i="80"/>
  <c r="O170" i="80" s="1"/>
  <c r="K154" i="80"/>
  <c r="K170" i="80" s="1"/>
  <c r="K184" i="80"/>
  <c r="W154" i="80"/>
  <c r="W170" i="80" s="1"/>
  <c r="W184" i="80"/>
  <c r="V154" i="80"/>
  <c r="V170" i="80" s="1"/>
  <c r="V184" i="80"/>
  <c r="R154" i="80"/>
  <c r="R170" i="80" s="1"/>
  <c r="R184" i="80"/>
  <c r="N154" i="80"/>
  <c r="N170" i="80" s="1"/>
  <c r="N184" i="80"/>
  <c r="J154" i="80"/>
  <c r="J170" i="80" s="1"/>
  <c r="J184" i="80"/>
  <c r="N21" i="80"/>
  <c r="N104" i="80" s="1"/>
  <c r="N130" i="80" s="1"/>
  <c r="P79" i="80"/>
  <c r="S72" i="80"/>
  <c r="S73" i="80" s="1"/>
  <c r="P66" i="80"/>
  <c r="P68" i="80" s="1"/>
  <c r="U12" i="80"/>
  <c r="U43" i="80" s="1"/>
  <c r="U44" i="80" s="1"/>
  <c r="U79" i="80"/>
  <c r="M79" i="80"/>
  <c r="J25" i="80"/>
  <c r="J26" i="80" s="1"/>
  <c r="J116" i="80" s="1"/>
  <c r="J47" i="80"/>
  <c r="J48" i="80" s="1"/>
  <c r="U168" i="80"/>
  <c r="U175" i="80" s="1"/>
  <c r="U181" i="80" s="1"/>
  <c r="Q164" i="80"/>
  <c r="R161" i="80" s="1"/>
  <c r="M164" i="80"/>
  <c r="M167" i="80" s="1"/>
  <c r="I112" i="80"/>
  <c r="AD109" i="80"/>
  <c r="AD111" i="80"/>
  <c r="AB112" i="80"/>
  <c r="AB111" i="80"/>
  <c r="Y114" i="80"/>
  <c r="Y156" i="80" s="1"/>
  <c r="Y162" i="80" s="1"/>
  <c r="Y111" i="80"/>
  <c r="T106" i="80"/>
  <c r="T137" i="80" s="1"/>
  <c r="L106" i="80"/>
  <c r="L137" i="80" s="1"/>
  <c r="AG109" i="80"/>
  <c r="AG111" i="80"/>
  <c r="AA117" i="80"/>
  <c r="AA184" i="80" s="1"/>
  <c r="AA23" i="168" s="1"/>
  <c r="AA111" i="80"/>
  <c r="X116" i="80"/>
  <c r="X111" i="80"/>
  <c r="S168" i="80"/>
  <c r="S175" i="80" s="1"/>
  <c r="S181" i="80" s="1"/>
  <c r="K164" i="80"/>
  <c r="L161" i="80" s="1"/>
  <c r="AF116" i="80"/>
  <c r="AF111" i="80"/>
  <c r="Z110" i="80"/>
  <c r="Z111" i="80"/>
  <c r="W95" i="80"/>
  <c r="W96" i="80" s="1"/>
  <c r="W122" i="80" s="1"/>
  <c r="R164" i="80"/>
  <c r="R167" i="80" s="1"/>
  <c r="J168" i="80"/>
  <c r="J175" i="80" s="1"/>
  <c r="J181" i="80" s="1"/>
  <c r="AE112" i="80"/>
  <c r="AE111" i="80"/>
  <c r="AC102" i="80"/>
  <c r="AC111" i="80"/>
  <c r="I21" i="80"/>
  <c r="I104" i="80" s="1"/>
  <c r="I130" i="80" s="1"/>
  <c r="K66" i="80"/>
  <c r="K68" i="80" s="1"/>
  <c r="P78" i="80"/>
  <c r="AB98" i="80"/>
  <c r="X109" i="80"/>
  <c r="X105" i="80"/>
  <c r="X134" i="80" s="1"/>
  <c r="AB102" i="80"/>
  <c r="AB95" i="80"/>
  <c r="AF102" i="80"/>
  <c r="AF106" i="80"/>
  <c r="AF137" i="80" s="1"/>
  <c r="AF98" i="80"/>
  <c r="AB109" i="80"/>
  <c r="AF95" i="80"/>
  <c r="AF117" i="80"/>
  <c r="AF184" i="80" s="1"/>
  <c r="AF114" i="80"/>
  <c r="AF156" i="80" s="1"/>
  <c r="AF162" i="80" s="1"/>
  <c r="X114" i="80"/>
  <c r="X156" i="80" s="1"/>
  <c r="X29" i="168" s="1"/>
  <c r="X168" i="80"/>
  <c r="AE95" i="80"/>
  <c r="AE117" i="80"/>
  <c r="AE184" i="80" s="1"/>
  <c r="AE23" i="168" s="1"/>
  <c r="R104" i="80"/>
  <c r="R130" i="80" s="1"/>
  <c r="Y98" i="80"/>
  <c r="AA95" i="80"/>
  <c r="Y95" i="80"/>
  <c r="Y102" i="80"/>
  <c r="U114" i="80"/>
  <c r="U156" i="80" s="1"/>
  <c r="U162" i="80" s="1"/>
  <c r="AE98" i="80"/>
  <c r="AA102" i="80"/>
  <c r="W164" i="80"/>
  <c r="W167" i="80" s="1"/>
  <c r="W56" i="80"/>
  <c r="W58" i="80" s="1"/>
  <c r="N56" i="80"/>
  <c r="N58" i="80" s="1"/>
  <c r="K12" i="80"/>
  <c r="K43" i="80" s="1"/>
  <c r="K44" i="80" s="1"/>
  <c r="W21" i="80"/>
  <c r="W104" i="80" s="1"/>
  <c r="W130" i="80" s="1"/>
  <c r="I61" i="80"/>
  <c r="I63" i="80" s="1"/>
  <c r="T117" i="80"/>
  <c r="W61" i="80"/>
  <c r="W63" i="80" s="1"/>
  <c r="S61" i="80"/>
  <c r="S63" i="80" s="1"/>
  <c r="O61" i="80"/>
  <c r="O63" i="80" s="1"/>
  <c r="V25" i="80"/>
  <c r="V26" i="80" s="1"/>
  <c r="V116" i="80" s="1"/>
  <c r="R12" i="80"/>
  <c r="R20" i="80" s="1"/>
  <c r="Q12" i="80"/>
  <c r="Q140" i="80" s="1"/>
  <c r="M12" i="80"/>
  <c r="M140" i="80" s="1"/>
  <c r="P51" i="80"/>
  <c r="P53" i="80" s="1"/>
  <c r="I56" i="80"/>
  <c r="I58" i="80" s="1"/>
  <c r="O17" i="80"/>
  <c r="O38" i="80" s="1"/>
  <c r="U78" i="80"/>
  <c r="M78" i="80"/>
  <c r="P61" i="80"/>
  <c r="P63" i="80" s="1"/>
  <c r="W25" i="80"/>
  <c r="W26" i="80" s="1"/>
  <c r="W116" i="80" s="1"/>
  <c r="E116" i="80" s="1"/>
  <c r="AD112" i="80"/>
  <c r="J51" i="80"/>
  <c r="J53" i="80" s="1"/>
  <c r="L12" i="80"/>
  <c r="L20" i="80" s="1"/>
  <c r="O35" i="80"/>
  <c r="J88" i="80"/>
  <c r="H22" i="80"/>
  <c r="L82" i="80"/>
  <c r="L35" i="80"/>
  <c r="X95" i="80"/>
  <c r="X98" i="80"/>
  <c r="X102" i="80"/>
  <c r="X112" i="80"/>
  <c r="H18" i="80"/>
  <c r="Q51" i="80"/>
  <c r="Q53" i="80" s="1"/>
  <c r="N35" i="80"/>
  <c r="T105" i="80"/>
  <c r="T134" i="80" s="1"/>
  <c r="M87" i="80"/>
  <c r="S78" i="80"/>
  <c r="O87" i="80"/>
  <c r="L117" i="80"/>
  <c r="L114" i="80"/>
  <c r="L156" i="80" s="1"/>
  <c r="L162" i="80" s="1"/>
  <c r="X110" i="80"/>
  <c r="I43" i="80"/>
  <c r="R51" i="80"/>
  <c r="R53" i="80" s="1"/>
  <c r="V79" i="80"/>
  <c r="J79" i="80"/>
  <c r="K61" i="80"/>
  <c r="K63" i="80" s="1"/>
  <c r="K51" i="80"/>
  <c r="K53" i="80" s="1"/>
  <c r="U21" i="80"/>
  <c r="U104" i="80" s="1"/>
  <c r="U130" i="80" s="1"/>
  <c r="Q35" i="80"/>
  <c r="M35" i="80"/>
  <c r="U106" i="80"/>
  <c r="U137" i="80" s="1"/>
  <c r="T17" i="80"/>
  <c r="T102" i="80" s="1"/>
  <c r="O21" i="80"/>
  <c r="O104" i="80" s="1"/>
  <c r="O130" i="80" s="1"/>
  <c r="T35" i="80"/>
  <c r="S114" i="80"/>
  <c r="S156" i="80" s="1"/>
  <c r="S162" i="80" s="1"/>
  <c r="W72" i="80"/>
  <c r="W73" i="80" s="1"/>
  <c r="O72" i="80"/>
  <c r="O73" i="80" s="1"/>
  <c r="W66" i="80"/>
  <c r="W68" i="80" s="1"/>
  <c r="T66" i="80"/>
  <c r="T68" i="80" s="1"/>
  <c r="V61" i="80"/>
  <c r="V63" i="80" s="1"/>
  <c r="R61" i="80"/>
  <c r="R63" i="80" s="1"/>
  <c r="N61" i="80"/>
  <c r="N63" i="80" s="1"/>
  <c r="U25" i="80"/>
  <c r="U26" i="80" s="1"/>
  <c r="U116" i="80" s="1"/>
  <c r="Q25" i="80"/>
  <c r="Q26" i="80" s="1"/>
  <c r="Q116" i="80" s="1"/>
  <c r="L79" i="80"/>
  <c r="W87" i="80"/>
  <c r="L6" i="169" s="1"/>
  <c r="I82" i="80"/>
  <c r="I85" i="80"/>
  <c r="J56" i="80"/>
  <c r="J58" i="80" s="1"/>
  <c r="N114" i="80"/>
  <c r="N156" i="80" s="1"/>
  <c r="N162" i="80" s="1"/>
  <c r="P17" i="80"/>
  <c r="P102" i="80" s="1"/>
  <c r="S21" i="80"/>
  <c r="S104" i="80" s="1"/>
  <c r="S130" i="80" s="1"/>
  <c r="O46" i="80"/>
  <c r="W35" i="80"/>
  <c r="S35" i="80"/>
  <c r="S79" i="80"/>
  <c r="O79" i="80"/>
  <c r="L85" i="80"/>
  <c r="T72" i="80"/>
  <c r="T73" i="80" s="1"/>
  <c r="P72" i="80"/>
  <c r="P73" i="80" s="1"/>
  <c r="Q66" i="80"/>
  <c r="Q68" i="80" s="1"/>
  <c r="R25" i="80"/>
  <c r="R26" i="80" s="1"/>
  <c r="R116" i="80" s="1"/>
  <c r="N25" i="80"/>
  <c r="N26" i="80" s="1"/>
  <c r="N116" i="80" s="1"/>
  <c r="V56" i="80"/>
  <c r="V58" i="80" s="1"/>
  <c r="O78" i="80"/>
  <c r="I47" i="80"/>
  <c r="I48" i="80" s="1"/>
  <c r="I72" i="80"/>
  <c r="I73" i="80" s="1"/>
  <c r="M25" i="80"/>
  <c r="M26" i="80" s="1"/>
  <c r="M116" i="80" s="1"/>
  <c r="K95" i="80"/>
  <c r="K96" i="80" s="1"/>
  <c r="K98" i="80" s="1"/>
  <c r="K99" i="80" s="1"/>
  <c r="K121" i="80" s="1"/>
  <c r="AD98" i="80"/>
  <c r="K109" i="80"/>
  <c r="S95" i="80"/>
  <c r="S96" i="80" s="1"/>
  <c r="S122" i="80" s="1"/>
  <c r="N105" i="80"/>
  <c r="N134" i="80" s="1"/>
  <c r="AD95" i="80"/>
  <c r="AD102" i="80"/>
  <c r="Q168" i="80"/>
  <c r="Q175" i="80" s="1"/>
  <c r="Q181" i="80" s="1"/>
  <c r="AD106" i="80"/>
  <c r="AD137" i="80" s="1"/>
  <c r="AD116" i="80"/>
  <c r="T164" i="80"/>
  <c r="AD110" i="80"/>
  <c r="I114" i="80"/>
  <c r="I156" i="80" s="1"/>
  <c r="I162" i="80" s="1"/>
  <c r="I95" i="80"/>
  <c r="I96" i="80" s="1"/>
  <c r="I122" i="80" s="1"/>
  <c r="AD117" i="80"/>
  <c r="AD184" i="80" s="1"/>
  <c r="AD23" i="168" s="1"/>
  <c r="AD114" i="80"/>
  <c r="AD156" i="80" s="1"/>
  <c r="Q114" i="80"/>
  <c r="Q156" i="80" s="1"/>
  <c r="Q162" i="80" s="1"/>
  <c r="U105" i="80"/>
  <c r="U134" i="80" s="1"/>
  <c r="Q95" i="80"/>
  <c r="Q96" i="80" s="1"/>
  <c r="Q122" i="80" s="1"/>
  <c r="AG102" i="80"/>
  <c r="I106" i="80"/>
  <c r="I137" i="80" s="1"/>
  <c r="M114" i="80"/>
  <c r="M156" i="80" s="1"/>
  <c r="M162" i="80" s="1"/>
  <c r="U117" i="80"/>
  <c r="AG98" i="80"/>
  <c r="M168" i="80"/>
  <c r="M175" i="80" s="1"/>
  <c r="M181" i="80" s="1"/>
  <c r="AG114" i="80"/>
  <c r="AG156" i="80" s="1"/>
  <c r="AG162" i="80" s="1"/>
  <c r="AG116" i="80"/>
  <c r="E106" i="80"/>
  <c r="S110" i="80"/>
  <c r="S18" i="80"/>
  <c r="S103" i="80" s="1"/>
  <c r="S126" i="80" s="1"/>
  <c r="S161" i="80"/>
  <c r="W30" i="80"/>
  <c r="V22" i="80"/>
  <c r="V105" i="80" s="1"/>
  <c r="V134" i="80" s="1"/>
  <c r="V21" i="80"/>
  <c r="V104" i="80" s="1"/>
  <c r="V130" i="80" s="1"/>
  <c r="V168" i="80"/>
  <c r="V175" i="80" s="1"/>
  <c r="V181" i="80" s="1"/>
  <c r="V95" i="80"/>
  <c r="V96" i="80" s="1"/>
  <c r="V98" i="80" s="1"/>
  <c r="V99" i="80" s="1"/>
  <c r="V121" i="80" s="1"/>
  <c r="V114" i="80"/>
  <c r="V156" i="80" s="1"/>
  <c r="V162" i="80" s="1"/>
  <c r="V117" i="80"/>
  <c r="V106" i="80"/>
  <c r="V137" i="80" s="1"/>
  <c r="V164" i="80"/>
  <c r="N168" i="80"/>
  <c r="N175" i="80" s="1"/>
  <c r="N181" i="80" s="1"/>
  <c r="N117" i="80"/>
  <c r="N164" i="80"/>
  <c r="N106" i="80"/>
  <c r="N137" i="80" s="1"/>
  <c r="Z116" i="80"/>
  <c r="Z106" i="80"/>
  <c r="Z137" i="80" s="1"/>
  <c r="Z112" i="80"/>
  <c r="Z102" i="80"/>
  <c r="Z114" i="80"/>
  <c r="Z156" i="80" s="1"/>
  <c r="Z29" i="168" s="1"/>
  <c r="N112" i="80"/>
  <c r="V35" i="80"/>
  <c r="S50" i="80"/>
  <c r="S87" i="80" s="1"/>
  <c r="P56" i="80"/>
  <c r="P58" i="80" s="1"/>
  <c r="Q56" i="80"/>
  <c r="Q58" i="80" s="1"/>
  <c r="N95" i="80"/>
  <c r="N96" i="80" s="1"/>
  <c r="N122" i="80" s="1"/>
  <c r="P21" i="80"/>
  <c r="P104" i="80" s="1"/>
  <c r="P130" i="80" s="1"/>
  <c r="P35" i="80"/>
  <c r="P87" i="80"/>
  <c r="I140" i="80"/>
  <c r="I20" i="80"/>
  <c r="K25" i="80"/>
  <c r="K26" i="80" s="1"/>
  <c r="K116" i="80" s="1"/>
  <c r="L25" i="80"/>
  <c r="L26" i="80" s="1"/>
  <c r="L116" i="80" s="1"/>
  <c r="I17" i="80"/>
  <c r="I110" i="80" s="1"/>
  <c r="Z98" i="80"/>
  <c r="H87" i="80"/>
  <c r="H79" i="80"/>
  <c r="H66" i="80"/>
  <c r="H68" i="80" s="1"/>
  <c r="I66" i="80"/>
  <c r="I68" i="80" s="1"/>
  <c r="S30" i="80"/>
  <c r="R140" i="80"/>
  <c r="O117" i="80"/>
  <c r="O42" i="80"/>
  <c r="O184" i="80" s="1"/>
  <c r="R106" i="80"/>
  <c r="R137" i="80" s="1"/>
  <c r="R117" i="80"/>
  <c r="J109" i="80"/>
  <c r="J95" i="80"/>
  <c r="J96" i="80" s="1"/>
  <c r="J98" i="80" s="1"/>
  <c r="J99" i="80" s="1"/>
  <c r="J121" i="80" s="1"/>
  <c r="J164" i="80"/>
  <c r="AC117" i="80"/>
  <c r="AC184" i="80" s="1"/>
  <c r="AC23" i="168" s="1"/>
  <c r="AC112" i="80"/>
  <c r="AC98" i="80"/>
  <c r="AC106" i="80"/>
  <c r="AC137" i="80" s="1"/>
  <c r="AC116" i="80"/>
  <c r="AC109" i="80"/>
  <c r="AC110" i="80"/>
  <c r="R168" i="80"/>
  <c r="R175" i="80" s="1"/>
  <c r="R181" i="80" s="1"/>
  <c r="Z109" i="80"/>
  <c r="P38" i="80"/>
  <c r="W17" i="80"/>
  <c r="W102" i="80" s="1"/>
  <c r="E102" i="80" s="1"/>
  <c r="M22" i="80"/>
  <c r="M105" i="80" s="1"/>
  <c r="M134" i="80" s="1"/>
  <c r="M21" i="80"/>
  <c r="M104" i="80" s="1"/>
  <c r="M130" i="80" s="1"/>
  <c r="S12" i="80"/>
  <c r="M117" i="80"/>
  <c r="M42" i="80"/>
  <c r="M184" i="80" s="1"/>
  <c r="I117" i="80"/>
  <c r="I42" i="80"/>
  <c r="J105" i="80"/>
  <c r="J134" i="80" s="1"/>
  <c r="R95" i="80"/>
  <c r="R96" i="80" s="1"/>
  <c r="R122" i="80" s="1"/>
  <c r="J106" i="80"/>
  <c r="J137" i="80" s="1"/>
  <c r="N50" i="80"/>
  <c r="N72" i="80"/>
  <c r="N73" i="80" s="1"/>
  <c r="P22" i="80"/>
  <c r="P105" i="80" s="1"/>
  <c r="P134" i="80" s="1"/>
  <c r="T21" i="80"/>
  <c r="T104" i="80" s="1"/>
  <c r="T130" i="80" s="1"/>
  <c r="Q117" i="80"/>
  <c r="R114" i="80"/>
  <c r="R156" i="80" s="1"/>
  <c r="R162" i="80" s="1"/>
  <c r="U50" i="80"/>
  <c r="I25" i="80"/>
  <c r="I26" i="80" s="1"/>
  <c r="I116" i="80" s="1"/>
  <c r="I163" i="80" s="1"/>
  <c r="J85" i="80"/>
  <c r="J84" i="80"/>
  <c r="J78" i="80"/>
  <c r="K72" i="80"/>
  <c r="K73" i="80" s="1"/>
  <c r="K47" i="80"/>
  <c r="K48" i="80" s="1"/>
  <c r="AC95" i="80"/>
  <c r="Z95" i="80"/>
  <c r="J112" i="80"/>
  <c r="AC114" i="80"/>
  <c r="AC156" i="80" s="1"/>
  <c r="AG106" i="80"/>
  <c r="AG137" i="80" s="1"/>
  <c r="AG112" i="80"/>
  <c r="AG117" i="80"/>
  <c r="AG184" i="80" s="1"/>
  <c r="AG110" i="80"/>
  <c r="AG95" i="80"/>
  <c r="Z117" i="80"/>
  <c r="Z184" i="80" s="1"/>
  <c r="Z23" i="168" s="1"/>
  <c r="P164" i="80"/>
  <c r="Q161" i="80" s="1"/>
  <c r="P114" i="80"/>
  <c r="P156" i="80" s="1"/>
  <c r="P162" i="80" s="1"/>
  <c r="R72" i="80"/>
  <c r="R73" i="80" s="1"/>
  <c r="S66" i="80"/>
  <c r="S68" i="80" s="1"/>
  <c r="O66" i="80"/>
  <c r="O68" i="80" s="1"/>
  <c r="U61" i="80"/>
  <c r="U63" i="80" s="1"/>
  <c r="Q61" i="80"/>
  <c r="Q63" i="80" s="1"/>
  <c r="T25" i="80"/>
  <c r="T26" i="80" s="1"/>
  <c r="T116" i="80" s="1"/>
  <c r="P25" i="80"/>
  <c r="P26" i="80" s="1"/>
  <c r="P116" i="80" s="1"/>
  <c r="Q22" i="80"/>
  <c r="Q105" i="80" s="1"/>
  <c r="Q134" i="80" s="1"/>
  <c r="Q21" i="80"/>
  <c r="Q104" i="80" s="1"/>
  <c r="Q130" i="80" s="1"/>
  <c r="P12" i="80"/>
  <c r="T79" i="80"/>
  <c r="L61" i="80"/>
  <c r="L63" i="80" s="1"/>
  <c r="M56" i="80"/>
  <c r="M58" i="80" s="1"/>
  <c r="L51" i="80"/>
  <c r="L53" i="80" s="1"/>
  <c r="L47" i="80"/>
  <c r="L48" i="80" s="1"/>
  <c r="J114" i="80"/>
  <c r="J156" i="80" s="1"/>
  <c r="J162" i="80" s="1"/>
  <c r="P106" i="80"/>
  <c r="P137" i="80" s="1"/>
  <c r="L112" i="80"/>
  <c r="O164" i="80"/>
  <c r="O167" i="80" s="1"/>
  <c r="O105" i="80"/>
  <c r="O134" i="80" s="1"/>
  <c r="O102" i="80"/>
  <c r="K168" i="80"/>
  <c r="K175" i="80" s="1"/>
  <c r="K181" i="80" s="1"/>
  <c r="K117" i="80"/>
  <c r="AE102" i="80"/>
  <c r="H12" i="80"/>
  <c r="H20" i="80" s="1"/>
  <c r="W117" i="80"/>
  <c r="E117" i="80" s="1"/>
  <c r="T114" i="80"/>
  <c r="T156" i="80" s="1"/>
  <c r="T162" i="80" s="1"/>
  <c r="O114" i="80"/>
  <c r="O156" i="80" s="1"/>
  <c r="O162" i="80" s="1"/>
  <c r="S105" i="80"/>
  <c r="S134" i="80" s="1"/>
  <c r="P117" i="80"/>
  <c r="W78" i="80"/>
  <c r="L4" i="169" s="1"/>
  <c r="I78" i="80"/>
  <c r="J66" i="80"/>
  <c r="J68" i="80" s="1"/>
  <c r="AA98" i="80"/>
  <c r="W51" i="80"/>
  <c r="W53" i="80" s="1"/>
  <c r="R22" i="80"/>
  <c r="R105" i="80" s="1"/>
  <c r="R134" i="80" s="1"/>
  <c r="R35" i="80"/>
  <c r="S42" i="80"/>
  <c r="S184" i="80" s="1"/>
  <c r="S117" i="80"/>
  <c r="K87" i="80"/>
  <c r="K79" i="80"/>
  <c r="L72" i="80"/>
  <c r="L73" i="80" s="1"/>
  <c r="M72" i="80"/>
  <c r="M73" i="80" s="1"/>
  <c r="U72" i="80"/>
  <c r="U73" i="80" s="1"/>
  <c r="V72" i="80"/>
  <c r="V73" i="80" s="1"/>
  <c r="V30" i="80"/>
  <c r="V17" i="80"/>
  <c r="V111" i="80" s="1"/>
  <c r="R30" i="80"/>
  <c r="N30" i="80"/>
  <c r="N17" i="80"/>
  <c r="N111" i="80" s="1"/>
  <c r="K85" i="80"/>
  <c r="K88" i="80"/>
  <c r="U56" i="80"/>
  <c r="U58" i="80" s="1"/>
  <c r="T56" i="80"/>
  <c r="T58" i="80" s="1"/>
  <c r="V87" i="80"/>
  <c r="V78" i="80"/>
  <c r="R78" i="80"/>
  <c r="R87" i="80"/>
  <c r="N79" i="80"/>
  <c r="N78" i="80"/>
  <c r="T87" i="80"/>
  <c r="M61" i="80"/>
  <c r="Q72" i="80"/>
  <c r="Q73" i="80" s="1"/>
  <c r="V66" i="80"/>
  <c r="V68" i="80" s="1"/>
  <c r="R66" i="80"/>
  <c r="R68" i="80" s="1"/>
  <c r="T61" i="80"/>
  <c r="T63" i="80" s="1"/>
  <c r="S25" i="80"/>
  <c r="S26" i="80" s="1"/>
  <c r="S116" i="80" s="1"/>
  <c r="O25" i="80"/>
  <c r="O26" i="80" s="1"/>
  <c r="O116" i="80" s="1"/>
  <c r="U30" i="80"/>
  <c r="Q17" i="80"/>
  <c r="Q110" i="80" s="1"/>
  <c r="O58" i="80"/>
  <c r="Q87" i="80"/>
  <c r="L78" i="80"/>
  <c r="I79" i="80"/>
  <c r="L66" i="80"/>
  <c r="L68" i="80" s="1"/>
  <c r="L56" i="80"/>
  <c r="L58" i="80" s="1"/>
  <c r="H35" i="80"/>
  <c r="L17" i="80"/>
  <c r="L111" i="80" s="1"/>
  <c r="O106" i="80"/>
  <c r="O137" i="80" s="1"/>
  <c r="K112" i="80"/>
  <c r="O168" i="80"/>
  <c r="O175" i="80" s="1"/>
  <c r="O181" i="80" s="1"/>
  <c r="L164" i="80"/>
  <c r="M161" i="80" s="1"/>
  <c r="AE110" i="80"/>
  <c r="AE106" i="80"/>
  <c r="AE137" i="80" s="1"/>
  <c r="AA109" i="80"/>
  <c r="AB116" i="80"/>
  <c r="AA116" i="80"/>
  <c r="AA106" i="80"/>
  <c r="AA137" i="80" s="1"/>
  <c r="AF104" i="80"/>
  <c r="AF130" i="80" s="1"/>
  <c r="M51" i="80"/>
  <c r="M53" i="80" s="1"/>
  <c r="T12" i="80"/>
  <c r="W12" i="80"/>
  <c r="O12" i="80"/>
  <c r="R17" i="80"/>
  <c r="R111" i="80" s="1"/>
  <c r="R56" i="80"/>
  <c r="R58" i="80" s="1"/>
  <c r="J35" i="80"/>
  <c r="L104" i="80"/>
  <c r="L130" i="80" s="1"/>
  <c r="J12" i="80"/>
  <c r="J140" i="80" s="1"/>
  <c r="O95" i="80"/>
  <c r="O96" i="80" s="1"/>
  <c r="P95" i="80"/>
  <c r="P96" i="80" s="1"/>
  <c r="P122" i="80" s="1"/>
  <c r="S106" i="80"/>
  <c r="S137" i="80" s="1"/>
  <c r="AE116" i="80"/>
  <c r="L109" i="80"/>
  <c r="S164" i="80"/>
  <c r="P168" i="80"/>
  <c r="P175" i="80" s="1"/>
  <c r="P181" i="80" s="1"/>
  <c r="AE114" i="80"/>
  <c r="AE156" i="80" s="1"/>
  <c r="AE109" i="80"/>
  <c r="AB110" i="80"/>
  <c r="AA112" i="80"/>
  <c r="AB114" i="80"/>
  <c r="AB156" i="80" s="1"/>
  <c r="AB106" i="80"/>
  <c r="AB137" i="80" s="1"/>
  <c r="AD103" i="80"/>
  <c r="AD126" i="80" s="1"/>
  <c r="V12" i="80"/>
  <c r="N12" i="80"/>
  <c r="R79" i="80"/>
  <c r="K17" i="80"/>
  <c r="K111" i="80" s="1"/>
  <c r="J117" i="80"/>
  <c r="K114" i="80"/>
  <c r="K156" i="80" s="1"/>
  <c r="K162" i="80" s="1"/>
  <c r="K105" i="80"/>
  <c r="K134" i="80" s="1"/>
  <c r="K106" i="80"/>
  <c r="K137" i="80" s="1"/>
  <c r="AA110" i="80"/>
  <c r="AA114" i="80"/>
  <c r="AA156" i="80" s="1"/>
  <c r="AD104" i="80"/>
  <c r="AD130" i="80" s="1"/>
  <c r="AE105" i="80"/>
  <c r="AE134" i="80" s="1"/>
  <c r="AD105" i="80"/>
  <c r="AD134" i="80" s="1"/>
  <c r="AG105" i="80"/>
  <c r="AG134" i="80" s="1"/>
  <c r="AB105" i="80"/>
  <c r="AB134" i="80" s="1"/>
  <c r="AF105" i="80"/>
  <c r="AF134" i="80" s="1"/>
  <c r="AC105" i="80"/>
  <c r="AC134" i="80" s="1"/>
  <c r="AA105" i="80"/>
  <c r="AA134" i="80" s="1"/>
  <c r="E5" i="166"/>
  <c r="E7" i="166" s="1"/>
  <c r="D7" i="166"/>
  <c r="F5" i="166"/>
  <c r="F7" i="166" s="1"/>
  <c r="AE104" i="80"/>
  <c r="AE130" i="80" s="1"/>
  <c r="AG104" i="80"/>
  <c r="AG130" i="80" s="1"/>
  <c r="AC103" i="80"/>
  <c r="AC126" i="80" s="1"/>
  <c r="E6" i="166"/>
  <c r="U66" i="80"/>
  <c r="U68" i="80" s="1"/>
  <c r="E114" i="80"/>
  <c r="Q30" i="80"/>
  <c r="N66" i="80"/>
  <c r="N68" i="80" s="1"/>
  <c r="M66" i="80"/>
  <c r="M68" i="80" s="1"/>
  <c r="M30" i="80"/>
  <c r="U17" i="80"/>
  <c r="U111" i="80" s="1"/>
  <c r="M17" i="80"/>
  <c r="M111" i="80" s="1"/>
  <c r="I84" i="80"/>
  <c r="I164" i="80"/>
  <c r="U164" i="80"/>
  <c r="U35" i="80"/>
  <c r="S56" i="80"/>
  <c r="S58" i="80" s="1"/>
  <c r="L84" i="80"/>
  <c r="K35" i="80"/>
  <c r="K56" i="80"/>
  <c r="K58" i="80" s="1"/>
  <c r="K78" i="80"/>
  <c r="J21" i="80"/>
  <c r="J104" i="80" s="1"/>
  <c r="J130" i="80" s="1"/>
  <c r="K84" i="80"/>
  <c r="I35" i="80"/>
  <c r="K82" i="80"/>
  <c r="J17" i="80"/>
  <c r="J111" i="80" s="1"/>
  <c r="L22" i="80"/>
  <c r="L105" i="80" s="1"/>
  <c r="L134" i="80" s="1"/>
  <c r="I105" i="80"/>
  <c r="I134" i="80" s="1"/>
  <c r="L95" i="80"/>
  <c r="L96" i="80" s="1"/>
  <c r="L122" i="80" s="1"/>
  <c r="T95" i="80"/>
  <c r="T96" i="80" s="1"/>
  <c r="T122" i="80" s="1"/>
  <c r="M95" i="80"/>
  <c r="M96" i="80" s="1"/>
  <c r="M122" i="80" s="1"/>
  <c r="U95" i="80"/>
  <c r="U96" i="80" s="1"/>
  <c r="U122" i="80" s="1"/>
  <c r="M106" i="80"/>
  <c r="Q106" i="80"/>
  <c r="Q137" i="80" s="1"/>
  <c r="I109" i="80"/>
  <c r="I168" i="80"/>
  <c r="I175" i="80" s="1"/>
  <c r="I181" i="80" s="1"/>
  <c r="L168" i="80"/>
  <c r="L175" i="80" s="1"/>
  <c r="L181" i="80" s="1"/>
  <c r="T168" i="80"/>
  <c r="T175" i="80" s="1"/>
  <c r="T181" i="80" s="1"/>
  <c r="Q79" i="80"/>
  <c r="L88" i="80"/>
  <c r="K21" i="80"/>
  <c r="K104" i="80" s="1"/>
  <c r="K130" i="80" s="1"/>
  <c r="Y104" i="80"/>
  <c r="Y130" i="80" s="1"/>
  <c r="Y103" i="80"/>
  <c r="Y126" i="80" s="1"/>
  <c r="Y109" i="80"/>
  <c r="Y105" i="80"/>
  <c r="Y134" i="80" s="1"/>
  <c r="Y116" i="80"/>
  <c r="Y110" i="80"/>
  <c r="Y112" i="80"/>
  <c r="AF103" i="80"/>
  <c r="AF126" i="80" s="1"/>
  <c r="AF109" i="80"/>
  <c r="AF110" i="80"/>
  <c r="AF112" i="80"/>
  <c r="Y117" i="80"/>
  <c r="Y184" i="80" s="1"/>
  <c r="Y23" i="168" s="1"/>
  <c r="Y106" i="80"/>
  <c r="Y137" i="80" s="1"/>
  <c r="G4" i="166"/>
  <c r="F6" i="166"/>
  <c r="F3" i="166"/>
  <c r="Z104" i="80"/>
  <c r="Z130" i="80" s="1"/>
  <c r="AB104" i="80"/>
  <c r="AB130" i="80" s="1"/>
  <c r="AA104" i="80"/>
  <c r="AA130" i="80" s="1"/>
  <c r="H84" i="80"/>
  <c r="H82" i="80"/>
  <c r="H85" i="80"/>
  <c r="H78" i="80"/>
  <c r="AA103" i="80"/>
  <c r="AA126" i="80" s="1"/>
  <c r="AE103" i="80"/>
  <c r="AE126" i="80" s="1"/>
  <c r="X103" i="80"/>
  <c r="X126" i="80" s="1"/>
  <c r="Z103" i="80"/>
  <c r="Z126" i="80" s="1"/>
  <c r="E3" i="166"/>
  <c r="AG103" i="80"/>
  <c r="AG126" i="80" s="1"/>
  <c r="AB103" i="80"/>
  <c r="AB126" i="80" s="1"/>
  <c r="AB117" i="80"/>
  <c r="AB184" i="80" s="1"/>
  <c r="AB23" i="168" s="1"/>
  <c r="Z105" i="80"/>
  <c r="Z134" i="80" s="1"/>
  <c r="X104" i="80"/>
  <c r="X130" i="80" s="1"/>
  <c r="X106" i="80"/>
  <c r="X137" i="80" s="1"/>
  <c r="X117" i="80"/>
  <c r="X184" i="80" s="1"/>
  <c r="X23" i="168" s="1"/>
  <c r="AC104" i="80"/>
  <c r="AC130" i="80" s="1"/>
  <c r="W134" i="80" l="1"/>
  <c r="I8" i="166"/>
  <c r="H16" i="166"/>
  <c r="H18" i="166" s="1"/>
  <c r="Y29" i="168"/>
  <c r="D133" i="168"/>
  <c r="O18" i="80"/>
  <c r="O103" i="80" s="1"/>
  <c r="O126" i="80" s="1"/>
  <c r="S102" i="80"/>
  <c r="S38" i="80"/>
  <c r="N161" i="80"/>
  <c r="N163" i="80" s="1"/>
  <c r="X162" i="80"/>
  <c r="U140" i="80"/>
  <c r="Q20" i="80"/>
  <c r="Q167" i="80"/>
  <c r="U20" i="80"/>
  <c r="L163" i="80"/>
  <c r="K140" i="80"/>
  <c r="K20" i="80"/>
  <c r="R43" i="80"/>
  <c r="R44" i="80" s="1"/>
  <c r="K167" i="80"/>
  <c r="Y168" i="80"/>
  <c r="X175" i="80"/>
  <c r="X181" i="80" s="1"/>
  <c r="X154" i="80"/>
  <c r="I44" i="80"/>
  <c r="I184" i="80"/>
  <c r="L110" i="80"/>
  <c r="Q102" i="80"/>
  <c r="J20" i="80"/>
  <c r="M20" i="80"/>
  <c r="P18" i="80"/>
  <c r="P103" i="80" s="1"/>
  <c r="P126" i="80" s="1"/>
  <c r="L102" i="80"/>
  <c r="P111" i="80"/>
  <c r="W111" i="80"/>
  <c r="O111" i="80"/>
  <c r="T111" i="80"/>
  <c r="I111" i="80"/>
  <c r="Q111" i="80"/>
  <c r="AD162" i="80"/>
  <c r="AD29" i="168"/>
  <c r="AE162" i="80"/>
  <c r="AE29" i="168"/>
  <c r="D150" i="168" s="1"/>
  <c r="X161" i="80"/>
  <c r="X163" i="80" s="1"/>
  <c r="P167" i="80"/>
  <c r="E104" i="80"/>
  <c r="S163" i="80"/>
  <c r="P110" i="80"/>
  <c r="M43" i="80"/>
  <c r="M44" i="80" s="1"/>
  <c r="R163" i="80"/>
  <c r="O110" i="80"/>
  <c r="T18" i="80"/>
  <c r="T103" i="80" s="1"/>
  <c r="T126" i="80" s="1"/>
  <c r="J43" i="80"/>
  <c r="J44" i="80" s="1"/>
  <c r="Z162" i="80"/>
  <c r="T38" i="80"/>
  <c r="Q43" i="80"/>
  <c r="Q44" i="80" s="1"/>
  <c r="T110" i="80"/>
  <c r="L43" i="80"/>
  <c r="L44" i="80" s="1"/>
  <c r="L140" i="80"/>
  <c r="K122" i="80"/>
  <c r="K123" i="80" s="1"/>
  <c r="K131" i="80" s="1"/>
  <c r="Q112" i="80"/>
  <c r="S81" i="80"/>
  <c r="S82" i="80" s="1"/>
  <c r="S84" i="80" s="1"/>
  <c r="O81" i="80"/>
  <c r="O82" i="80" s="1"/>
  <c r="O88" i="80" s="1"/>
  <c r="R98" i="80"/>
  <c r="R99" i="80" s="1"/>
  <c r="R121" i="80" s="1"/>
  <c r="R123" i="80" s="1"/>
  <c r="R135" i="80" s="1"/>
  <c r="Q46" i="80"/>
  <c r="M163" i="80"/>
  <c r="I102" i="80"/>
  <c r="Q81" i="80"/>
  <c r="Q82" i="80" s="1"/>
  <c r="Q109" i="80"/>
  <c r="I18" i="80"/>
  <c r="I103" i="80" s="1"/>
  <c r="I126" i="80" s="1"/>
  <c r="N81" i="80"/>
  <c r="H43" i="80"/>
  <c r="H44" i="80" s="1"/>
  <c r="W81" i="80"/>
  <c r="D22" i="165" s="1"/>
  <c r="D40" i="166" s="1"/>
  <c r="Q38" i="80"/>
  <c r="M63" i="80"/>
  <c r="O109" i="80"/>
  <c r="Q163" i="80"/>
  <c r="J122" i="80"/>
  <c r="J123" i="80" s="1"/>
  <c r="J147" i="80" s="1"/>
  <c r="N98" i="80"/>
  <c r="N99" i="80" s="1"/>
  <c r="N121" i="80" s="1"/>
  <c r="N123" i="80" s="1"/>
  <c r="N147" i="80" s="1"/>
  <c r="U161" i="80"/>
  <c r="U163" i="80" s="1"/>
  <c r="T167" i="80"/>
  <c r="P161" i="80"/>
  <c r="P163" i="80" s="1"/>
  <c r="D116" i="80"/>
  <c r="L167" i="80"/>
  <c r="D105" i="80"/>
  <c r="D104" i="80"/>
  <c r="W161" i="80"/>
  <c r="W163" i="80" s="1"/>
  <c r="V167" i="80"/>
  <c r="X96" i="80"/>
  <c r="X122" i="80" s="1"/>
  <c r="M112" i="80"/>
  <c r="M46" i="80"/>
  <c r="M81" i="80"/>
  <c r="S140" i="80"/>
  <c r="S20" i="80"/>
  <c r="S43" i="80"/>
  <c r="S44" i="80" s="1"/>
  <c r="O161" i="80"/>
  <c r="O163" i="80" s="1"/>
  <c r="N167" i="80"/>
  <c r="U112" i="80"/>
  <c r="U81" i="80"/>
  <c r="U87" i="80"/>
  <c r="V51" i="80"/>
  <c r="V53" i="80" s="1"/>
  <c r="W110" i="80"/>
  <c r="E110" i="80" s="1"/>
  <c r="W18" i="80"/>
  <c r="W103" i="80" s="1"/>
  <c r="W38" i="80"/>
  <c r="D114" i="80"/>
  <c r="Q18" i="80"/>
  <c r="Q103" i="80" s="1"/>
  <c r="Q126" i="80" s="1"/>
  <c r="V122" i="80"/>
  <c r="V123" i="80" s="1"/>
  <c r="D117" i="80"/>
  <c r="AC29" i="168"/>
  <c r="AC162" i="80"/>
  <c r="J167" i="80"/>
  <c r="K161" i="80"/>
  <c r="K163" i="80" s="1"/>
  <c r="W98" i="80"/>
  <c r="W99" i="80" s="1"/>
  <c r="W121" i="80" s="1"/>
  <c r="W123" i="80" s="1"/>
  <c r="U51" i="80"/>
  <c r="U53" i="80" s="1"/>
  <c r="U46" i="80"/>
  <c r="U109" i="80"/>
  <c r="S112" i="80"/>
  <c r="S46" i="80"/>
  <c r="N46" i="80"/>
  <c r="I38" i="80"/>
  <c r="M109" i="80"/>
  <c r="P140" i="80"/>
  <c r="P20" i="80"/>
  <c r="P43" i="80"/>
  <c r="P44" i="80" s="1"/>
  <c r="O51" i="80"/>
  <c r="O53" i="80" s="1"/>
  <c r="N51" i="80"/>
  <c r="N53" i="80" s="1"/>
  <c r="N87" i="80"/>
  <c r="T51" i="80"/>
  <c r="T53" i="80" s="1"/>
  <c r="S51" i="80"/>
  <c r="S53" i="80" s="1"/>
  <c r="N109" i="80"/>
  <c r="S109" i="80"/>
  <c r="S98" i="80"/>
  <c r="S99" i="80" s="1"/>
  <c r="S121" i="80" s="1"/>
  <c r="S123" i="80" s="1"/>
  <c r="S135" i="80" s="1"/>
  <c r="O122" i="80"/>
  <c r="O98" i="80"/>
  <c r="O99" i="80" s="1"/>
  <c r="O121" i="80" s="1"/>
  <c r="T161" i="80"/>
  <c r="T163" i="80" s="1"/>
  <c r="S167" i="80"/>
  <c r="V81" i="80"/>
  <c r="V46" i="80"/>
  <c r="W140" i="80"/>
  <c r="W20" i="80"/>
  <c r="W43" i="80"/>
  <c r="W44" i="80" s="1"/>
  <c r="L38" i="80"/>
  <c r="L18" i="80"/>
  <c r="L103" i="80" s="1"/>
  <c r="L126" i="80" s="1"/>
  <c r="P81" i="80"/>
  <c r="P46" i="80"/>
  <c r="W109" i="80"/>
  <c r="E109" i="80" s="1"/>
  <c r="W46" i="80"/>
  <c r="N43" i="80"/>
  <c r="N44" i="80" s="1"/>
  <c r="N140" i="80"/>
  <c r="N20" i="80"/>
  <c r="T140" i="80"/>
  <c r="T20" i="80"/>
  <c r="T43" i="80"/>
  <c r="T44" i="80" s="1"/>
  <c r="V20" i="80"/>
  <c r="V140" i="80"/>
  <c r="V43" i="80"/>
  <c r="V44" i="80" s="1"/>
  <c r="AB162" i="80"/>
  <c r="AB29" i="168"/>
  <c r="R110" i="80"/>
  <c r="R38" i="80"/>
  <c r="R102" i="80"/>
  <c r="R18" i="80"/>
  <c r="R103" i="80" s="1"/>
  <c r="R126" i="80" s="1"/>
  <c r="V110" i="80"/>
  <c r="V38" i="80"/>
  <c r="V102" i="80"/>
  <c r="V18" i="80"/>
  <c r="V103" i="80" s="1"/>
  <c r="V126" i="80" s="1"/>
  <c r="AA29" i="168"/>
  <c r="AA162" i="80"/>
  <c r="K18" i="80"/>
  <c r="K103" i="80" s="1"/>
  <c r="K126" i="80" s="1"/>
  <c r="K110" i="80"/>
  <c r="K38" i="80"/>
  <c r="K102" i="80"/>
  <c r="R46" i="80"/>
  <c r="R81" i="80"/>
  <c r="R109" i="80"/>
  <c r="O140" i="80"/>
  <c r="O20" i="80"/>
  <c r="O43" i="80"/>
  <c r="V109" i="80"/>
  <c r="N110" i="80"/>
  <c r="N102" i="80"/>
  <c r="N18" i="80"/>
  <c r="N103" i="80" s="1"/>
  <c r="N126" i="80" s="1"/>
  <c r="N38" i="80"/>
  <c r="T109" i="80"/>
  <c r="T81" i="80"/>
  <c r="T46" i="80"/>
  <c r="P109" i="80"/>
  <c r="L98" i="80"/>
  <c r="L99" i="80" s="1"/>
  <c r="L121" i="80" s="1"/>
  <c r="L123" i="80" s="1"/>
  <c r="L144" i="80" s="1"/>
  <c r="M98" i="80"/>
  <c r="M99" i="80" s="1"/>
  <c r="M121" i="80" s="1"/>
  <c r="M123" i="80" s="1"/>
  <c r="M135" i="80" s="1"/>
  <c r="F13" i="166"/>
  <c r="F82" i="166" s="1"/>
  <c r="P98" i="80"/>
  <c r="P99" i="80" s="1"/>
  <c r="P121" i="80" s="1"/>
  <c r="P123" i="80" s="1"/>
  <c r="E13" i="166"/>
  <c r="E82" i="166" s="1"/>
  <c r="M137" i="80"/>
  <c r="D106" i="80"/>
  <c r="U98" i="80"/>
  <c r="U99" i="80" s="1"/>
  <c r="U121" i="80" s="1"/>
  <c r="U123" i="80" s="1"/>
  <c r="M38" i="80"/>
  <c r="M110" i="80"/>
  <c r="M102" i="80"/>
  <c r="M18" i="80"/>
  <c r="M103" i="80" s="1"/>
  <c r="H4" i="166"/>
  <c r="G6" i="166"/>
  <c r="G5" i="166"/>
  <c r="G7" i="166" s="1"/>
  <c r="G3" i="166"/>
  <c r="V161" i="80"/>
  <c r="V163" i="80" s="1"/>
  <c r="U167" i="80"/>
  <c r="U38" i="80"/>
  <c r="U102" i="80"/>
  <c r="U18" i="80"/>
  <c r="U103" i="80" s="1"/>
  <c r="U126" i="80" s="1"/>
  <c r="U110" i="80"/>
  <c r="T98" i="80"/>
  <c r="T99" i="80" s="1"/>
  <c r="T121" i="80" s="1"/>
  <c r="T123" i="80" s="1"/>
  <c r="Q98" i="80"/>
  <c r="Q99" i="80" s="1"/>
  <c r="Q121" i="80" s="1"/>
  <c r="Q123" i="80" s="1"/>
  <c r="I98" i="80"/>
  <c r="I99" i="80" s="1"/>
  <c r="I121" i="80" s="1"/>
  <c r="I123" i="80" s="1"/>
  <c r="J102" i="80"/>
  <c r="J38" i="80"/>
  <c r="J110" i="80"/>
  <c r="J18" i="80"/>
  <c r="J103" i="80" s="1"/>
  <c r="J126" i="80" s="1"/>
  <c r="J161" i="80"/>
  <c r="J163" i="80" s="1"/>
  <c r="I167" i="80"/>
  <c r="J8" i="166" l="1"/>
  <c r="I16" i="166"/>
  <c r="I18" i="166" s="1"/>
  <c r="X24" i="168"/>
  <c r="X43" i="168" s="1"/>
  <c r="Q84" i="80"/>
  <c r="Z168" i="80"/>
  <c r="Y175" i="80"/>
  <c r="Y181" i="80" s="1"/>
  <c r="Q85" i="80"/>
  <c r="Y154" i="80"/>
  <c r="X170" i="80"/>
  <c r="X164" i="80"/>
  <c r="X167" i="80" s="1"/>
  <c r="O47" i="80"/>
  <c r="O84" i="80"/>
  <c r="R127" i="80"/>
  <c r="R145" i="80" s="1"/>
  <c r="R131" i="80"/>
  <c r="W82" i="80"/>
  <c r="W84" i="80" s="1"/>
  <c r="L5" i="169" s="1"/>
  <c r="R144" i="80"/>
  <c r="N82" i="80"/>
  <c r="N88" i="80" s="1"/>
  <c r="O112" i="80"/>
  <c r="Q88" i="80"/>
  <c r="N135" i="80"/>
  <c r="N127" i="80"/>
  <c r="N146" i="80" s="1"/>
  <c r="N144" i="80"/>
  <c r="N131" i="80"/>
  <c r="S127" i="80"/>
  <c r="S145" i="80" s="1"/>
  <c r="Y96" i="80"/>
  <c r="Z96" i="80" s="1"/>
  <c r="S147" i="80"/>
  <c r="S144" i="80"/>
  <c r="S131" i="80"/>
  <c r="V135" i="80"/>
  <c r="V127" i="80"/>
  <c r="V145" i="80" s="1"/>
  <c r="V144" i="80"/>
  <c r="V131" i="80"/>
  <c r="M47" i="80"/>
  <c r="M48" i="80" s="1"/>
  <c r="N47" i="80"/>
  <c r="N48" i="80" s="1"/>
  <c r="W144" i="80"/>
  <c r="W135" i="80"/>
  <c r="X99" i="80"/>
  <c r="X121" i="80" s="1"/>
  <c r="X123" i="80" s="1"/>
  <c r="W131" i="80"/>
  <c r="D109" i="80"/>
  <c r="S88" i="80"/>
  <c r="E103" i="80"/>
  <c r="W126" i="80"/>
  <c r="W127" i="80" s="1"/>
  <c r="U82" i="80"/>
  <c r="S85" i="80"/>
  <c r="M82" i="80"/>
  <c r="M84" i="80" s="1"/>
  <c r="O123" i="80"/>
  <c r="O131" i="80" s="1"/>
  <c r="O44" i="80"/>
  <c r="O85" i="80"/>
  <c r="E111" i="80"/>
  <c r="W112" i="80"/>
  <c r="V112" i="80"/>
  <c r="V147" i="80" s="1"/>
  <c r="T82" i="80"/>
  <c r="T84" i="80" s="1"/>
  <c r="R82" i="80"/>
  <c r="R85" i="80" s="1"/>
  <c r="Q47" i="80"/>
  <c r="Q48" i="80" s="1"/>
  <c r="P47" i="80"/>
  <c r="P48" i="80" s="1"/>
  <c r="T112" i="80"/>
  <c r="T147" i="80" s="1"/>
  <c r="R112" i="80"/>
  <c r="R147" i="80" s="1"/>
  <c r="P82" i="80"/>
  <c r="P84" i="80" s="1"/>
  <c r="W47" i="80"/>
  <c r="W48" i="80" s="1"/>
  <c r="V47" i="80"/>
  <c r="V48" i="80" s="1"/>
  <c r="T47" i="80"/>
  <c r="T48" i="80" s="1"/>
  <c r="U47" i="80"/>
  <c r="U48" i="80" s="1"/>
  <c r="S47" i="80"/>
  <c r="S48" i="80" s="1"/>
  <c r="R47" i="80"/>
  <c r="R48" i="80" s="1"/>
  <c r="P112" i="80"/>
  <c r="P147" i="80" s="1"/>
  <c r="V82" i="80"/>
  <c r="V88" i="80" s="1"/>
  <c r="J131" i="80"/>
  <c r="J144" i="80"/>
  <c r="J135" i="80"/>
  <c r="K127" i="80"/>
  <c r="K146" i="80" s="1"/>
  <c r="K144" i="80"/>
  <c r="K135" i="80"/>
  <c r="K147" i="80"/>
  <c r="L131" i="80"/>
  <c r="L135" i="80"/>
  <c r="L127" i="80"/>
  <c r="L146" i="80" s="1"/>
  <c r="L147" i="80"/>
  <c r="J127" i="80"/>
  <c r="J145" i="80" s="1"/>
  <c r="M131" i="80"/>
  <c r="M144" i="80"/>
  <c r="M147" i="80"/>
  <c r="I4" i="166"/>
  <c r="H5" i="166"/>
  <c r="H7" i="166" s="1"/>
  <c r="H6" i="166"/>
  <c r="H3" i="166"/>
  <c r="M126" i="80"/>
  <c r="M127" i="80" s="1"/>
  <c r="D103" i="80"/>
  <c r="I127" i="80"/>
  <c r="I147" i="80"/>
  <c r="I144" i="80"/>
  <c r="I131" i="80"/>
  <c r="T144" i="80"/>
  <c r="T127" i="80"/>
  <c r="T135" i="80"/>
  <c r="T131" i="80"/>
  <c r="G13" i="166"/>
  <c r="G82" i="166" s="1"/>
  <c r="D102" i="80"/>
  <c r="I135" i="80"/>
  <c r="P144" i="80"/>
  <c r="P127" i="80"/>
  <c r="P131" i="80"/>
  <c r="P135" i="80"/>
  <c r="Q127" i="80"/>
  <c r="Q147" i="80"/>
  <c r="Q144" i="80"/>
  <c r="Q135" i="80"/>
  <c r="Q131" i="80"/>
  <c r="D110" i="80"/>
  <c r="U144" i="80"/>
  <c r="U127" i="80"/>
  <c r="U147" i="80"/>
  <c r="U131" i="80"/>
  <c r="U135" i="80"/>
  <c r="J16" i="166" l="1"/>
  <c r="J18" i="166" s="1"/>
  <c r="K8" i="166"/>
  <c r="W88" i="80"/>
  <c r="AA168" i="80"/>
  <c r="Z175" i="80"/>
  <c r="Z181" i="80" s="1"/>
  <c r="O48" i="80"/>
  <c r="Y170" i="80"/>
  <c r="Z154" i="80"/>
  <c r="Y161" i="80"/>
  <c r="Y163" i="80" s="1"/>
  <c r="W85" i="80"/>
  <c r="S139" i="80"/>
  <c r="R139" i="80"/>
  <c r="R146" i="80"/>
  <c r="R149" i="80" s="1"/>
  <c r="N85" i="80"/>
  <c r="N145" i="80"/>
  <c r="N149" i="80" s="1"/>
  <c r="P88" i="80"/>
  <c r="Y122" i="80"/>
  <c r="P85" i="80"/>
  <c r="N84" i="80"/>
  <c r="N139" i="80"/>
  <c r="Y99" i="80"/>
  <c r="Y121" i="80" s="1"/>
  <c r="Y123" i="80" s="1"/>
  <c r="V146" i="80"/>
  <c r="S146" i="80"/>
  <c r="O147" i="80"/>
  <c r="D111" i="80"/>
  <c r="O144" i="80"/>
  <c r="V139" i="80"/>
  <c r="O135" i="80"/>
  <c r="W146" i="80"/>
  <c r="W139" i="80"/>
  <c r="W145" i="80"/>
  <c r="U84" i="80"/>
  <c r="U88" i="80"/>
  <c r="V85" i="80"/>
  <c r="T88" i="80"/>
  <c r="M85" i="80"/>
  <c r="M88" i="80"/>
  <c r="U85" i="80"/>
  <c r="V84" i="80"/>
  <c r="T85" i="80"/>
  <c r="D112" i="80"/>
  <c r="O127" i="80"/>
  <c r="K145" i="80"/>
  <c r="R84" i="80"/>
  <c r="R88" i="80"/>
  <c r="E112" i="80"/>
  <c r="W147" i="80"/>
  <c r="J139" i="80"/>
  <c r="K139" i="80"/>
  <c r="L145" i="80"/>
  <c r="J146" i="80"/>
  <c r="I139" i="80"/>
  <c r="L139" i="80"/>
  <c r="U139" i="80"/>
  <c r="Q139" i="80"/>
  <c r="P139" i="80"/>
  <c r="Z122" i="80"/>
  <c r="AA96" i="80"/>
  <c r="Q145" i="80"/>
  <c r="Q146" i="80"/>
  <c r="I3" i="166"/>
  <c r="J4" i="166"/>
  <c r="I6" i="166"/>
  <c r="I5" i="166"/>
  <c r="I7" i="166" s="1"/>
  <c r="T146" i="80"/>
  <c r="T145" i="80"/>
  <c r="I146" i="80"/>
  <c r="I145" i="80"/>
  <c r="H13" i="166"/>
  <c r="H82" i="166" s="1"/>
  <c r="P146" i="80"/>
  <c r="P145" i="80"/>
  <c r="U146" i="80"/>
  <c r="U145" i="80"/>
  <c r="T139" i="80"/>
  <c r="T151" i="80" s="1"/>
  <c r="X147" i="80"/>
  <c r="X144" i="80"/>
  <c r="X127" i="80"/>
  <c r="X135" i="80"/>
  <c r="X131" i="80"/>
  <c r="M145" i="80"/>
  <c r="M146" i="80"/>
  <c r="M139" i="80"/>
  <c r="M151" i="80" s="1"/>
  <c r="K16" i="166" l="1"/>
  <c r="K18" i="166" s="1"/>
  <c r="L8" i="166"/>
  <c r="L183" i="80"/>
  <c r="L185" i="80" s="1"/>
  <c r="L151" i="80"/>
  <c r="K183" i="80"/>
  <c r="K185" i="80" s="1"/>
  <c r="K151" i="80"/>
  <c r="U183" i="80"/>
  <c r="U185" i="80" s="1"/>
  <c r="U151" i="80"/>
  <c r="P183" i="80"/>
  <c r="P185" i="80" s="1"/>
  <c r="P151" i="80"/>
  <c r="I141" i="80"/>
  <c r="I151" i="80"/>
  <c r="J183" i="80"/>
  <c r="J185" i="80" s="1"/>
  <c r="J151" i="80"/>
  <c r="N183" i="80"/>
  <c r="N185" i="80" s="1"/>
  <c r="N151" i="80"/>
  <c r="N152" i="80" s="1"/>
  <c r="R183" i="80"/>
  <c r="R185" i="80" s="1"/>
  <c r="R186" i="80" s="1"/>
  <c r="R39" i="168" s="1"/>
  <c r="R151" i="80"/>
  <c r="R152" i="80" s="1"/>
  <c r="W183" i="80"/>
  <c r="W185" i="80" s="1"/>
  <c r="W151" i="80"/>
  <c r="Q141" i="80"/>
  <c r="Q151" i="80"/>
  <c r="V141" i="80"/>
  <c r="V151" i="80"/>
  <c r="S183" i="80"/>
  <c r="S185" i="80" s="1"/>
  <c r="S151" i="80"/>
  <c r="Y24" i="168"/>
  <c r="Y43" i="168" s="1"/>
  <c r="AB168" i="80"/>
  <c r="AA175" i="80"/>
  <c r="AA181" i="80" s="1"/>
  <c r="Y164" i="80"/>
  <c r="Z170" i="80"/>
  <c r="AA154" i="80"/>
  <c r="W149" i="80"/>
  <c r="Q149" i="80"/>
  <c r="M149" i="80"/>
  <c r="M152" i="80" s="1"/>
  <c r="T149" i="80"/>
  <c r="I149" i="80"/>
  <c r="P149" i="80"/>
  <c r="U149" i="80"/>
  <c r="N169" i="80"/>
  <c r="K149" i="80"/>
  <c r="L149" i="80"/>
  <c r="R169" i="80"/>
  <c r="S149" i="80"/>
  <c r="J149" i="80"/>
  <c r="V149" i="80"/>
  <c r="S141" i="80"/>
  <c r="R141" i="80"/>
  <c r="N141" i="80"/>
  <c r="Z99" i="80"/>
  <c r="Z121" i="80" s="1"/>
  <c r="Z123" i="80" s="1"/>
  <c r="V183" i="80"/>
  <c r="O139" i="80"/>
  <c r="W141" i="80"/>
  <c r="O145" i="80"/>
  <c r="O146" i="80"/>
  <c r="K141" i="80"/>
  <c r="J141" i="80"/>
  <c r="I183" i="80"/>
  <c r="P141" i="80"/>
  <c r="Q183" i="80"/>
  <c r="U141" i="80"/>
  <c r="L141" i="80"/>
  <c r="Y144" i="80"/>
  <c r="Y127" i="80"/>
  <c r="Y147" i="80"/>
  <c r="Y131" i="80"/>
  <c r="Y135" i="80"/>
  <c r="K4" i="166"/>
  <c r="J5" i="166"/>
  <c r="J7" i="166" s="1"/>
  <c r="J6" i="166"/>
  <c r="J3" i="166"/>
  <c r="T183" i="80"/>
  <c r="T185" i="80" s="1"/>
  <c r="T141" i="80"/>
  <c r="I13" i="166"/>
  <c r="I82" i="166" s="1"/>
  <c r="AB96" i="80"/>
  <c r="AA122" i="80"/>
  <c r="X145" i="80"/>
  <c r="X146" i="80"/>
  <c r="X139" i="80"/>
  <c r="M183" i="80"/>
  <c r="M185" i="80" s="1"/>
  <c r="M141" i="80"/>
  <c r="L16" i="166" l="1"/>
  <c r="L18" i="166" s="1"/>
  <c r="M8" i="166"/>
  <c r="P152" i="80"/>
  <c r="K169" i="80"/>
  <c r="K171" i="80" s="1"/>
  <c r="K152" i="80"/>
  <c r="I150" i="80"/>
  <c r="I152" i="80"/>
  <c r="S169" i="80"/>
  <c r="S171" i="80" s="1"/>
  <c r="S152" i="80"/>
  <c r="T169" i="80"/>
  <c r="T152" i="80"/>
  <c r="U169" i="80"/>
  <c r="U152" i="80"/>
  <c r="J169" i="80"/>
  <c r="J171" i="80" s="1"/>
  <c r="J152" i="80"/>
  <c r="W169" i="80"/>
  <c r="W171" i="80" s="1"/>
  <c r="W152" i="80"/>
  <c r="V169" i="80"/>
  <c r="V171" i="80" s="1"/>
  <c r="V152" i="80"/>
  <c r="L169" i="80"/>
  <c r="L171" i="80" s="1"/>
  <c r="L152" i="80"/>
  <c r="Q169" i="80"/>
  <c r="Q171" i="80" s="1"/>
  <c r="Q152" i="80"/>
  <c r="X27" i="168"/>
  <c r="X151" i="80"/>
  <c r="O183" i="80"/>
  <c r="O185" i="80" s="1"/>
  <c r="O151" i="80"/>
  <c r="S186" i="80"/>
  <c r="S39" i="168" s="1"/>
  <c r="W186" i="80"/>
  <c r="W39" i="168" s="1"/>
  <c r="L186" i="80"/>
  <c r="L39" i="168" s="1"/>
  <c r="Q185" i="80"/>
  <c r="V185" i="80"/>
  <c r="I185" i="80"/>
  <c r="K150" i="80"/>
  <c r="AC168" i="80"/>
  <c r="AB175" i="80"/>
  <c r="AB181" i="80" s="1"/>
  <c r="Z161" i="80"/>
  <c r="Z163" i="80" s="1"/>
  <c r="Y167" i="80"/>
  <c r="AA170" i="80"/>
  <c r="AB154" i="80"/>
  <c r="N171" i="80"/>
  <c r="T171" i="80"/>
  <c r="R171" i="80"/>
  <c r="U171" i="80"/>
  <c r="L150" i="80"/>
  <c r="S150" i="80"/>
  <c r="X149" i="80"/>
  <c r="O149" i="80"/>
  <c r="AA99" i="80"/>
  <c r="AA121" i="80" s="1"/>
  <c r="AA123" i="80" s="1"/>
  <c r="O141" i="80"/>
  <c r="D141" i="80" s="1"/>
  <c r="W150" i="80"/>
  <c r="D61" i="168"/>
  <c r="E61" i="168" s="1"/>
  <c r="R150" i="80"/>
  <c r="P169" i="80"/>
  <c r="P171" i="80" s="1"/>
  <c r="Q150" i="80"/>
  <c r="I169" i="80"/>
  <c r="J150" i="80"/>
  <c r="V150" i="80"/>
  <c r="U186" i="80"/>
  <c r="U39" i="168" s="1"/>
  <c r="T150" i="80"/>
  <c r="U150" i="80"/>
  <c r="J186" i="80"/>
  <c r="J39" i="168" s="1"/>
  <c r="X183" i="80"/>
  <c r="X185" i="80" s="1"/>
  <c r="X141" i="80"/>
  <c r="M169" i="80"/>
  <c r="M150" i="80"/>
  <c r="N150" i="80"/>
  <c r="Y146" i="80"/>
  <c r="Y145" i="80"/>
  <c r="Z127" i="80"/>
  <c r="Z144" i="80"/>
  <c r="Z147" i="80"/>
  <c r="Z135" i="80"/>
  <c r="Z131" i="80"/>
  <c r="K6" i="166"/>
  <c r="K3" i="166"/>
  <c r="K5" i="166"/>
  <c r="K7" i="166" s="1"/>
  <c r="L4" i="166"/>
  <c r="J13" i="166"/>
  <c r="J82" i="166" s="1"/>
  <c r="Y139" i="80"/>
  <c r="AB122" i="80"/>
  <c r="AC96" i="80"/>
  <c r="P186" i="80"/>
  <c r="P39" i="168" s="1"/>
  <c r="N186" i="80"/>
  <c r="N39" i="168" s="1"/>
  <c r="K186" i="80"/>
  <c r="K39" i="168" s="1"/>
  <c r="N8" i="166" l="1"/>
  <c r="M16" i="166"/>
  <c r="M18" i="166" s="1"/>
  <c r="V172" i="80"/>
  <c r="V38" i="168" s="1"/>
  <c r="O152" i="80"/>
  <c r="X150" i="80"/>
  <c r="X28" i="168" s="1"/>
  <c r="X152" i="80"/>
  <c r="X25" i="168" s="1"/>
  <c r="R172" i="80"/>
  <c r="R38" i="168" s="1"/>
  <c r="R40" i="168" s="1"/>
  <c r="Y27" i="168"/>
  <c r="Y151" i="80"/>
  <c r="Z24" i="168"/>
  <c r="Z43" i="168" s="1"/>
  <c r="I186" i="80"/>
  <c r="I39" i="168" s="1"/>
  <c r="V186" i="80"/>
  <c r="V39" i="168" s="1"/>
  <c r="Q172" i="80"/>
  <c r="Q38" i="168" s="1"/>
  <c r="Q186" i="80"/>
  <c r="Q39" i="168" s="1"/>
  <c r="U172" i="80"/>
  <c r="T172" i="80"/>
  <c r="T38" i="168" s="1"/>
  <c r="S172" i="80"/>
  <c r="W172" i="80"/>
  <c r="Z164" i="80"/>
  <c r="AD168" i="80"/>
  <c r="AC175" i="80"/>
  <c r="AC181" i="80" s="1"/>
  <c r="AB170" i="80"/>
  <c r="AC154" i="80"/>
  <c r="M171" i="80"/>
  <c r="I171" i="80"/>
  <c r="Y149" i="80"/>
  <c r="AB99" i="80"/>
  <c r="AC99" i="80" s="1"/>
  <c r="O186" i="80"/>
  <c r="O39" i="168" s="1"/>
  <c r="O169" i="80"/>
  <c r="O171" i="80" s="1"/>
  <c r="P172" i="80" s="1"/>
  <c r="O150" i="80"/>
  <c r="P150" i="80"/>
  <c r="X169" i="80"/>
  <c r="M186" i="80"/>
  <c r="M39" i="168" s="1"/>
  <c r="Z139" i="80"/>
  <c r="Y183" i="80"/>
  <c r="Y185" i="80" s="1"/>
  <c r="Y141" i="80"/>
  <c r="K13" i="166"/>
  <c r="K82" i="166" s="1"/>
  <c r="Z146" i="80"/>
  <c r="Z145" i="80"/>
  <c r="AA127" i="80"/>
  <c r="AA147" i="80"/>
  <c r="AA144" i="80"/>
  <c r="AA135" i="80"/>
  <c r="AA131" i="80"/>
  <c r="AC122" i="80"/>
  <c r="AD96" i="80"/>
  <c r="T186" i="80"/>
  <c r="T39" i="168" s="1"/>
  <c r="M4" i="166"/>
  <c r="L3" i="166"/>
  <c r="L5" i="166"/>
  <c r="L7" i="166" s="1"/>
  <c r="L6" i="166"/>
  <c r="O8" i="166" l="1"/>
  <c r="N16" i="166"/>
  <c r="N18" i="166" s="1"/>
  <c r="V40" i="168"/>
  <c r="R188" i="80"/>
  <c r="Y150" i="80"/>
  <c r="Y28" i="168" s="1"/>
  <c r="Y152" i="80"/>
  <c r="Y25" i="168" s="1"/>
  <c r="Z27" i="168"/>
  <c r="Z151" i="80"/>
  <c r="V188" i="80"/>
  <c r="S188" i="80"/>
  <c r="S38" i="168"/>
  <c r="S40" i="168" s="1"/>
  <c r="T40" i="168"/>
  <c r="P188" i="80"/>
  <c r="P38" i="168"/>
  <c r="P40" i="168" s="1"/>
  <c r="W188" i="80"/>
  <c r="W38" i="168"/>
  <c r="W40" i="168" s="1"/>
  <c r="U188" i="80"/>
  <c r="U38" i="168"/>
  <c r="U40" i="168" s="1"/>
  <c r="Q40" i="168"/>
  <c r="Q188" i="80"/>
  <c r="T188" i="80"/>
  <c r="M172" i="80"/>
  <c r="N172" i="80"/>
  <c r="O172" i="80"/>
  <c r="Z167" i="80"/>
  <c r="AA161" i="80"/>
  <c r="AA163" i="80" s="1"/>
  <c r="AE168" i="80"/>
  <c r="AD175" i="80"/>
  <c r="AD181" i="80" s="1"/>
  <c r="AC170" i="80"/>
  <c r="AD154" i="80"/>
  <c r="AB121" i="80"/>
  <c r="AB123" i="80" s="1"/>
  <c r="AB147" i="80" s="1"/>
  <c r="X171" i="80"/>
  <c r="Z149" i="80"/>
  <c r="D24" i="166"/>
  <c r="X30" i="168"/>
  <c r="X31" i="168" s="1"/>
  <c r="Y169" i="80"/>
  <c r="Y171" i="80" s="1"/>
  <c r="Z183" i="80"/>
  <c r="Z185" i="80" s="1"/>
  <c r="Z141" i="80"/>
  <c r="AA139" i="80"/>
  <c r="AA151" i="80" s="1"/>
  <c r="AC121" i="80"/>
  <c r="AC123" i="80" s="1"/>
  <c r="AD99" i="80"/>
  <c r="L13" i="166"/>
  <c r="L82" i="166" s="1"/>
  <c r="N4" i="166"/>
  <c r="M6" i="166"/>
  <c r="M3" i="166"/>
  <c r="M5" i="166"/>
  <c r="M7" i="166" s="1"/>
  <c r="AE96" i="80"/>
  <c r="AD122" i="80"/>
  <c r="AA145" i="80"/>
  <c r="AA146" i="80"/>
  <c r="X186" i="80"/>
  <c r="P8" i="166" l="1"/>
  <c r="O16" i="166"/>
  <c r="O18" i="166" s="1"/>
  <c r="Z169" i="80"/>
  <c r="Z152" i="80"/>
  <c r="Z25" i="168" s="1"/>
  <c r="AA164" i="80"/>
  <c r="AA167" i="80" s="1"/>
  <c r="AA24" i="168"/>
  <c r="AA43" i="168" s="1"/>
  <c r="O188" i="80"/>
  <c r="O38" i="168"/>
  <c r="O40" i="168" s="1"/>
  <c r="N188" i="80"/>
  <c r="N38" i="168"/>
  <c r="N40" i="168" s="1"/>
  <c r="M188" i="80"/>
  <c r="M38" i="168"/>
  <c r="M40" i="168" s="1"/>
  <c r="AB135" i="80"/>
  <c r="AB144" i="80"/>
  <c r="Y172" i="80"/>
  <c r="Y38" i="168" s="1"/>
  <c r="X172" i="80"/>
  <c r="AF168" i="80"/>
  <c r="AE175" i="80"/>
  <c r="AE181" i="80" s="1"/>
  <c r="AD170" i="80"/>
  <c r="AE154" i="80"/>
  <c r="AB131" i="80"/>
  <c r="AB127" i="80"/>
  <c r="AB146" i="80" s="1"/>
  <c r="Z171" i="80"/>
  <c r="AA149" i="80"/>
  <c r="X39" i="168"/>
  <c r="AA27" i="168"/>
  <c r="E11" i="166"/>
  <c r="E19" i="166" s="1"/>
  <c r="E80" i="166" s="1"/>
  <c r="D46" i="166"/>
  <c r="D47" i="166"/>
  <c r="D48" i="166"/>
  <c r="D26" i="166"/>
  <c r="D28" i="166" s="1"/>
  <c r="Z30" i="168"/>
  <c r="Y186" i="80"/>
  <c r="Y30" i="168"/>
  <c r="Y31" i="168" s="1"/>
  <c r="Z150" i="80"/>
  <c r="AA141" i="80"/>
  <c r="AA183" i="80"/>
  <c r="AA185" i="80" s="1"/>
  <c r="M13" i="166"/>
  <c r="M82" i="166" s="1"/>
  <c r="AD121" i="80"/>
  <c r="AD123" i="80" s="1"/>
  <c r="AE99" i="80"/>
  <c r="AC144" i="80"/>
  <c r="AC127" i="80"/>
  <c r="AC135" i="80"/>
  <c r="AC147" i="80"/>
  <c r="AC131" i="80"/>
  <c r="AE122" i="80"/>
  <c r="AF96" i="80"/>
  <c r="O4" i="166"/>
  <c r="N6" i="166"/>
  <c r="N5" i="166"/>
  <c r="N7" i="166" s="1"/>
  <c r="N3" i="166"/>
  <c r="Z186" i="80"/>
  <c r="P16" i="166" l="1"/>
  <c r="P18" i="166" s="1"/>
  <c r="Q8" i="166"/>
  <c r="AA150" i="80"/>
  <c r="AA28" i="168" s="1"/>
  <c r="AA152" i="80"/>
  <c r="AA25" i="168" s="1"/>
  <c r="AB161" i="80"/>
  <c r="AB163" i="80" s="1"/>
  <c r="AB24" i="168" s="1"/>
  <c r="AB43" i="168" s="1"/>
  <c r="X188" i="80"/>
  <c r="X38" i="168"/>
  <c r="X40" i="168" s="1"/>
  <c r="AB145" i="80"/>
  <c r="AB149" i="80" s="1"/>
  <c r="AB139" i="80"/>
  <c r="Y188" i="80"/>
  <c r="Z172" i="80"/>
  <c r="AG168" i="80"/>
  <c r="AG175" i="80" s="1"/>
  <c r="AG181" i="80" s="1"/>
  <c r="AF175" i="80"/>
  <c r="AF181" i="80" s="1"/>
  <c r="AE170" i="80"/>
  <c r="AF154" i="80"/>
  <c r="Z39" i="168"/>
  <c r="Y39" i="168"/>
  <c r="Y40" i="168" s="1"/>
  <c r="E21" i="166"/>
  <c r="E83" i="166" s="1"/>
  <c r="D65" i="166"/>
  <c r="D67" i="166" s="1"/>
  <c r="E64" i="166" s="1"/>
  <c r="E69" i="166" s="1"/>
  <c r="E89" i="166" s="1"/>
  <c r="D99" i="166"/>
  <c r="D57" i="166"/>
  <c r="D59" i="166" s="1"/>
  <c r="E56" i="166" s="1"/>
  <c r="E61" i="166" s="1"/>
  <c r="E85" i="166" s="1"/>
  <c r="D98" i="166"/>
  <c r="D41" i="166"/>
  <c r="D39" i="166"/>
  <c r="D42" i="166" s="1"/>
  <c r="D31" i="166"/>
  <c r="F11" i="166"/>
  <c r="F19" i="166" s="1"/>
  <c r="D73" i="166"/>
  <c r="D76" i="166" s="1"/>
  <c r="E72" i="166" s="1"/>
  <c r="E74" i="166" s="1"/>
  <c r="D100" i="166"/>
  <c r="Z28" i="168"/>
  <c r="Z31" i="168" s="1"/>
  <c r="E12" i="166"/>
  <c r="AA186" i="80"/>
  <c r="AA30" i="168"/>
  <c r="AA169" i="80"/>
  <c r="AC139" i="80"/>
  <c r="AC151" i="80" s="1"/>
  <c r="N13" i="166"/>
  <c r="N82" i="166" s="1"/>
  <c r="AF122" i="80"/>
  <c r="AG96" i="80"/>
  <c r="AG122" i="80" s="1"/>
  <c r="AC146" i="80"/>
  <c r="AC145" i="80"/>
  <c r="AE121" i="80"/>
  <c r="AE123" i="80" s="1"/>
  <c r="AF99" i="80"/>
  <c r="AD127" i="80"/>
  <c r="AD147" i="80"/>
  <c r="AD144" i="80"/>
  <c r="AD131" i="80"/>
  <c r="AD135" i="80"/>
  <c r="O3" i="166"/>
  <c r="P4" i="166"/>
  <c r="O6" i="166"/>
  <c r="O5" i="166"/>
  <c r="O7" i="166" s="1"/>
  <c r="AB164" i="80" l="1"/>
  <c r="AB167" i="80" s="1"/>
  <c r="Q16" i="166"/>
  <c r="Q18" i="166" s="1"/>
  <c r="R8" i="166"/>
  <c r="AA31" i="168"/>
  <c r="AB169" i="80"/>
  <c r="AB171" i="80" s="1"/>
  <c r="AB27" i="168"/>
  <c r="AB151" i="80"/>
  <c r="AB152" i="80" s="1"/>
  <c r="AB25" i="168" s="1"/>
  <c r="Z188" i="80"/>
  <c r="Z38" i="168"/>
  <c r="Z40" i="168" s="1"/>
  <c r="AB141" i="80"/>
  <c r="AB183" i="80"/>
  <c r="AB185" i="80" s="1"/>
  <c r="AF170" i="80"/>
  <c r="AG154" i="80"/>
  <c r="AG170" i="80" s="1"/>
  <c r="AA171" i="80"/>
  <c r="AC149" i="80"/>
  <c r="AA39" i="168"/>
  <c r="E30" i="166"/>
  <c r="AC161" i="80"/>
  <c r="AC163" i="80" s="1"/>
  <c r="D101" i="166"/>
  <c r="G11" i="166"/>
  <c r="G19" i="166" s="1"/>
  <c r="D43" i="166"/>
  <c r="D50" i="166" s="1"/>
  <c r="F80" i="166"/>
  <c r="F21" i="166"/>
  <c r="E81" i="166"/>
  <c r="E84" i="166" s="1"/>
  <c r="E86" i="166" s="1"/>
  <c r="E87" i="166" s="1"/>
  <c r="E88" i="166" s="1"/>
  <c r="E90" i="166" s="1"/>
  <c r="E14" i="166"/>
  <c r="E29" i="166"/>
  <c r="AC27" i="168"/>
  <c r="AC141" i="80"/>
  <c r="AB150" i="80"/>
  <c r="AD139" i="80"/>
  <c r="AD151" i="80" s="1"/>
  <c r="Q4" i="166"/>
  <c r="P3" i="166"/>
  <c r="P6" i="166"/>
  <c r="P5" i="166"/>
  <c r="P7" i="166" s="1"/>
  <c r="O13" i="166"/>
  <c r="O82" i="166" s="1"/>
  <c r="AF121" i="80"/>
  <c r="AF123" i="80" s="1"/>
  <c r="AG99" i="80"/>
  <c r="AG121" i="80" s="1"/>
  <c r="AG123" i="80" s="1"/>
  <c r="AD145" i="80"/>
  <c r="AD146" i="80"/>
  <c r="AE144" i="80"/>
  <c r="AE131" i="80"/>
  <c r="AE147" i="80"/>
  <c r="AE127" i="80"/>
  <c r="AE135" i="80"/>
  <c r="R16" i="166" l="1"/>
  <c r="R18" i="166" s="1"/>
  <c r="S8" i="166"/>
  <c r="AC169" i="80"/>
  <c r="AC152" i="80"/>
  <c r="AC25" i="168" s="1"/>
  <c r="AC24" i="168"/>
  <c r="AB172" i="80"/>
  <c r="AB38" i="168" s="1"/>
  <c r="AA172" i="80"/>
  <c r="AD149" i="80"/>
  <c r="E31" i="166"/>
  <c r="AD141" i="80"/>
  <c r="AD27" i="168"/>
  <c r="F12" i="166"/>
  <c r="D103" i="166"/>
  <c r="D104" i="166" s="1"/>
  <c r="D51" i="166"/>
  <c r="G80" i="166"/>
  <c r="G21" i="166"/>
  <c r="F30" i="166"/>
  <c r="F83" i="166"/>
  <c r="H11" i="166"/>
  <c r="H19" i="166" s="1"/>
  <c r="H21" i="166" s="1"/>
  <c r="AC164" i="80"/>
  <c r="AC167" i="80" s="1"/>
  <c r="AB28" i="168"/>
  <c r="AB30" i="168"/>
  <c r="AC150" i="80"/>
  <c r="AE139" i="80"/>
  <c r="AE151" i="80" s="1"/>
  <c r="E91" i="166"/>
  <c r="AE146" i="80"/>
  <c r="AE145" i="80"/>
  <c r="AB186" i="80"/>
  <c r="AG147" i="80"/>
  <c r="AG127" i="80"/>
  <c r="AG144" i="80"/>
  <c r="AG135" i="80"/>
  <c r="AG131" i="80"/>
  <c r="P13" i="166"/>
  <c r="P82" i="166" s="1"/>
  <c r="AF127" i="80"/>
  <c r="AF144" i="80"/>
  <c r="AF147" i="80"/>
  <c r="AF135" i="80"/>
  <c r="AF131" i="80"/>
  <c r="R4" i="166"/>
  <c r="Q6" i="166"/>
  <c r="Q3" i="166"/>
  <c r="Q5" i="166"/>
  <c r="Q7" i="166" s="1"/>
  <c r="E58" i="166"/>
  <c r="E59" i="166" s="1"/>
  <c r="F56" i="166" s="1"/>
  <c r="E98" i="166"/>
  <c r="AC183" i="80"/>
  <c r="AC185" i="80" s="1"/>
  <c r="T8" i="166" l="1"/>
  <c r="S16" i="166"/>
  <c r="S18" i="166" s="1"/>
  <c r="AC43" i="168"/>
  <c r="D140" i="168"/>
  <c r="AC171" i="80"/>
  <c r="AC172" i="80" s="1"/>
  <c r="AC38" i="168" s="1"/>
  <c r="E107" i="168" s="1"/>
  <c r="AD150" i="80"/>
  <c r="AD28" i="168" s="1"/>
  <c r="AD152" i="80"/>
  <c r="AD25" i="168" s="1"/>
  <c r="AA188" i="80"/>
  <c r="AA38" i="168"/>
  <c r="AA40" i="168" s="1"/>
  <c r="AB188" i="80"/>
  <c r="AE149" i="80"/>
  <c r="AB39" i="168"/>
  <c r="AB40" i="168" s="1"/>
  <c r="AD161" i="80"/>
  <c r="AD163" i="80" s="1"/>
  <c r="I11" i="166"/>
  <c r="I19" i="166" s="1"/>
  <c r="I80" i="166" s="1"/>
  <c r="AE27" i="168"/>
  <c r="D136" i="168" s="1"/>
  <c r="H80" i="166"/>
  <c r="H12" i="166"/>
  <c r="H81" i="166" s="1"/>
  <c r="G30" i="166"/>
  <c r="G83" i="166"/>
  <c r="F29" i="166"/>
  <c r="F31" i="166" s="1"/>
  <c r="F14" i="166"/>
  <c r="F81" i="166"/>
  <c r="F84" i="166" s="1"/>
  <c r="G12" i="166"/>
  <c r="AB31" i="168"/>
  <c r="AC28" i="168"/>
  <c r="AD169" i="80"/>
  <c r="AE141" i="80"/>
  <c r="AF139" i="80"/>
  <c r="AF151" i="80" s="1"/>
  <c r="H83" i="166"/>
  <c r="H30" i="166"/>
  <c r="AG145" i="80"/>
  <c r="AG146" i="80"/>
  <c r="E66" i="166"/>
  <c r="E67" i="166" s="1"/>
  <c r="F64" i="166" s="1"/>
  <c r="E99" i="166"/>
  <c r="F61" i="166"/>
  <c r="F85" i="166" s="1"/>
  <c r="Q13" i="166"/>
  <c r="Q82" i="166" s="1"/>
  <c r="AF146" i="80"/>
  <c r="AF145" i="80"/>
  <c r="AG139" i="80"/>
  <c r="AG151" i="80" s="1"/>
  <c r="E92" i="166"/>
  <c r="R5" i="166"/>
  <c r="R7" i="166" s="1"/>
  <c r="R3" i="166"/>
  <c r="S4" i="166"/>
  <c r="R6" i="166"/>
  <c r="U8" i="166" l="1"/>
  <c r="U16" i="166" s="1"/>
  <c r="U18" i="166" s="1"/>
  <c r="T16" i="166"/>
  <c r="T18" i="166" s="1"/>
  <c r="AE150" i="80"/>
  <c r="AE28" i="168" s="1"/>
  <c r="D158" i="168" s="1"/>
  <c r="AE152" i="80"/>
  <c r="AE25" i="168" s="1"/>
  <c r="AD24" i="168"/>
  <c r="AD43" i="168" s="1"/>
  <c r="AG149" i="80"/>
  <c r="AF149" i="80"/>
  <c r="I21" i="166"/>
  <c r="I83" i="166" s="1"/>
  <c r="I12" i="166"/>
  <c r="I14" i="166" s="1"/>
  <c r="D63" i="168"/>
  <c r="E63" i="168" s="1"/>
  <c r="H84" i="166"/>
  <c r="H14" i="166"/>
  <c r="AF141" i="80"/>
  <c r="J11" i="166"/>
  <c r="J19" i="166" s="1"/>
  <c r="H29" i="166"/>
  <c r="H31" i="166" s="1"/>
  <c r="G29" i="166"/>
  <c r="G31" i="166" s="1"/>
  <c r="G14" i="166"/>
  <c r="G81" i="166"/>
  <c r="G84" i="166" s="1"/>
  <c r="K11" i="166"/>
  <c r="K19" i="166" s="1"/>
  <c r="K80" i="166" s="1"/>
  <c r="AC186" i="80"/>
  <c r="AC188" i="80" s="1"/>
  <c r="AC30" i="168"/>
  <c r="AC31" i="168" s="1"/>
  <c r="AD164" i="80"/>
  <c r="AD167" i="80" s="1"/>
  <c r="AE169" i="80"/>
  <c r="L11" i="166"/>
  <c r="L19" i="166" s="1"/>
  <c r="AG141" i="80"/>
  <c r="M11" i="166"/>
  <c r="N11" i="166"/>
  <c r="O11" i="166"/>
  <c r="P11" i="166"/>
  <c r="F69" i="166"/>
  <c r="F89" i="166" s="1"/>
  <c r="AD183" i="80"/>
  <c r="AD185" i="80" s="1"/>
  <c r="Q11" i="166"/>
  <c r="T4" i="166"/>
  <c r="S5" i="166"/>
  <c r="S7" i="166" s="1"/>
  <c r="S3" i="166"/>
  <c r="S6" i="166"/>
  <c r="E93" i="166"/>
  <c r="F86" i="166"/>
  <c r="R11" i="166"/>
  <c r="R13" i="166"/>
  <c r="R82" i="166" s="1"/>
  <c r="AG169" i="80" l="1"/>
  <c r="AG152" i="80"/>
  <c r="AF169" i="80"/>
  <c r="AF152" i="80"/>
  <c r="AD171" i="80"/>
  <c r="AC39" i="168"/>
  <c r="AC40" i="168" s="1"/>
  <c r="E108" i="168" s="1"/>
  <c r="I81" i="166"/>
  <c r="I84" i="166" s="1"/>
  <c r="I29" i="166"/>
  <c r="I30" i="166"/>
  <c r="K21" i="166"/>
  <c r="K30" i="166" s="1"/>
  <c r="J21" i="166"/>
  <c r="J80" i="166"/>
  <c r="AE161" i="80"/>
  <c r="AE163" i="80" s="1"/>
  <c r="AG150" i="80"/>
  <c r="AF150" i="80"/>
  <c r="J12" i="166" s="1"/>
  <c r="J81" i="166" s="1"/>
  <c r="L80" i="166"/>
  <c r="L21" i="166"/>
  <c r="E75" i="166"/>
  <c r="E76" i="166" s="1"/>
  <c r="F72" i="166" s="1"/>
  <c r="E100" i="166"/>
  <c r="Q19" i="166"/>
  <c r="P19" i="166"/>
  <c r="E94" i="166"/>
  <c r="E103" i="166" s="1"/>
  <c r="S13" i="166"/>
  <c r="S82" i="166" s="1"/>
  <c r="S11" i="166"/>
  <c r="O19" i="166"/>
  <c r="F87" i="166"/>
  <c r="F88" i="166" s="1"/>
  <c r="F90" i="166" s="1"/>
  <c r="N19" i="166"/>
  <c r="R19" i="166"/>
  <c r="T5" i="166"/>
  <c r="T7" i="166" s="1"/>
  <c r="T3" i="166"/>
  <c r="T6" i="166"/>
  <c r="U4" i="166"/>
  <c r="M19" i="166"/>
  <c r="K83" i="166" l="1"/>
  <c r="AE24" i="168"/>
  <c r="AE43" i="168" s="1"/>
  <c r="AD172" i="80"/>
  <c r="AD38" i="168" s="1"/>
  <c r="I31" i="166"/>
  <c r="AD30" i="168"/>
  <c r="AD31" i="168" s="1"/>
  <c r="J29" i="166"/>
  <c r="J14" i="166"/>
  <c r="J83" i="166"/>
  <c r="J84" i="166" s="1"/>
  <c r="J30" i="166"/>
  <c r="L12" i="166"/>
  <c r="L81" i="166" s="1"/>
  <c r="K12" i="166"/>
  <c r="R12" i="166"/>
  <c r="R81" i="166" s="1"/>
  <c r="AE164" i="80"/>
  <c r="AF161" i="80" s="1"/>
  <c r="O12" i="166"/>
  <c r="O81" i="166" s="1"/>
  <c r="N12" i="166"/>
  <c r="N81" i="166" s="1"/>
  <c r="P12" i="166"/>
  <c r="P81" i="166" s="1"/>
  <c r="Q12" i="166"/>
  <c r="Q81" i="166" s="1"/>
  <c r="M12" i="166"/>
  <c r="M81" i="166" s="1"/>
  <c r="S12" i="166"/>
  <c r="S81" i="166" s="1"/>
  <c r="AD186" i="80"/>
  <c r="F91" i="166"/>
  <c r="AE183" i="80"/>
  <c r="AE185" i="80" s="1"/>
  <c r="S19" i="166"/>
  <c r="P80" i="166"/>
  <c r="P21" i="166"/>
  <c r="L83" i="166"/>
  <c r="L30" i="166"/>
  <c r="T11" i="166"/>
  <c r="T13" i="166"/>
  <c r="T82" i="166" s="1"/>
  <c r="T12" i="166"/>
  <c r="T81" i="166" s="1"/>
  <c r="N80" i="166"/>
  <c r="N21" i="166"/>
  <c r="E101" i="166"/>
  <c r="E104" i="166" s="1"/>
  <c r="M80" i="166"/>
  <c r="M21" i="166"/>
  <c r="F58" i="166"/>
  <c r="F59" i="166" s="1"/>
  <c r="G56" i="166" s="1"/>
  <c r="F98" i="166"/>
  <c r="F74" i="166"/>
  <c r="U6" i="166"/>
  <c r="U3" i="166"/>
  <c r="U5" i="166"/>
  <c r="U7" i="166" s="1"/>
  <c r="R80" i="166"/>
  <c r="R21" i="166"/>
  <c r="O80" i="166"/>
  <c r="O21" i="166"/>
  <c r="Q80" i="166"/>
  <c r="Q21" i="166"/>
  <c r="D148" i="168" l="1"/>
  <c r="AD188" i="80"/>
  <c r="AE167" i="80"/>
  <c r="AD39" i="168"/>
  <c r="AD40" i="168" s="1"/>
  <c r="L84" i="166"/>
  <c r="L29" i="166"/>
  <c r="L31" i="166" s="1"/>
  <c r="J31" i="166"/>
  <c r="L14" i="166"/>
  <c r="K81" i="166"/>
  <c r="K84" i="166" s="1"/>
  <c r="K14" i="166"/>
  <c r="K29" i="166"/>
  <c r="K31" i="166" s="1"/>
  <c r="O29" i="166"/>
  <c r="R29" i="166"/>
  <c r="R14" i="166"/>
  <c r="O14" i="166"/>
  <c r="Q29" i="166"/>
  <c r="M29" i="166"/>
  <c r="N29" i="166"/>
  <c r="N14" i="166"/>
  <c r="P29" i="166"/>
  <c r="P14" i="166"/>
  <c r="M14" i="166"/>
  <c r="Q14" i="166"/>
  <c r="S14" i="166"/>
  <c r="R30" i="166"/>
  <c r="R83" i="166"/>
  <c r="R84" i="166" s="1"/>
  <c r="U11" i="166"/>
  <c r="U13" i="166"/>
  <c r="U82" i="166" s="1"/>
  <c r="U12" i="166"/>
  <c r="U81" i="166" s="1"/>
  <c r="M83" i="166"/>
  <c r="M84" i="166" s="1"/>
  <c r="M30" i="166"/>
  <c r="S80" i="166"/>
  <c r="S29" i="166"/>
  <c r="S21" i="166"/>
  <c r="Q30" i="166"/>
  <c r="Q83" i="166"/>
  <c r="Q84" i="166" s="1"/>
  <c r="AF163" i="80"/>
  <c r="G61" i="166"/>
  <c r="G85" i="166" s="1"/>
  <c r="N83" i="166"/>
  <c r="N84" i="166" s="1"/>
  <c r="N30" i="166"/>
  <c r="T14" i="166"/>
  <c r="T19" i="166"/>
  <c r="F66" i="166"/>
  <c r="F67" i="166" s="1"/>
  <c r="G64" i="166" s="1"/>
  <c r="F99" i="166"/>
  <c r="O83" i="166"/>
  <c r="O84" i="166" s="1"/>
  <c r="O30" i="166"/>
  <c r="P83" i="166"/>
  <c r="P84" i="166" s="1"/>
  <c r="P30" i="166"/>
  <c r="F92" i="166"/>
  <c r="AE171" i="80" l="1"/>
  <c r="R31" i="166"/>
  <c r="AE30" i="168"/>
  <c r="O31" i="166"/>
  <c r="P31" i="166"/>
  <c r="Q31" i="166"/>
  <c r="M31" i="166"/>
  <c r="N31" i="166"/>
  <c r="AE186" i="80"/>
  <c r="F93" i="166"/>
  <c r="S30" i="166"/>
  <c r="S31" i="166" s="1"/>
  <c r="S83" i="166"/>
  <c r="S84" i="166" s="1"/>
  <c r="T29" i="166"/>
  <c r="T80" i="166"/>
  <c r="T21" i="166"/>
  <c r="G69" i="166"/>
  <c r="G89" i="166" s="1"/>
  <c r="G86" i="166"/>
  <c r="AF183" i="80"/>
  <c r="AF185" i="80" s="1"/>
  <c r="U14" i="166"/>
  <c r="U19" i="166"/>
  <c r="AF164" i="80"/>
  <c r="AE31" i="168" l="1"/>
  <c r="D162" i="168"/>
  <c r="AE172" i="80"/>
  <c r="AE39" i="168"/>
  <c r="D129" i="168" s="1"/>
  <c r="D34" i="168"/>
  <c r="E34" i="168" s="1"/>
  <c r="D34" i="166"/>
  <c r="N8" i="163" s="1"/>
  <c r="D33" i="166"/>
  <c r="I3" i="165" s="1"/>
  <c r="AG161" i="80"/>
  <c r="AF167" i="80"/>
  <c r="U29" i="166"/>
  <c r="U80" i="166"/>
  <c r="U21" i="166"/>
  <c r="F75" i="166"/>
  <c r="F76" i="166" s="1"/>
  <c r="G72" i="166" s="1"/>
  <c r="F100" i="166"/>
  <c r="T30" i="166"/>
  <c r="T31" i="166" s="1"/>
  <c r="T83" i="166"/>
  <c r="T84" i="166" s="1"/>
  <c r="G87" i="166"/>
  <c r="F94" i="166"/>
  <c r="F103" i="166" s="1"/>
  <c r="AE188" i="80" l="1"/>
  <c r="AE38" i="168"/>
  <c r="AF171" i="80"/>
  <c r="G58" i="166"/>
  <c r="G59" i="166" s="1"/>
  <c r="H56" i="166" s="1"/>
  <c r="G98" i="166"/>
  <c r="F101" i="166"/>
  <c r="G74" i="166"/>
  <c r="G88" i="166"/>
  <c r="G90" i="166" s="1"/>
  <c r="AF186" i="80"/>
  <c r="AF39" i="168" s="1"/>
  <c r="U30" i="166"/>
  <c r="U31" i="166" s="1"/>
  <c r="U83" i="166"/>
  <c r="U84" i="166" s="1"/>
  <c r="AG163" i="80"/>
  <c r="AE40" i="168" l="1"/>
  <c r="E113" i="168" s="1"/>
  <c r="E118" i="168"/>
  <c r="F118" i="168" s="1"/>
  <c r="AF172" i="80"/>
  <c r="AG164" i="80"/>
  <c r="AG167" i="80" s="1"/>
  <c r="H61" i="166"/>
  <c r="H85" i="166" s="1"/>
  <c r="AG183" i="80"/>
  <c r="AG185" i="80" s="1"/>
  <c r="G91" i="166"/>
  <c r="F104" i="166"/>
  <c r="F119" i="168"/>
  <c r="Y119" i="168"/>
  <c r="S119" i="168"/>
  <c r="AN119" i="168"/>
  <c r="BC119" i="168"/>
  <c r="AR119" i="168"/>
  <c r="W119" i="168"/>
  <c r="AG119" i="168"/>
  <c r="AV119" i="168"/>
  <c r="N119" i="168"/>
  <c r="AY119" i="168"/>
  <c r="M119" i="168"/>
  <c r="V119" i="168"/>
  <c r="AH119" i="168"/>
  <c r="AB119" i="168"/>
  <c r="AU119" i="168"/>
  <c r="BB119" i="168"/>
  <c r="AA119" i="168"/>
  <c r="U119" i="168"/>
  <c r="AC119" i="168"/>
  <c r="AM119" i="168"/>
  <c r="BA119" i="168"/>
  <c r="P119" i="168"/>
  <c r="AI119" i="168"/>
  <c r="AQ119" i="168"/>
  <c r="J119" i="168"/>
  <c r="AS119" i="168"/>
  <c r="O119" i="168"/>
  <c r="H119" i="168"/>
  <c r="AL119" i="168"/>
  <c r="R119" i="168"/>
  <c r="AK119" i="168"/>
  <c r="AW119" i="168"/>
  <c r="Z119" i="168"/>
  <c r="AF119" i="168"/>
  <c r="AJ119" i="168"/>
  <c r="AX119" i="168"/>
  <c r="AD119" i="168"/>
  <c r="T119" i="168"/>
  <c r="K119" i="168"/>
  <c r="L119" i="168"/>
  <c r="G119" i="168"/>
  <c r="Q119" i="168"/>
  <c r="AO119" i="168"/>
  <c r="AT119" i="168"/>
  <c r="AZ119" i="168"/>
  <c r="X119" i="168"/>
  <c r="I119" i="168"/>
  <c r="AP119" i="168"/>
  <c r="AE119" i="168"/>
  <c r="F120" i="168" l="1"/>
  <c r="G118" i="168"/>
  <c r="AF188" i="80"/>
  <c r="AF38" i="168"/>
  <c r="AF40" i="168" s="1"/>
  <c r="AG171" i="80"/>
  <c r="G66" i="166"/>
  <c r="G67" i="166" s="1"/>
  <c r="H64" i="166" s="1"/>
  <c r="G99" i="166"/>
  <c r="G92" i="166"/>
  <c r="H86" i="166"/>
  <c r="H118" i="168" l="1"/>
  <c r="G120" i="168"/>
  <c r="AG172" i="80"/>
  <c r="AG38" i="168" s="1"/>
  <c r="G93" i="166"/>
  <c r="AG186" i="80"/>
  <c r="AG39" i="168" s="1"/>
  <c r="H87" i="166"/>
  <c r="H88" i="166" s="1"/>
  <c r="H69" i="166"/>
  <c r="H89" i="166" s="1"/>
  <c r="I118" i="168" l="1"/>
  <c r="H120" i="168"/>
  <c r="AG40" i="168"/>
  <c r="AG188" i="80"/>
  <c r="G75" i="166"/>
  <c r="G76" i="166" s="1"/>
  <c r="H72" i="166" s="1"/>
  <c r="G100" i="166"/>
  <c r="H90" i="166"/>
  <c r="H58" i="166"/>
  <c r="H59" i="166" s="1"/>
  <c r="I56" i="166" s="1"/>
  <c r="H98" i="166"/>
  <c r="G94" i="166"/>
  <c r="G103" i="166" s="1"/>
  <c r="J118" i="168" l="1"/>
  <c r="I120" i="168"/>
  <c r="H91" i="166"/>
  <c r="G101" i="166"/>
  <c r="G104" i="166" s="1"/>
  <c r="I61" i="166"/>
  <c r="I85" i="166" s="1"/>
  <c r="H74" i="166"/>
  <c r="K118" i="168" l="1"/>
  <c r="J120" i="168"/>
  <c r="H66" i="166"/>
  <c r="H67" i="166" s="1"/>
  <c r="I64" i="166" s="1"/>
  <c r="H99" i="166"/>
  <c r="I86" i="166"/>
  <c r="H92" i="166"/>
  <c r="L118" i="168" l="1"/>
  <c r="K120" i="168"/>
  <c r="I69" i="166"/>
  <c r="I89" i="166" s="1"/>
  <c r="I87" i="166"/>
  <c r="I88" i="166" s="1"/>
  <c r="H93" i="166"/>
  <c r="H94" i="166" s="1"/>
  <c r="H103" i="166" s="1"/>
  <c r="M118" i="168" l="1"/>
  <c r="L120" i="168"/>
  <c r="H75" i="166"/>
  <c r="H76" i="166" s="1"/>
  <c r="I72" i="166" s="1"/>
  <c r="H100" i="166"/>
  <c r="H101" i="166" s="1"/>
  <c r="H104" i="166" s="1"/>
  <c r="I90" i="166"/>
  <c r="I58" i="166"/>
  <c r="I59" i="166" s="1"/>
  <c r="J56" i="166" s="1"/>
  <c r="I98" i="166"/>
  <c r="N118" i="168" l="1"/>
  <c r="M120" i="168"/>
  <c r="I74" i="166"/>
  <c r="J61" i="166"/>
  <c r="J85" i="166" s="1"/>
  <c r="I91" i="166"/>
  <c r="I92" i="166" s="1"/>
  <c r="O118" i="168" l="1"/>
  <c r="N120" i="168"/>
  <c r="I93" i="166"/>
  <c r="I66" i="166"/>
  <c r="I67" i="166" s="1"/>
  <c r="J64" i="166" s="1"/>
  <c r="I99" i="166"/>
  <c r="J86" i="166"/>
  <c r="P118" i="168" l="1"/>
  <c r="O120" i="168"/>
  <c r="J69" i="166"/>
  <c r="J89" i="166" s="1"/>
  <c r="J87" i="166"/>
  <c r="I75" i="166"/>
  <c r="I76" i="166" s="1"/>
  <c r="J72" i="166" s="1"/>
  <c r="I100" i="166"/>
  <c r="I101" i="166" s="1"/>
  <c r="I94" i="166"/>
  <c r="I103" i="166" s="1"/>
  <c r="Q118" i="168" l="1"/>
  <c r="P120" i="168"/>
  <c r="J58" i="166"/>
  <c r="J59" i="166" s="1"/>
  <c r="K56" i="166" s="1"/>
  <c r="J98" i="166"/>
  <c r="I104" i="166"/>
  <c r="J74" i="166"/>
  <c r="J88" i="166"/>
  <c r="J90" i="166" s="1"/>
  <c r="R118" i="168" l="1"/>
  <c r="Q120" i="168"/>
  <c r="J91" i="166"/>
  <c r="K61" i="166"/>
  <c r="K85" i="166" s="1"/>
  <c r="S118" i="168" l="1"/>
  <c r="R120" i="168"/>
  <c r="J66" i="166"/>
  <c r="J67" i="166" s="1"/>
  <c r="K64" i="166" s="1"/>
  <c r="J99" i="166"/>
  <c r="K86" i="166"/>
  <c r="J92" i="166"/>
  <c r="T118" i="168" l="1"/>
  <c r="S120" i="168"/>
  <c r="K87" i="166"/>
  <c r="K88" i="166" s="1"/>
  <c r="J93" i="166"/>
  <c r="J94" i="166" s="1"/>
  <c r="J103" i="166" s="1"/>
  <c r="K69" i="166"/>
  <c r="K89" i="166" s="1"/>
  <c r="U118" i="168" l="1"/>
  <c r="T120" i="168"/>
  <c r="K90" i="166"/>
  <c r="J75" i="166"/>
  <c r="J76" i="166" s="1"/>
  <c r="K72" i="166" s="1"/>
  <c r="J100" i="166"/>
  <c r="J101" i="166" s="1"/>
  <c r="J104" i="166" s="1"/>
  <c r="K58" i="166"/>
  <c r="K59" i="166" s="1"/>
  <c r="L56" i="166" s="1"/>
  <c r="K98" i="166"/>
  <c r="V118" i="168" l="1"/>
  <c r="U120" i="168"/>
  <c r="K74" i="166"/>
  <c r="K91" i="166"/>
  <c r="L61" i="166"/>
  <c r="L85" i="166" s="1"/>
  <c r="W118" i="168" l="1"/>
  <c r="V120" i="168"/>
  <c r="K66" i="166"/>
  <c r="K67" i="166" s="1"/>
  <c r="L64" i="166" s="1"/>
  <c r="K99" i="166"/>
  <c r="L86" i="166"/>
  <c r="K92" i="166"/>
  <c r="X118" i="168" l="1"/>
  <c r="W120" i="168"/>
  <c r="L69" i="166"/>
  <c r="L89" i="166" s="1"/>
  <c r="L87" i="166"/>
  <c r="L88" i="166" s="1"/>
  <c r="K93" i="166"/>
  <c r="K94" i="166" s="1"/>
  <c r="K103" i="166" s="1"/>
  <c r="Y118" i="168" l="1"/>
  <c r="X120" i="168"/>
  <c r="L90" i="166"/>
  <c r="L91" i="166" s="1"/>
  <c r="L66" i="166" s="1"/>
  <c r="L67" i="166" s="1"/>
  <c r="M64" i="166" s="1"/>
  <c r="K75" i="166"/>
  <c r="K76" i="166" s="1"/>
  <c r="L72" i="166" s="1"/>
  <c r="K100" i="166"/>
  <c r="K101" i="166" s="1"/>
  <c r="K104" i="166" s="1"/>
  <c r="L58" i="166"/>
  <c r="L59" i="166" s="1"/>
  <c r="M56" i="166" s="1"/>
  <c r="L98" i="166"/>
  <c r="Z118" i="168" l="1"/>
  <c r="Y120" i="168"/>
  <c r="L92" i="166"/>
  <c r="L99" i="166"/>
  <c r="M61" i="166"/>
  <c r="M85" i="166" s="1"/>
  <c r="L74" i="166"/>
  <c r="M69" i="166"/>
  <c r="M89" i="166" s="1"/>
  <c r="AA118" i="168" l="1"/>
  <c r="Z120" i="168"/>
  <c r="L93" i="166"/>
  <c r="L94" i="166" s="1"/>
  <c r="L103" i="166" s="1"/>
  <c r="M86" i="166"/>
  <c r="AB118" i="168" l="1"/>
  <c r="AA120" i="168"/>
  <c r="L100" i="166"/>
  <c r="L101" i="166" s="1"/>
  <c r="L104" i="166" s="1"/>
  <c r="L75" i="166"/>
  <c r="L76" i="166" s="1"/>
  <c r="M72" i="166" s="1"/>
  <c r="M74" i="166" s="1"/>
  <c r="M87" i="166"/>
  <c r="M88" i="166" s="1"/>
  <c r="M90" i="166" s="1"/>
  <c r="AC118" i="168" l="1"/>
  <c r="AB120" i="168"/>
  <c r="M91" i="166"/>
  <c r="M58" i="166"/>
  <c r="M59" i="166" s="1"/>
  <c r="N56" i="166" s="1"/>
  <c r="M98" i="166"/>
  <c r="AD118" i="168" l="1"/>
  <c r="AC120" i="168"/>
  <c r="M66" i="166"/>
  <c r="M67" i="166" s="1"/>
  <c r="N64" i="166" s="1"/>
  <c r="M99" i="166"/>
  <c r="M92" i="166"/>
  <c r="N61" i="166"/>
  <c r="N85" i="166" s="1"/>
  <c r="AE118" i="168" l="1"/>
  <c r="AD120" i="168"/>
  <c r="M93" i="166"/>
  <c r="N86" i="166"/>
  <c r="N69" i="166"/>
  <c r="N89" i="166" s="1"/>
  <c r="AF118" i="168" l="1"/>
  <c r="AE120" i="168"/>
  <c r="N87" i="166"/>
  <c r="N88" i="166" s="1"/>
  <c r="N90" i="166" s="1"/>
  <c r="M75" i="166"/>
  <c r="M76" i="166" s="1"/>
  <c r="N72" i="166" s="1"/>
  <c r="M100" i="166"/>
  <c r="M101" i="166" s="1"/>
  <c r="M94" i="166"/>
  <c r="M103" i="166" s="1"/>
  <c r="AG118" i="168" l="1"/>
  <c r="AF120" i="168"/>
  <c r="N74" i="166"/>
  <c r="M104" i="166"/>
  <c r="N91" i="166"/>
  <c r="N58" i="166"/>
  <c r="N59" i="166" s="1"/>
  <c r="O56" i="166" s="1"/>
  <c r="N98" i="166"/>
  <c r="AH118" i="168" l="1"/>
  <c r="AG120" i="168"/>
  <c r="O61" i="166"/>
  <c r="O85" i="166" s="1"/>
  <c r="N66" i="166"/>
  <c r="N67" i="166" s="1"/>
  <c r="O64" i="166" s="1"/>
  <c r="N99" i="166"/>
  <c r="N92" i="166"/>
  <c r="AI118" i="168" l="1"/>
  <c r="AH120" i="168"/>
  <c r="O69" i="166"/>
  <c r="O89" i="166" s="1"/>
  <c r="O86" i="166"/>
  <c r="N93" i="166"/>
  <c r="AJ118" i="168" l="1"/>
  <c r="AI120" i="168"/>
  <c r="N75" i="166"/>
  <c r="N76" i="166" s="1"/>
  <c r="O72" i="166" s="1"/>
  <c r="N100" i="166"/>
  <c r="N101" i="166" s="1"/>
  <c r="N94" i="166"/>
  <c r="N103" i="166" s="1"/>
  <c r="O87" i="166"/>
  <c r="O88" i="166" s="1"/>
  <c r="O90" i="166" s="1"/>
  <c r="AK118" i="168" l="1"/>
  <c r="AJ120" i="168"/>
  <c r="N104" i="166"/>
  <c r="O74" i="166"/>
  <c r="O91" i="166"/>
  <c r="O58" i="166"/>
  <c r="O59" i="166" s="1"/>
  <c r="P56" i="166" s="1"/>
  <c r="O98" i="166"/>
  <c r="AL118" i="168" l="1"/>
  <c r="AK120" i="168"/>
  <c r="P61" i="166"/>
  <c r="P85" i="166" s="1"/>
  <c r="O66" i="166"/>
  <c r="O67" i="166" s="1"/>
  <c r="P64" i="166" s="1"/>
  <c r="O99" i="166"/>
  <c r="O92" i="166"/>
  <c r="AM118" i="168" l="1"/>
  <c r="AL120" i="168"/>
  <c r="P69" i="166"/>
  <c r="P89" i="166" s="1"/>
  <c r="P86" i="166"/>
  <c r="O93" i="166"/>
  <c r="O94" i="166" s="1"/>
  <c r="O103" i="166" s="1"/>
  <c r="AN118" i="168" l="1"/>
  <c r="AM120" i="168"/>
  <c r="O75" i="166"/>
  <c r="O76" i="166" s="1"/>
  <c r="P72" i="166" s="1"/>
  <c r="O100" i="166"/>
  <c r="O101" i="166" s="1"/>
  <c r="O104" i="166" s="1"/>
  <c r="P87" i="166"/>
  <c r="P88" i="166" s="1"/>
  <c r="P90" i="166" s="1"/>
  <c r="AO118" i="168" l="1"/>
  <c r="AN120" i="168"/>
  <c r="P74" i="166"/>
  <c r="P91" i="166"/>
  <c r="P92" i="166" s="1"/>
  <c r="P58" i="166"/>
  <c r="P59" i="166" s="1"/>
  <c r="Q56" i="166" s="1"/>
  <c r="P98" i="166"/>
  <c r="AP118" i="168" l="1"/>
  <c r="AO120" i="168"/>
  <c r="P93" i="166"/>
  <c r="P94" i="166" s="1"/>
  <c r="P103" i="166" s="1"/>
  <c r="Q61" i="166"/>
  <c r="Q85" i="166" s="1"/>
  <c r="C98" i="166"/>
  <c r="P66" i="166"/>
  <c r="P67" i="166" s="1"/>
  <c r="Q64" i="166" s="1"/>
  <c r="P99" i="166"/>
  <c r="C99" i="166" s="1"/>
  <c r="AQ118" i="168" l="1"/>
  <c r="AP120" i="168"/>
  <c r="P100" i="166"/>
  <c r="C100" i="166" s="1"/>
  <c r="P75" i="166"/>
  <c r="P76" i="166" s="1"/>
  <c r="Q72" i="166" s="1"/>
  <c r="Q74" i="166" s="1"/>
  <c r="Q69" i="166"/>
  <c r="Q89" i="166" s="1"/>
  <c r="Q86" i="166"/>
  <c r="C103" i="166"/>
  <c r="AR118" i="168" l="1"/>
  <c r="AQ120" i="168"/>
  <c r="P101" i="166"/>
  <c r="Q87" i="166"/>
  <c r="Q88" i="166" s="1"/>
  <c r="Q90" i="166" s="1"/>
  <c r="AS118" i="168" l="1"/>
  <c r="AR120" i="168"/>
  <c r="C101" i="166"/>
  <c r="P104" i="166"/>
  <c r="C104" i="166" s="1"/>
  <c r="Q91" i="166"/>
  <c r="Q58" i="166"/>
  <c r="Q59" i="166" s="1"/>
  <c r="R56" i="166" s="1"/>
  <c r="Q98" i="166"/>
  <c r="AT118" i="168" l="1"/>
  <c r="AS120" i="168"/>
  <c r="R61" i="166"/>
  <c r="R85" i="166" s="1"/>
  <c r="Q66" i="166"/>
  <c r="Q67" i="166" s="1"/>
  <c r="R64" i="166" s="1"/>
  <c r="Q99" i="166"/>
  <c r="Q92" i="166"/>
  <c r="AU118" i="168" l="1"/>
  <c r="AT120" i="168"/>
  <c r="R69" i="166"/>
  <c r="R89" i="166" s="1"/>
  <c r="R86" i="166"/>
  <c r="Q93" i="166"/>
  <c r="AV118" i="168" l="1"/>
  <c r="AU120" i="168"/>
  <c r="Q75" i="166"/>
  <c r="Q76" i="166" s="1"/>
  <c r="R72" i="166" s="1"/>
  <c r="Q100" i="166"/>
  <c r="Q101" i="166" s="1"/>
  <c r="Q94" i="166"/>
  <c r="Q103" i="166" s="1"/>
  <c r="R87" i="166"/>
  <c r="R88" i="166" s="1"/>
  <c r="R90" i="166" s="1"/>
  <c r="AW118" i="168" l="1"/>
  <c r="AV120" i="168"/>
  <c r="Q104" i="166"/>
  <c r="R74" i="166"/>
  <c r="R91" i="166"/>
  <c r="R58" i="166"/>
  <c r="R59" i="166" s="1"/>
  <c r="S56" i="166" s="1"/>
  <c r="R98" i="166"/>
  <c r="AX118" i="168" l="1"/>
  <c r="AW120" i="168"/>
  <c r="S61" i="166"/>
  <c r="S85" i="166" s="1"/>
  <c r="R66" i="166"/>
  <c r="R67" i="166" s="1"/>
  <c r="S64" i="166" s="1"/>
  <c r="R99" i="166"/>
  <c r="R92" i="166"/>
  <c r="AY118" i="168" l="1"/>
  <c r="AX120" i="168"/>
  <c r="S69" i="166"/>
  <c r="S89" i="166" s="1"/>
  <c r="R93" i="166"/>
  <c r="R94" i="166" s="1"/>
  <c r="R103" i="166" s="1"/>
  <c r="S86" i="166"/>
  <c r="AZ118" i="168" l="1"/>
  <c r="AY120" i="168"/>
  <c r="S87" i="166"/>
  <c r="S88" i="166" s="1"/>
  <c r="S90" i="166" s="1"/>
  <c r="R75" i="166"/>
  <c r="R76" i="166" s="1"/>
  <c r="S72" i="166" s="1"/>
  <c r="R100" i="166"/>
  <c r="R101" i="166" s="1"/>
  <c r="R104" i="166" s="1"/>
  <c r="BA118" i="168" l="1"/>
  <c r="AZ120" i="168"/>
  <c r="S91" i="166"/>
  <c r="S58" i="166"/>
  <c r="S59" i="166" s="1"/>
  <c r="T56" i="166" s="1"/>
  <c r="S98" i="166"/>
  <c r="S74" i="166"/>
  <c r="BB118" i="168" l="1"/>
  <c r="BA120" i="168"/>
  <c r="T61" i="166"/>
  <c r="T85" i="166" s="1"/>
  <c r="S66" i="166"/>
  <c r="S67" i="166" s="1"/>
  <c r="T64" i="166" s="1"/>
  <c r="S99" i="166"/>
  <c r="S92" i="166"/>
  <c r="BC118" i="168" l="1"/>
  <c r="BC120" i="168" s="1"/>
  <c r="BB120" i="168"/>
  <c r="T86" i="166"/>
  <c r="T69" i="166"/>
  <c r="T89" i="166" s="1"/>
  <c r="S93" i="166"/>
  <c r="D125" i="168" l="1"/>
  <c r="D127" i="168" s="1"/>
  <c r="D130" i="168" s="1"/>
  <c r="T87" i="166"/>
  <c r="T88" i="166" s="1"/>
  <c r="T90" i="166" s="1"/>
  <c r="S100" i="166"/>
  <c r="S101" i="166" s="1"/>
  <c r="S75" i="166"/>
  <c r="S76" i="166" s="1"/>
  <c r="T72" i="166" s="1"/>
  <c r="S94" i="166"/>
  <c r="S103" i="166" s="1"/>
  <c r="D132" i="168" l="1"/>
  <c r="D135" i="168"/>
  <c r="T74" i="166"/>
  <c r="T91" i="166"/>
  <c r="T92" i="166" s="1"/>
  <c r="S104" i="166"/>
  <c r="T58" i="166"/>
  <c r="T59" i="166" s="1"/>
  <c r="U56" i="166" s="1"/>
  <c r="T98" i="166"/>
  <c r="D137" i="168" l="1"/>
  <c r="D163" i="168"/>
  <c r="D164" i="168" s="1"/>
  <c r="D45" i="168" s="1"/>
  <c r="U61" i="166"/>
  <c r="U85" i="166" s="1"/>
  <c r="T93" i="166"/>
  <c r="T66" i="166"/>
  <c r="T67" i="166" s="1"/>
  <c r="U64" i="166" s="1"/>
  <c r="T99" i="166"/>
  <c r="L45" i="168" l="1"/>
  <c r="P45" i="168"/>
  <c r="T45" i="168"/>
  <c r="X45" i="168"/>
  <c r="AB45" i="168"/>
  <c r="AF45" i="168"/>
  <c r="M45" i="168"/>
  <c r="Q45" i="168"/>
  <c r="U45" i="168"/>
  <c r="Y45" i="168"/>
  <c r="AC45" i="168"/>
  <c r="AG45" i="168"/>
  <c r="J45" i="168"/>
  <c r="N45" i="168"/>
  <c r="R45" i="168"/>
  <c r="V45" i="168"/>
  <c r="Z45" i="168"/>
  <c r="AD45" i="168"/>
  <c r="I45" i="168"/>
  <c r="K45" i="168"/>
  <c r="O45" i="168"/>
  <c r="S45" i="168"/>
  <c r="W45" i="168"/>
  <c r="AA45" i="168"/>
  <c r="AE45" i="168"/>
  <c r="D42" i="168"/>
  <c r="D155" i="168"/>
  <c r="D156" i="168" s="1"/>
  <c r="T75" i="166"/>
  <c r="T76" i="166" s="1"/>
  <c r="U72" i="166" s="1"/>
  <c r="T100" i="166"/>
  <c r="T101" i="166" s="1"/>
  <c r="U69" i="166"/>
  <c r="U89" i="166" s="1"/>
  <c r="U86" i="166"/>
  <c r="T94" i="166"/>
  <c r="T103" i="166" s="1"/>
  <c r="D159" i="168" l="1"/>
  <c r="D44" i="168"/>
  <c r="L42" i="168"/>
  <c r="P42" i="168"/>
  <c r="T42" i="168"/>
  <c r="X42" i="168"/>
  <c r="X48" i="168" s="1"/>
  <c r="X53" i="168" s="1"/>
  <c r="AB42" i="168"/>
  <c r="AB48" i="168" s="1"/>
  <c r="AB53" i="168" s="1"/>
  <c r="AF42" i="168"/>
  <c r="M42" i="168"/>
  <c r="Q42" i="168"/>
  <c r="U42" i="168"/>
  <c r="Y42" i="168"/>
  <c r="Y48" i="168" s="1"/>
  <c r="Y53" i="168" s="1"/>
  <c r="AC42" i="168"/>
  <c r="AC48" i="168" s="1"/>
  <c r="AC53" i="168" s="1"/>
  <c r="AG42" i="168"/>
  <c r="J42" i="168"/>
  <c r="N42" i="168"/>
  <c r="R42" i="168"/>
  <c r="V42" i="168"/>
  <c r="Z42" i="168"/>
  <c r="Z48" i="168" s="1"/>
  <c r="Z53" i="168" s="1"/>
  <c r="AD42" i="168"/>
  <c r="AD48" i="168" s="1"/>
  <c r="AD53" i="168" s="1"/>
  <c r="K42" i="168"/>
  <c r="O42" i="168"/>
  <c r="S42" i="168"/>
  <c r="W42" i="168"/>
  <c r="AA42" i="168"/>
  <c r="AA48" i="168" s="1"/>
  <c r="AA53" i="168" s="1"/>
  <c r="AE42" i="168"/>
  <c r="AE48" i="168" s="1"/>
  <c r="AE53" i="168" s="1"/>
  <c r="I42" i="168"/>
  <c r="T104" i="166"/>
  <c r="U74" i="166"/>
  <c r="U87" i="166"/>
  <c r="U88" i="166" s="1"/>
  <c r="U90" i="166" s="1"/>
  <c r="L44" i="168" l="1"/>
  <c r="L47" i="168" s="1"/>
  <c r="AB44" i="168"/>
  <c r="AB47" i="168" s="1"/>
  <c r="AB51" i="168" s="1"/>
  <c r="AD44" i="168"/>
  <c r="AD47" i="168" s="1"/>
  <c r="AD51" i="168" s="1"/>
  <c r="Q44" i="168"/>
  <c r="Q47" i="168" s="1"/>
  <c r="AG44" i="168"/>
  <c r="AG47" i="168" s="1"/>
  <c r="I44" i="168"/>
  <c r="I47" i="168" s="1"/>
  <c r="AE44" i="168"/>
  <c r="AE47" i="168" s="1"/>
  <c r="AE51" i="168" s="1"/>
  <c r="M44" i="168"/>
  <c r="M47" i="168" s="1"/>
  <c r="W44" i="168"/>
  <c r="W47" i="168" s="1"/>
  <c r="P44" i="168"/>
  <c r="P47" i="168" s="1"/>
  <c r="AF44" i="168"/>
  <c r="AF47" i="168" s="1"/>
  <c r="O44" i="168"/>
  <c r="O47" i="168" s="1"/>
  <c r="U44" i="168"/>
  <c r="U47" i="168" s="1"/>
  <c r="J44" i="168"/>
  <c r="J47" i="168" s="1"/>
  <c r="K44" i="168"/>
  <c r="K47" i="168" s="1"/>
  <c r="X44" i="168"/>
  <c r="X47" i="168" s="1"/>
  <c r="X51" i="168" s="1"/>
  <c r="AC44" i="168"/>
  <c r="AC47" i="168" s="1"/>
  <c r="AC51" i="168" s="1"/>
  <c r="T44" i="168"/>
  <c r="T47" i="168" s="1"/>
  <c r="N44" i="168"/>
  <c r="N47" i="168" s="1"/>
  <c r="AA44" i="168"/>
  <c r="AA47" i="168" s="1"/>
  <c r="AA51" i="168" s="1"/>
  <c r="Y44" i="168"/>
  <c r="Y47" i="168" s="1"/>
  <c r="Y51" i="168" s="1"/>
  <c r="R44" i="168"/>
  <c r="R47" i="168" s="1"/>
  <c r="S44" i="168"/>
  <c r="S47" i="168" s="1"/>
  <c r="V44" i="168"/>
  <c r="V47" i="168" s="1"/>
  <c r="Z44" i="168"/>
  <c r="Z47" i="168" s="1"/>
  <c r="Z51" i="168" s="1"/>
  <c r="V48" i="168"/>
  <c r="AG48" i="168"/>
  <c r="Q48" i="168"/>
  <c r="R48" i="168"/>
  <c r="M48" i="168"/>
  <c r="T48" i="168"/>
  <c r="W48" i="168"/>
  <c r="N48" i="168"/>
  <c r="AF48" i="168"/>
  <c r="P48" i="168"/>
  <c r="O48" i="168"/>
  <c r="D73" i="168"/>
  <c r="E73" i="168" s="1"/>
  <c r="M15" i="169" s="1"/>
  <c r="D53" i="168"/>
  <c r="K48" i="168"/>
  <c r="I48" i="168"/>
  <c r="S48" i="168"/>
  <c r="J48" i="168"/>
  <c r="U48" i="168"/>
  <c r="L48" i="168"/>
  <c r="AE52" i="168"/>
  <c r="AA52" i="168"/>
  <c r="AC52" i="168"/>
  <c r="X52" i="168"/>
  <c r="AD52" i="168"/>
  <c r="Y52" i="168"/>
  <c r="Z52" i="168"/>
  <c r="AB52" i="168"/>
  <c r="U91" i="166"/>
  <c r="U58" i="166"/>
  <c r="U59" i="166" s="1"/>
  <c r="U98" i="166"/>
  <c r="E53" i="168" l="1"/>
  <c r="D58" i="168"/>
  <c r="D71" i="168" s="1"/>
  <c r="D72" i="168" s="1"/>
  <c r="D64" i="168"/>
  <c r="D51" i="168"/>
  <c r="E69" i="168"/>
  <c r="N15" i="169" s="1"/>
  <c r="D52" i="168"/>
  <c r="D69" i="168"/>
  <c r="U66" i="166"/>
  <c r="U67" i="166" s="1"/>
  <c r="U99" i="166"/>
  <c r="U92" i="166"/>
  <c r="L8" i="163" l="1"/>
  <c r="E58" i="168"/>
  <c r="I91" i="168"/>
  <c r="E51" i="168"/>
  <c r="D60" i="168"/>
  <c r="D62" i="168" s="1"/>
  <c r="D56" i="168"/>
  <c r="D65" i="168"/>
  <c r="E64" i="168"/>
  <c r="E65" i="168" s="1"/>
  <c r="L15" i="169" s="1"/>
  <c r="E52" i="168"/>
  <c r="D57" i="168"/>
  <c r="D67" i="168" s="1"/>
  <c r="D68" i="168" s="1"/>
  <c r="U93" i="166"/>
  <c r="Q94" i="168" l="1"/>
  <c r="Q95" i="168"/>
  <c r="P95" i="168"/>
  <c r="R94" i="168"/>
  <c r="R95" i="168"/>
  <c r="O95" i="168"/>
  <c r="P94" i="168"/>
  <c r="Q92" i="168"/>
  <c r="P93" i="168"/>
  <c r="O92" i="168"/>
  <c r="O94" i="168"/>
  <c r="Q93" i="168"/>
  <c r="P92" i="168"/>
  <c r="R92" i="168"/>
  <c r="O93" i="168"/>
  <c r="R93" i="168"/>
  <c r="N9" i="169"/>
  <c r="N11" i="169" s="1"/>
  <c r="N13" i="169" s="1"/>
  <c r="E71" i="168"/>
  <c r="E72" i="168" s="1"/>
  <c r="M14" i="169" s="1"/>
  <c r="E60" i="168"/>
  <c r="E62" i="168" s="1"/>
  <c r="L14" i="169" s="1"/>
  <c r="I79" i="168"/>
  <c r="E56" i="168"/>
  <c r="E57" i="168"/>
  <c r="I85" i="168"/>
  <c r="U75" i="166"/>
  <c r="U76" i="166" s="1"/>
  <c r="U100" i="166"/>
  <c r="U101" i="166" s="1"/>
  <c r="U94" i="166"/>
  <c r="U103" i="166" s="1"/>
  <c r="L9" i="169" l="1"/>
  <c r="L11" i="169" s="1"/>
  <c r="L13" i="169" s="1"/>
  <c r="K8" i="163"/>
  <c r="Q83" i="168"/>
  <c r="O80" i="168"/>
  <c r="P81" i="168"/>
  <c r="Q81" i="168"/>
  <c r="Q82" i="168"/>
  <c r="O82" i="168"/>
  <c r="O83" i="168"/>
  <c r="P83" i="168"/>
  <c r="R83" i="168"/>
  <c r="O81" i="168"/>
  <c r="R80" i="168"/>
  <c r="P80" i="168"/>
  <c r="R81" i="168"/>
  <c r="Q80" i="168"/>
  <c r="P82" i="168"/>
  <c r="R82" i="168"/>
  <c r="R87" i="168"/>
  <c r="Q87" i="168"/>
  <c r="R86" i="168"/>
  <c r="O88" i="168"/>
  <c r="P88" i="168"/>
  <c r="O86" i="168"/>
  <c r="Q86" i="168"/>
  <c r="P86" i="168"/>
  <c r="R88" i="168"/>
  <c r="P87" i="168"/>
  <c r="O87" i="168"/>
  <c r="O89" i="168"/>
  <c r="P89" i="168"/>
  <c r="Q89" i="168"/>
  <c r="Q88" i="168"/>
  <c r="R89" i="168"/>
  <c r="M8" i="163"/>
  <c r="M9" i="169"/>
  <c r="M11" i="169" s="1"/>
  <c r="M13" i="169" s="1"/>
  <c r="E67" i="168"/>
  <c r="E68" i="168" s="1"/>
  <c r="N14" i="169" s="1"/>
  <c r="U104" i="166"/>
  <c r="D4" i="172" a="1"/>
  <c r="D7" i="172" l="1"/>
  <c r="E7" i="172" s="1"/>
  <c r="D23" i="172"/>
  <c r="E23" i="172" s="1"/>
  <c r="D39" i="172"/>
  <c r="E39" i="172" s="1"/>
  <c r="D55" i="172"/>
  <c r="E55" i="172" s="1"/>
  <c r="D71" i="172"/>
  <c r="E71" i="172" s="1"/>
  <c r="D87" i="172"/>
  <c r="E87" i="172" s="1"/>
  <c r="D103" i="172"/>
  <c r="E103" i="172" s="1"/>
  <c r="D119" i="172"/>
  <c r="E119" i="172" s="1"/>
  <c r="D135" i="172"/>
  <c r="E135" i="172" s="1"/>
  <c r="D8" i="172"/>
  <c r="E8" i="172" s="1"/>
  <c r="D24" i="172"/>
  <c r="E24" i="172" s="1"/>
  <c r="D40" i="172"/>
  <c r="E40" i="172" s="1"/>
  <c r="D56" i="172"/>
  <c r="E56" i="172" s="1"/>
  <c r="D72" i="172"/>
  <c r="E72" i="172" s="1"/>
  <c r="D88" i="172"/>
  <c r="E88" i="172" s="1"/>
  <c r="D104" i="172"/>
  <c r="E104" i="172" s="1"/>
  <c r="D120" i="172"/>
  <c r="E120" i="172" s="1"/>
  <c r="D136" i="172"/>
  <c r="E136" i="172" s="1"/>
  <c r="D86" i="172"/>
  <c r="E86" i="172" s="1"/>
  <c r="D122" i="172"/>
  <c r="E122" i="172" s="1"/>
  <c r="D9" i="172"/>
  <c r="E9" i="172" s="1"/>
  <c r="D25" i="172"/>
  <c r="E25" i="172" s="1"/>
  <c r="D41" i="172"/>
  <c r="E41" i="172" s="1"/>
  <c r="D57" i="172"/>
  <c r="E57" i="172" s="1"/>
  <c r="D73" i="172"/>
  <c r="E73" i="172" s="1"/>
  <c r="D89" i="172"/>
  <c r="E89" i="172" s="1"/>
  <c r="D105" i="172"/>
  <c r="E105" i="172" s="1"/>
  <c r="D121" i="172"/>
  <c r="E121" i="172" s="1"/>
  <c r="D137" i="172"/>
  <c r="E137" i="172" s="1"/>
  <c r="D10" i="172"/>
  <c r="E10" i="172" s="1"/>
  <c r="D26" i="172"/>
  <c r="E26" i="172" s="1"/>
  <c r="D46" i="172"/>
  <c r="E46" i="172" s="1"/>
  <c r="D62" i="172"/>
  <c r="E62" i="172" s="1"/>
  <c r="D78" i="172"/>
  <c r="E78" i="172" s="1"/>
  <c r="D102" i="172"/>
  <c r="E102" i="172" s="1"/>
  <c r="D134" i="172"/>
  <c r="E134" i="172" s="1"/>
  <c r="D11" i="172"/>
  <c r="E11" i="172" s="1"/>
  <c r="D27" i="172"/>
  <c r="E27" i="172" s="1"/>
  <c r="D43" i="172"/>
  <c r="D59" i="172"/>
  <c r="E59" i="172" s="1"/>
  <c r="D75" i="172"/>
  <c r="E75" i="172" s="1"/>
  <c r="D91" i="172"/>
  <c r="E91" i="172" s="1"/>
  <c r="D107" i="172"/>
  <c r="E107" i="172" s="1"/>
  <c r="D123" i="172"/>
  <c r="E123" i="172" s="1"/>
  <c r="D139" i="172"/>
  <c r="E139" i="172" s="1"/>
  <c r="D12" i="172"/>
  <c r="E12" i="172" s="1"/>
  <c r="D28" i="172"/>
  <c r="E28" i="172" s="1"/>
  <c r="D44" i="172"/>
  <c r="E44" i="172" s="1"/>
  <c r="D60" i="172"/>
  <c r="E60" i="172" s="1"/>
  <c r="D76" i="172"/>
  <c r="E76" i="172" s="1"/>
  <c r="D92" i="172"/>
  <c r="E92" i="172" s="1"/>
  <c r="D108" i="172"/>
  <c r="E108" i="172" s="1"/>
  <c r="D124" i="172"/>
  <c r="E124" i="172" s="1"/>
  <c r="D140" i="172"/>
  <c r="E140" i="172" s="1"/>
  <c r="D98" i="172"/>
  <c r="E98" i="172" s="1"/>
  <c r="D130" i="172"/>
  <c r="E130" i="172" s="1"/>
  <c r="D13" i="172"/>
  <c r="E13" i="172" s="1"/>
  <c r="D29" i="172"/>
  <c r="E29" i="172" s="1"/>
  <c r="D45" i="172"/>
  <c r="E45" i="172" s="1"/>
  <c r="D61" i="172"/>
  <c r="E61" i="172" s="1"/>
  <c r="D77" i="172"/>
  <c r="E77" i="172" s="1"/>
  <c r="D93" i="172"/>
  <c r="E93" i="172" s="1"/>
  <c r="D109" i="172"/>
  <c r="E109" i="172" s="1"/>
  <c r="D125" i="172"/>
  <c r="E125" i="172" s="1"/>
  <c r="D141" i="172"/>
  <c r="E141" i="172" s="1"/>
  <c r="D14" i="172"/>
  <c r="E14" i="172" s="1"/>
  <c r="D30" i="172"/>
  <c r="E30" i="172" s="1"/>
  <c r="D50" i="172"/>
  <c r="E50" i="172" s="1"/>
  <c r="D66" i="172"/>
  <c r="E66" i="172" s="1"/>
  <c r="D82" i="172"/>
  <c r="E82" i="172" s="1"/>
  <c r="D110" i="172"/>
  <c r="E110" i="172" s="1"/>
  <c r="D142" i="172"/>
  <c r="E142" i="172" s="1"/>
  <c r="D15" i="172"/>
  <c r="E15" i="172" s="1"/>
  <c r="D31" i="172"/>
  <c r="E31" i="172" s="1"/>
  <c r="D47" i="172"/>
  <c r="E47" i="172" s="1"/>
  <c r="K6" i="172" s="1"/>
  <c r="D63" i="172"/>
  <c r="E63" i="172" s="1"/>
  <c r="D79" i="172"/>
  <c r="E79" i="172" s="1"/>
  <c r="D95" i="172"/>
  <c r="E95" i="172" s="1"/>
  <c r="D111" i="172"/>
  <c r="E111" i="172" s="1"/>
  <c r="D127" i="172"/>
  <c r="E127" i="172" s="1"/>
  <c r="D143" i="172"/>
  <c r="E143" i="172" s="1"/>
  <c r="D16" i="172"/>
  <c r="E16" i="172" s="1"/>
  <c r="D32" i="172"/>
  <c r="E32" i="172" s="1"/>
  <c r="D48" i="172"/>
  <c r="E48" i="172" s="1"/>
  <c r="D64" i="172"/>
  <c r="E64" i="172" s="1"/>
  <c r="D80" i="172"/>
  <c r="E80" i="172" s="1"/>
  <c r="D96" i="172"/>
  <c r="E96" i="172" s="1"/>
  <c r="D112" i="172"/>
  <c r="E112" i="172" s="1"/>
  <c r="D128" i="172"/>
  <c r="E128" i="172" s="1"/>
  <c r="D144" i="172"/>
  <c r="E144" i="172" s="1"/>
  <c r="D106" i="172"/>
  <c r="E106" i="172" s="1"/>
  <c r="D138" i="172"/>
  <c r="E138" i="172" s="1"/>
  <c r="D17" i="172"/>
  <c r="E17" i="172" s="1"/>
  <c r="D33" i="172"/>
  <c r="E33" i="172" s="1"/>
  <c r="D49" i="172"/>
  <c r="E49" i="172" s="1"/>
  <c r="D65" i="172"/>
  <c r="E65" i="172" s="1"/>
  <c r="D81" i="172"/>
  <c r="E81" i="172" s="1"/>
  <c r="D97" i="172"/>
  <c r="E97" i="172" s="1"/>
  <c r="D113" i="172"/>
  <c r="E113" i="172" s="1"/>
  <c r="D129" i="172"/>
  <c r="E129" i="172" s="1"/>
  <c r="D145" i="172"/>
  <c r="E145" i="172" s="1"/>
  <c r="D18" i="172"/>
  <c r="E18" i="172" s="1"/>
  <c r="D34" i="172"/>
  <c r="E34" i="172" s="1"/>
  <c r="D54" i="172"/>
  <c r="E54" i="172" s="1"/>
  <c r="D70" i="172"/>
  <c r="E70" i="172" s="1"/>
  <c r="D90" i="172"/>
  <c r="E90" i="172" s="1"/>
  <c r="D118" i="172"/>
  <c r="E118" i="172" s="1"/>
  <c r="D19" i="172"/>
  <c r="E19" i="172" s="1"/>
  <c r="D35" i="172"/>
  <c r="E35" i="172" s="1"/>
  <c r="D51" i="172"/>
  <c r="E51" i="172" s="1"/>
  <c r="D67" i="172"/>
  <c r="E67" i="172" s="1"/>
  <c r="D83" i="172"/>
  <c r="E83" i="172" s="1"/>
  <c r="D99" i="172"/>
  <c r="E99" i="172" s="1"/>
  <c r="D115" i="172"/>
  <c r="E115" i="172" s="1"/>
  <c r="D131" i="172"/>
  <c r="E131" i="172" s="1"/>
  <c r="D4" i="172"/>
  <c r="E4" i="172" s="1"/>
  <c r="D20" i="172"/>
  <c r="E20" i="172" s="1"/>
  <c r="D36" i="172"/>
  <c r="E36" i="172" s="1"/>
  <c r="D52" i="172"/>
  <c r="E52" i="172" s="1"/>
  <c r="D68" i="172"/>
  <c r="E68" i="172" s="1"/>
  <c r="D84" i="172"/>
  <c r="E84" i="172" s="1"/>
  <c r="D100" i="172"/>
  <c r="E100" i="172" s="1"/>
  <c r="D116" i="172"/>
  <c r="E116" i="172" s="1"/>
  <c r="D132" i="172"/>
  <c r="E132" i="172" s="1"/>
  <c r="D42" i="172"/>
  <c r="E42" i="172" s="1"/>
  <c r="D114" i="172"/>
  <c r="E114" i="172" s="1"/>
  <c r="D5" i="172"/>
  <c r="E5" i="172" s="1"/>
  <c r="D21" i="172"/>
  <c r="E21" i="172" s="1"/>
  <c r="D37" i="172"/>
  <c r="E37" i="172" s="1"/>
  <c r="D53" i="172"/>
  <c r="E53" i="172" s="1"/>
  <c r="D69" i="172"/>
  <c r="E69" i="172" s="1"/>
  <c r="D85" i="172"/>
  <c r="E85" i="172" s="1"/>
  <c r="D101" i="172"/>
  <c r="E101" i="172" s="1"/>
  <c r="D117" i="172"/>
  <c r="E117" i="172" s="1"/>
  <c r="D133" i="172"/>
  <c r="E133" i="172" s="1"/>
  <c r="D6" i="172"/>
  <c r="E6" i="172" s="1"/>
  <c r="D22" i="172"/>
  <c r="E22" i="172" s="1"/>
  <c r="D38" i="172"/>
  <c r="E38" i="172" s="1"/>
  <c r="D58" i="172"/>
  <c r="E58" i="172" s="1"/>
  <c r="D74" i="172"/>
  <c r="E74" i="172" s="1"/>
  <c r="D94" i="172"/>
  <c r="E94" i="172" s="1"/>
  <c r="D126" i="172"/>
  <c r="E126" i="172" s="1"/>
  <c r="E43" i="172"/>
  <c r="K4" i="172" l="1"/>
  <c r="J12" i="172" s="1"/>
  <c r="N19" i="172"/>
  <c r="N22" i="172" s="1"/>
  <c r="M19" i="172"/>
  <c r="M22" i="172" s="1"/>
  <c r="I19" i="172"/>
  <c r="I22" i="172" s="1"/>
  <c r="W19" i="172"/>
  <c r="W22" i="172" s="1"/>
  <c r="V19" i="172"/>
  <c r="V22" i="172" s="1"/>
  <c r="Z19" i="172"/>
  <c r="Z22" i="172" s="1"/>
  <c r="AC19" i="172"/>
  <c r="AC22" i="172" s="1"/>
  <c r="X19" i="172"/>
  <c r="X22" i="172" s="1"/>
  <c r="R19" i="172"/>
  <c r="R22" i="172" s="1"/>
  <c r="P19" i="172"/>
  <c r="P22" i="172" s="1"/>
  <c r="T19" i="172"/>
  <c r="T22" i="172" s="1"/>
  <c r="Y19" i="172"/>
  <c r="Y22" i="172" s="1"/>
  <c r="S19" i="172"/>
  <c r="S22" i="172" s="1"/>
  <c r="L19" i="172"/>
  <c r="L22" i="172" s="1"/>
  <c r="K19" i="172"/>
  <c r="K22" i="172" s="1"/>
  <c r="O19" i="172"/>
  <c r="O22" i="172" s="1"/>
  <c r="U19" i="172"/>
  <c r="U22" i="172" s="1"/>
  <c r="AB19" i="172"/>
  <c r="AB22" i="172" s="1"/>
  <c r="AA19" i="172"/>
  <c r="AA22" i="172" s="1"/>
  <c r="H19" i="172"/>
  <c r="J19" i="172"/>
  <c r="J22" i="172" s="1"/>
  <c r="Q19" i="172"/>
  <c r="Q22" i="172" s="1"/>
  <c r="J14" i="172" l="1"/>
  <c r="J23" i="172"/>
  <c r="Y12" i="172"/>
  <c r="AA12" i="172"/>
  <c r="T12" i="172"/>
  <c r="W12" i="172"/>
  <c r="AC12" i="172"/>
  <c r="I12" i="172"/>
  <c r="M12" i="172"/>
  <c r="P12" i="172"/>
  <c r="S12" i="172"/>
  <c r="V12" i="172"/>
  <c r="X12" i="172"/>
  <c r="K12" i="172"/>
  <c r="Q12" i="172"/>
  <c r="H12" i="172"/>
  <c r="H23" i="172" s="1"/>
  <c r="AB12" i="172"/>
  <c r="L12" i="172"/>
  <c r="O12" i="172"/>
  <c r="R12" i="172"/>
  <c r="U12" i="172"/>
  <c r="N12" i="172"/>
  <c r="Z12" i="172"/>
  <c r="V15" i="172" l="1"/>
  <c r="V23" i="172"/>
  <c r="I14" i="172"/>
  <c r="I23" i="172"/>
  <c r="AA15" i="172"/>
  <c r="AA23" i="172"/>
  <c r="Z15" i="172"/>
  <c r="Z23" i="172"/>
  <c r="O14" i="172"/>
  <c r="O23" i="172"/>
  <c r="Q14" i="172"/>
  <c r="Q23" i="172"/>
  <c r="S14" i="172"/>
  <c r="S23" i="172"/>
  <c r="AC15" i="172"/>
  <c r="AC23" i="172"/>
  <c r="Y15" i="172"/>
  <c r="Y23" i="172"/>
  <c r="R14" i="172"/>
  <c r="R23" i="172"/>
  <c r="N14" i="172"/>
  <c r="N23" i="172"/>
  <c r="L14" i="172"/>
  <c r="L23" i="172"/>
  <c r="K14" i="172"/>
  <c r="K23" i="172"/>
  <c r="P14" i="172"/>
  <c r="P23" i="172"/>
  <c r="W15" i="172"/>
  <c r="W23" i="172"/>
  <c r="U15" i="172"/>
  <c r="U23" i="172"/>
  <c r="AB15" i="172"/>
  <c r="AB23" i="172"/>
  <c r="X15" i="172"/>
  <c r="X23" i="172"/>
  <c r="M14" i="172"/>
  <c r="M23" i="172"/>
  <c r="T15" i="172"/>
  <c r="T23" i="172"/>
</calcChain>
</file>

<file path=xl/sharedStrings.xml><?xml version="1.0" encoding="utf-8"?>
<sst xmlns="http://schemas.openxmlformats.org/spreadsheetml/2006/main" count="620" uniqueCount="502">
  <si>
    <t>Equity and liabilities</t>
  </si>
  <si>
    <t>Equity:</t>
  </si>
  <si>
    <t>Beer</t>
  </si>
  <si>
    <t>Net revenue</t>
  </si>
  <si>
    <t>Special items net</t>
  </si>
  <si>
    <t>Minority interests</t>
  </si>
  <si>
    <t>Invested capital</t>
  </si>
  <si>
    <t>Interest bearing debt net</t>
  </si>
  <si>
    <t>Return on invested capital ROIC</t>
  </si>
  <si>
    <t>Interest cover x</t>
  </si>
  <si>
    <t>Earnings per share before goodwill amortisation DKK</t>
  </si>
  <si>
    <t>Dividend per share proposed DKK</t>
  </si>
  <si>
    <t>Number of shares year end</t>
  </si>
  <si>
    <t>Number of shares year end excl treasury shares</t>
  </si>
  <si>
    <t>Number of shares average excl treasury shares</t>
  </si>
  <si>
    <t>Stock market ratios Earnings per share EPS DKK</t>
  </si>
  <si>
    <t>Adjustment for depreciation and amortisation</t>
  </si>
  <si>
    <t>Adjustment for other non cash items</t>
  </si>
  <si>
    <t>Change in working capital</t>
  </si>
  <si>
    <t>Restructuring costs paid</t>
  </si>
  <si>
    <t>Interest etc received</t>
  </si>
  <si>
    <t>Interest etc paid</t>
  </si>
  <si>
    <t>Corporation tax paid</t>
  </si>
  <si>
    <t>Acquisition of property plant and equipment and intangible assets</t>
  </si>
  <si>
    <t>Disposal of property plant and equipment and intangible assets</t>
  </si>
  <si>
    <t>Change in trade loans</t>
  </si>
  <si>
    <t>Total operational investments</t>
  </si>
  <si>
    <t>Dividends received</t>
  </si>
  <si>
    <t>Other investments in property plant and equipment</t>
  </si>
  <si>
    <t>Disposal of other property plant and equipment</t>
  </si>
  <si>
    <t>Total other activities</t>
  </si>
  <si>
    <t>Shareholders in Carlsberg A/S</t>
  </si>
  <si>
    <t>Cash and cash equivalents at January</t>
  </si>
  <si>
    <t>Cash and cash equivalents at December</t>
  </si>
  <si>
    <t xml:space="preserve"> Acquisition and divestment of entities net</t>
  </si>
  <si>
    <t>Reserves</t>
  </si>
  <si>
    <t>Provisions</t>
  </si>
  <si>
    <t>Share capital</t>
  </si>
  <si>
    <t>Equity shareholders in Carlsberg A/S</t>
  </si>
  <si>
    <t>Total equity</t>
  </si>
  <si>
    <t>Deferred tax liabilities</t>
  </si>
  <si>
    <t>Other liabilities</t>
  </si>
  <si>
    <t>Total non current liabilities</t>
  </si>
  <si>
    <t>Trade payables</t>
  </si>
  <si>
    <t>Deposits on returnable packaging</t>
  </si>
  <si>
    <t>Corporation tax</t>
  </si>
  <si>
    <t>Other liabilities etc</t>
  </si>
  <si>
    <t>Total current liabilities</t>
  </si>
  <si>
    <t>Liabilities associated with assets held for sale</t>
  </si>
  <si>
    <t>Total liabilities</t>
  </si>
  <si>
    <t>Total equity and liabilities</t>
  </si>
  <si>
    <t>Securities</t>
  </si>
  <si>
    <t>Sales volumes gross million hl</t>
  </si>
  <si>
    <t>Total assets</t>
  </si>
  <si>
    <t>Equity ratio</t>
  </si>
  <si>
    <t xml:space="preserve"> Goodwill amortisation and impairments</t>
  </si>
  <si>
    <t>Attributable to: Minority interests</t>
  </si>
  <si>
    <t>Acquisition and disposal of property plant and equipment net</t>
  </si>
  <si>
    <t>Financial ratios Operating margin</t>
  </si>
  <si>
    <t>Adjustment for impairment losses</t>
  </si>
  <si>
    <t>Acquisition and disposal of entities net</t>
  </si>
  <si>
    <t>Acquisitions of associated companies</t>
  </si>
  <si>
    <t>Disposals of associated companies</t>
  </si>
  <si>
    <t>Non current liabilities: Borrowings</t>
  </si>
  <si>
    <t>Current liabilities: Borrowings</t>
  </si>
  <si>
    <t>Receivables</t>
  </si>
  <si>
    <t>Prepayments</t>
  </si>
  <si>
    <t>Intangible assets</t>
  </si>
  <si>
    <t>Property plant and equipment</t>
  </si>
  <si>
    <t>Investments in associates</t>
  </si>
  <si>
    <t>Deferred tax assets</t>
  </si>
  <si>
    <t>Total non current assets</t>
  </si>
  <si>
    <t>Trade receivables</t>
  </si>
  <si>
    <t>Tax receivables</t>
  </si>
  <si>
    <t>Other receivables</t>
  </si>
  <si>
    <t>Cash and cash equivalents</t>
  </si>
  <si>
    <t>Total current assets</t>
  </si>
  <si>
    <t>Assets held for sale</t>
  </si>
  <si>
    <t>Revenue</t>
  </si>
  <si>
    <t>Excise duties on beer and soft drinks etc</t>
  </si>
  <si>
    <t>Cost of sales</t>
  </si>
  <si>
    <t>Sales and distribution expenses</t>
  </si>
  <si>
    <t>Administrative expenses</t>
  </si>
  <si>
    <t>Other operating income</t>
  </si>
  <si>
    <t>Other operating expenses</t>
  </si>
  <si>
    <t>Financial income</t>
  </si>
  <si>
    <t>Financial expenses</t>
  </si>
  <si>
    <t>Financial items net</t>
  </si>
  <si>
    <t>Share price B shares DKK</t>
  </si>
  <si>
    <t>Investments Acquisition and disposal of property plant and equipment net</t>
  </si>
  <si>
    <t>Operating profit before special items</t>
  </si>
  <si>
    <t>Profit before tax</t>
  </si>
  <si>
    <t>Consolidated profit</t>
  </si>
  <si>
    <t>Non controlling interests</t>
  </si>
  <si>
    <t>Cash flow from operating activities</t>
  </si>
  <si>
    <t>Cash flow from investing activities</t>
  </si>
  <si>
    <t>Free cash flow</t>
  </si>
  <si>
    <t>Cash flow from operating activities per share CFPS DKK</t>
  </si>
  <si>
    <t>Free cash flow per share FCFPS DKK</t>
  </si>
  <si>
    <t>Attributable to: Non controlling interests</t>
  </si>
  <si>
    <t>Statement of financial position Total assets</t>
  </si>
  <si>
    <t>Gross profit</t>
  </si>
  <si>
    <t>Current assets Inventories</t>
  </si>
  <si>
    <t>Retained earnings</t>
  </si>
  <si>
    <t>Retirement benefit obligations and similar obligations</t>
  </si>
  <si>
    <t>Change in other working capital</t>
  </si>
  <si>
    <t>Free operating cash flow</t>
  </si>
  <si>
    <t>Change in financial receivables</t>
  </si>
  <si>
    <t>Total financial investments</t>
  </si>
  <si>
    <t>External financing</t>
  </si>
  <si>
    <t>Cash flow from financing activities</t>
  </si>
  <si>
    <t>Net cash flow</t>
  </si>
  <si>
    <t>Foreign exchange adjustment of cash and cash equivalents</t>
  </si>
  <si>
    <t>Assets classified as held for sale</t>
  </si>
  <si>
    <t>Share of profit after tax associates</t>
  </si>
  <si>
    <t>Diluted earnings per share</t>
  </si>
  <si>
    <t>Earnings per share Basic earnings per share</t>
  </si>
  <si>
    <t>Operating profit before depreciation amortisation and impairment losses</t>
  </si>
  <si>
    <t>Acquisition of financial assets</t>
  </si>
  <si>
    <t>Disposal of financial assets</t>
  </si>
  <si>
    <t>Other beverages</t>
  </si>
  <si>
    <t>Acquisitions of associates</t>
  </si>
  <si>
    <t>Shareholders in Carlsberg A/S adjusted</t>
  </si>
  <si>
    <t>Earnings per share adjusted EPS A DKK</t>
  </si>
  <si>
    <t>Debt/equity ratio financial gearing x</t>
  </si>
  <si>
    <t>Debt/operating profit before depreciation and amortisation x</t>
  </si>
  <si>
    <t>Payout ratio</t>
  </si>
  <si>
    <t>Payout ratio adjusted</t>
  </si>
  <si>
    <t xml:space="preserve"> Statement of cash flows</t>
  </si>
  <si>
    <t>ROIC excl goodwill</t>
  </si>
  <si>
    <t>Invested capital excluding goodwill</t>
  </si>
  <si>
    <t>Retirement benefit net assets</t>
  </si>
  <si>
    <t>Operating profit before depreciation amortisation and impairment</t>
  </si>
  <si>
    <t xml:space="preserve"> Acquisition of financial assets</t>
  </si>
  <si>
    <t>BALANCE SHEET</t>
  </si>
  <si>
    <t>PROFIT AND LOSS</t>
  </si>
  <si>
    <t>.</t>
  </si>
  <si>
    <t>STATEMENT OF CASH FLOW</t>
  </si>
  <si>
    <t>SUMMARY</t>
  </si>
  <si>
    <t>. RATIOS FOR FINANCIAL ANALYSIS</t>
  </si>
  <si>
    <t>EBITDA</t>
  </si>
  <si>
    <t xml:space="preserve">COGS </t>
  </si>
  <si>
    <t>Less: Depreciation Expense</t>
  </si>
  <si>
    <t>COGS Margin</t>
  </si>
  <si>
    <t>COGS without Depreciation</t>
  </si>
  <si>
    <t>EBITDA Margin</t>
  </si>
  <si>
    <t>SG&amp;A as Pct of Sales</t>
  </si>
  <si>
    <t>Admin as Pct of Sales</t>
  </si>
  <si>
    <t>Depreciation Rate</t>
  </si>
  <si>
    <t>Tax Rate</t>
  </si>
  <si>
    <t>Average Interest Expese</t>
  </si>
  <si>
    <t>Return on Investments in Associates</t>
  </si>
  <si>
    <t>NOPAT - EBIT x (1-t)</t>
  </si>
  <si>
    <t>ROIC</t>
  </si>
  <si>
    <t>ROE</t>
  </si>
  <si>
    <t>Market Capital</t>
  </si>
  <si>
    <t>P/E ratio from LTM</t>
  </si>
  <si>
    <t>P/E ratio from Forward</t>
  </si>
  <si>
    <t>Net Debt</t>
  </si>
  <si>
    <t>Enterprise Value</t>
  </si>
  <si>
    <t>EV to EBITDA</t>
  </si>
  <si>
    <t>EV to EBIT</t>
  </si>
  <si>
    <t>Price to Book Ratio</t>
  </si>
  <si>
    <t>EV to Invested Capital Ratio</t>
  </si>
  <si>
    <t>Cap Exp to Depreciation</t>
  </si>
  <si>
    <t>ROE to Minority Interest</t>
  </si>
  <si>
    <t>Invested Capital - EOY</t>
  </si>
  <si>
    <t>Invested Capital - Average</t>
  </si>
  <si>
    <t>Net Revenues</t>
  </si>
  <si>
    <t>Property Plant and Equipment</t>
  </si>
  <si>
    <t>Average</t>
  </si>
  <si>
    <t>Capital Expenditures - Gross</t>
  </si>
  <si>
    <t>Capital Expenditures - Net</t>
  </si>
  <si>
    <t>Total Gross Debt</t>
  </si>
  <si>
    <t>Average Gross Debt</t>
  </si>
  <si>
    <t>Interest Expense</t>
  </si>
  <si>
    <t>Cash and Investments</t>
  </si>
  <si>
    <t>Average Cash and Investments</t>
  </si>
  <si>
    <t>Interest Income</t>
  </si>
  <si>
    <t>Income from Associates</t>
  </si>
  <si>
    <t>Investment in Associates</t>
  </si>
  <si>
    <t>Trade and Other Recievables</t>
  </si>
  <si>
    <t>Trade and Other as Percent of Sales</t>
  </si>
  <si>
    <t>Accounts Payable</t>
  </si>
  <si>
    <t>A/P as Percent of COGS</t>
  </si>
  <si>
    <t>Average Investment in Associates</t>
  </si>
  <si>
    <t>Tax Rate Applied</t>
  </si>
  <si>
    <t>Equity Capital without Minority Interest</t>
  </si>
  <si>
    <t>EBIT</t>
  </si>
  <si>
    <t>Average Interest Income Rate</t>
  </si>
  <si>
    <t>Net Income to Common</t>
  </si>
  <si>
    <t>Earnings to Common</t>
  </si>
  <si>
    <t>Minority Interest</t>
  </si>
  <si>
    <t>Earnings from Minority Interest</t>
  </si>
  <si>
    <t>Other Liabilities</t>
  </si>
  <si>
    <t>Net capital invested associated with EBITDA</t>
  </si>
  <si>
    <t>NOPAT</t>
  </si>
  <si>
    <t>Revenues, expenses and capex</t>
  </si>
  <si>
    <t>Revenues</t>
  </si>
  <si>
    <t>Financing</t>
  </si>
  <si>
    <t>Historical switch</t>
  </si>
  <si>
    <t>Last historic year</t>
  </si>
  <si>
    <t>Input</t>
  </si>
  <si>
    <t>Direct</t>
  </si>
  <si>
    <t>Less: Income from associates</t>
  </si>
  <si>
    <t>Assumptions</t>
  </si>
  <si>
    <t>Base case</t>
  </si>
  <si>
    <t>Bull case</t>
  </si>
  <si>
    <t>Bear case</t>
  </si>
  <si>
    <t>Volume of sales</t>
  </si>
  <si>
    <t>Volume</t>
  </si>
  <si>
    <t>Historic price per volume unit</t>
  </si>
  <si>
    <t>Cost per volume sold</t>
  </si>
  <si>
    <t>Avg. Hist.</t>
  </si>
  <si>
    <t>Last hist.</t>
  </si>
  <si>
    <t>Full data switch</t>
  </si>
  <si>
    <t>COGS in pct of revenue</t>
  </si>
  <si>
    <t>SG&amp;A in pct of sales</t>
  </si>
  <si>
    <t>Price</t>
  </si>
  <si>
    <t>COGS pct of sales</t>
  </si>
  <si>
    <t>Admin in pct of sales</t>
  </si>
  <si>
    <t>Scenario</t>
  </si>
  <si>
    <t>DCF with growth method</t>
  </si>
  <si>
    <t>DCF with value driver formula</t>
  </si>
  <si>
    <t>DCF with multiple terminal value</t>
  </si>
  <si>
    <t>IRR from LBO</t>
  </si>
  <si>
    <t>Quantity</t>
  </si>
  <si>
    <t>COGS for valuation</t>
  </si>
  <si>
    <t>Revenue for valuation</t>
  </si>
  <si>
    <t>SG&amp;A in pct of revenue</t>
  </si>
  <si>
    <t>SG&amp;A for valuation</t>
  </si>
  <si>
    <t>Admin for valuation</t>
  </si>
  <si>
    <t>EBITDA historic</t>
  </si>
  <si>
    <t>Difference</t>
  </si>
  <si>
    <t>Total receivables</t>
  </si>
  <si>
    <t>Total other current liabilities</t>
  </si>
  <si>
    <t>Working capital changes</t>
  </si>
  <si>
    <t>Capex</t>
  </si>
  <si>
    <t>Inventory in pct of COGS</t>
  </si>
  <si>
    <t>Accounts receivables in pct of revenue</t>
  </si>
  <si>
    <t>Other current liabilities in pct of revenue</t>
  </si>
  <si>
    <t>Accounts payables in pct of COGS</t>
  </si>
  <si>
    <t>Accounts receivable</t>
  </si>
  <si>
    <t>Inventory</t>
  </si>
  <si>
    <t>Accounts payable</t>
  </si>
  <si>
    <t>Levels</t>
  </si>
  <si>
    <t>Other current liabilities</t>
  </si>
  <si>
    <t>Net working capital</t>
  </si>
  <si>
    <t>Change in NWC</t>
  </si>
  <si>
    <t>Change in net working capital</t>
  </si>
  <si>
    <t>Other Income and Restructuring</t>
  </si>
  <si>
    <t>Capital Expenditures</t>
  </si>
  <si>
    <t>Net Plant</t>
  </si>
  <si>
    <t>Opening Balance</t>
  </si>
  <si>
    <t xml:space="preserve">  Depreciation</t>
  </si>
  <si>
    <t>Add cap Exp</t>
  </si>
  <si>
    <t xml:space="preserve">Less Depreciation </t>
  </si>
  <si>
    <t>Closing</t>
  </si>
  <si>
    <t>Intangibles</t>
  </si>
  <si>
    <t>Net Working Capital'</t>
  </si>
  <si>
    <t>Total</t>
  </si>
  <si>
    <t>Depreciation and Invested Capital</t>
  </si>
  <si>
    <t>Free Cash Flow and Valuation</t>
  </si>
  <si>
    <t>CAPEX</t>
  </si>
  <si>
    <t>Taxes on EBIT</t>
  </si>
  <si>
    <t>FCF</t>
  </si>
  <si>
    <t>Terminal value</t>
  </si>
  <si>
    <t>WACC</t>
  </si>
  <si>
    <t>Terminal growth rate</t>
  </si>
  <si>
    <t>ROIC - WACC</t>
  </si>
  <si>
    <t>Terminal year switch</t>
  </si>
  <si>
    <t>RONIC</t>
  </si>
  <si>
    <t>EBITDA, valuation year</t>
  </si>
  <si>
    <t>Implied EV/EBITDA</t>
  </si>
  <si>
    <t>Implied EV/EBITDA, terminal year</t>
  </si>
  <si>
    <t>EBITDA, terminal year</t>
  </si>
  <si>
    <t>Value of terminal year</t>
  </si>
  <si>
    <t>C</t>
  </si>
  <si>
    <t>Stable CAPEX</t>
  </si>
  <si>
    <t>Stable EBITDA</t>
  </si>
  <si>
    <t>Stable NWC</t>
  </si>
  <si>
    <t>Stable taxes</t>
  </si>
  <si>
    <t>Stable FCF in terminal period</t>
  </si>
  <si>
    <t>Terminal EV/EBITDA</t>
  </si>
  <si>
    <t>Gordon's growth formula, regular forecast</t>
  </si>
  <si>
    <t>Terminal value based on exit EV/EBITDA</t>
  </si>
  <si>
    <t>EV</t>
  </si>
  <si>
    <t xml:space="preserve">Gordon's </t>
  </si>
  <si>
    <t>Base VS Bull</t>
  </si>
  <si>
    <t>Base VS Bear</t>
  </si>
  <si>
    <t>Value driver method</t>
  </si>
  <si>
    <t>Entry EV/EBITDA multiple</t>
  </si>
  <si>
    <t>Current EV/EBITDA multiple</t>
  </si>
  <si>
    <t>Acq. Premium</t>
  </si>
  <si>
    <t>Exit multiple</t>
  </si>
  <si>
    <t>EBITDA-margin improvements</t>
  </si>
  <si>
    <t>Entry year</t>
  </si>
  <si>
    <t>Exit year</t>
  </si>
  <si>
    <t>Holding period</t>
  </si>
  <si>
    <t>Financing assumptions</t>
  </si>
  <si>
    <t>Senior debt / EBITDA</t>
  </si>
  <si>
    <t>Interest on senior</t>
  </si>
  <si>
    <t>Subordinated debt / EBITDA</t>
  </si>
  <si>
    <t>Interest on subordinated debt</t>
  </si>
  <si>
    <t>Capitalizing debt</t>
  </si>
  <si>
    <t>Interest</t>
  </si>
  <si>
    <t>Interest on capitalizing debt</t>
  </si>
  <si>
    <t>A</t>
  </si>
  <si>
    <t>B</t>
  </si>
  <si>
    <t>Year</t>
  </si>
  <si>
    <t>Column in Summary Page</t>
  </si>
  <si>
    <t>CFADS</t>
  </si>
  <si>
    <t>Period</t>
  </si>
  <si>
    <t>Impact of "strategy"</t>
  </si>
  <si>
    <t>Include margin improvements</t>
  </si>
  <si>
    <t>Include strategy (True/Flase)</t>
  </si>
  <si>
    <t>Pct. Applied</t>
  </si>
  <si>
    <t>EBITDA after strategy</t>
  </si>
  <si>
    <t>Terminal proceeds</t>
  </si>
  <si>
    <t>Terminal proceeds (exit multiple )</t>
  </si>
  <si>
    <t>Acq. Price</t>
  </si>
  <si>
    <t>Acq. Year</t>
  </si>
  <si>
    <t>EBITDA in acq. Year</t>
  </si>
  <si>
    <t>Acq. Multiple</t>
  </si>
  <si>
    <t>Investment, cash out</t>
  </si>
  <si>
    <t>Cash in, operations</t>
  </si>
  <si>
    <t>Cash in, exit</t>
  </si>
  <si>
    <t>Total cash flow</t>
  </si>
  <si>
    <t>IRR</t>
  </si>
  <si>
    <t>Fees</t>
  </si>
  <si>
    <t>Arragement fee on debt</t>
  </si>
  <si>
    <t>Investment bank</t>
  </si>
  <si>
    <t>Sources and Uses</t>
  </si>
  <si>
    <t>Uses</t>
  </si>
  <si>
    <t>Sources</t>
  </si>
  <si>
    <t>A-debt</t>
  </si>
  <si>
    <t>Existing debt repaid</t>
  </si>
  <si>
    <t>Repay existing debt</t>
  </si>
  <si>
    <t>Advisory fee</t>
  </si>
  <si>
    <t>B-debt</t>
  </si>
  <si>
    <t>C-debt</t>
  </si>
  <si>
    <t>Equity</t>
  </si>
  <si>
    <t>Total sources</t>
  </si>
  <si>
    <t>A-Debt</t>
  </si>
  <si>
    <t>Balance BOP</t>
  </si>
  <si>
    <t>Drawdown</t>
  </si>
  <si>
    <t>Repayment</t>
  </si>
  <si>
    <t>Balance EOP</t>
  </si>
  <si>
    <t>B-Debt</t>
  </si>
  <si>
    <t>C-Debt</t>
  </si>
  <si>
    <t>Waterfall</t>
  </si>
  <si>
    <t>NWC change</t>
  </si>
  <si>
    <t>Less: Interest on A-Debt</t>
  </si>
  <si>
    <t>Subtotal</t>
  </si>
  <si>
    <t>Less: Repayment of A-Debt</t>
  </si>
  <si>
    <t xml:space="preserve">Subtotal </t>
  </si>
  <si>
    <t>Less: Interest on B-Debt</t>
  </si>
  <si>
    <t>Less: Repayment of B-Debt</t>
  </si>
  <si>
    <t>Less: Repayment of C-Debt</t>
  </si>
  <si>
    <t>Cash flow to Equity</t>
  </si>
  <si>
    <t>A-Debt, pre fees</t>
  </si>
  <si>
    <t>B-Debt, pre fees</t>
  </si>
  <si>
    <t>C-Debt, pre fees</t>
  </si>
  <si>
    <t>Equity IRR</t>
  </si>
  <si>
    <t>Date</t>
  </si>
  <si>
    <t>XIRR</t>
  </si>
  <si>
    <t>Sale of existing assets</t>
  </si>
  <si>
    <t>Max</t>
  </si>
  <si>
    <t>Hold Period</t>
  </si>
  <si>
    <t>Holding Period and Exit EV/EBITDA</t>
  </si>
  <si>
    <t>Scenario Name</t>
  </si>
  <si>
    <t>Conditional formating</t>
  </si>
  <si>
    <t>Growth</t>
  </si>
  <si>
    <t>EV/EBITDA</t>
  </si>
  <si>
    <t>Value Driver</t>
  </si>
  <si>
    <t>Enterprise Value Tables</t>
  </si>
  <si>
    <t>Operating Cash Flow and Transferred Data</t>
  </si>
  <si>
    <t>Debt Schedule</t>
  </si>
  <si>
    <t>Points:</t>
  </si>
  <si>
    <t>1. Demonstrates as usual how to integrate history in model</t>
  </si>
  <si>
    <t>2.  Focus on Free Cash Flow and EV/EBITDA</t>
  </si>
  <si>
    <t>3. Use together with Files that Download Data on Multiples and Cost of Capital</t>
  </si>
  <si>
    <t>4. Includes Alternative Methods for Terminal Value</t>
  </si>
  <si>
    <t>Valuation Explicit Cash Flow Switch</t>
  </si>
  <si>
    <t xml:space="preserve">Full year </t>
  </si>
  <si>
    <t xml:space="preserve">Half year </t>
  </si>
  <si>
    <t>NPV over Explicit Forecast Period</t>
  </si>
  <si>
    <t>Total Invested Capital</t>
  </si>
  <si>
    <t>. Financial Ratios for Analysis of Assumptions</t>
  </si>
  <si>
    <t xml:space="preserve">  Tax Rate</t>
  </si>
  <si>
    <t>Titles from Assumption Page</t>
  </si>
  <si>
    <t>Row</t>
  </si>
  <si>
    <t>Base case Volumes</t>
  </si>
  <si>
    <t>Bear case Volumes</t>
  </si>
  <si>
    <t>Bull case Volumes</t>
  </si>
  <si>
    <t>Base case Price</t>
  </si>
  <si>
    <t>Bull case Price</t>
  </si>
  <si>
    <t>Bear case Price</t>
  </si>
  <si>
    <t>EBITDA Historic and Projected</t>
  </si>
  <si>
    <t>From Union Function</t>
  </si>
  <si>
    <t>ROIC Historic and Projected</t>
  </si>
  <si>
    <t>Graph</t>
  </si>
  <si>
    <t>Code #</t>
  </si>
  <si>
    <t>Period Switches</t>
  </si>
  <si>
    <t>Transferred Variables Adjusted with Switches</t>
  </si>
  <si>
    <t>Value of Cash Flow over Explicit Period</t>
  </si>
  <si>
    <t>Analysis of Normalised Cash Flow in Terminal Period</t>
  </si>
  <si>
    <t>General Valuation Assumptions and Explicit Cash Flow</t>
  </si>
  <si>
    <t>Basic Valuation Assumptions</t>
  </si>
  <si>
    <t>Invested Capital</t>
  </si>
  <si>
    <t>Stable Cap Exp</t>
  </si>
  <si>
    <t>Stable Net Working Capital</t>
  </si>
  <si>
    <t xml:space="preserve">5. Includes Very Detailed Analysis of Stabalised Cash Flow </t>
  </si>
  <si>
    <t>6. Graphs with the UNION Function</t>
  </si>
  <si>
    <t>Other Adjustments for Stable Ratios</t>
  </si>
  <si>
    <t>Years to Stable ROIC</t>
  </si>
  <si>
    <t>General Valuation Parameters</t>
  </si>
  <si>
    <t>History</t>
  </si>
  <si>
    <t>Projected</t>
  </si>
  <si>
    <t>Long-term ROIC/WACC</t>
  </si>
  <si>
    <t>Time to Reach Long-term ROIC</t>
  </si>
  <si>
    <t>Asset Life</t>
  </si>
  <si>
    <t>Net Deferred Tax</t>
  </si>
  <si>
    <t>Other Assets</t>
  </si>
  <si>
    <t>Other current Assets</t>
  </si>
  <si>
    <t>Net Plant Historic</t>
  </si>
  <si>
    <t>Intangible Historic</t>
  </si>
  <si>
    <t>Receivables Historic</t>
  </si>
  <si>
    <t>Inventory Historic</t>
  </si>
  <si>
    <t>Less: Payables Historic</t>
  </si>
  <si>
    <t>Less: Other Current Liabilities Histoic</t>
  </si>
  <si>
    <t>Add: Deferred Tax Historic</t>
  </si>
  <si>
    <t>Total Invested Capital Historic</t>
  </si>
  <si>
    <t>Issues Raised with Calculation of ROIC</t>
  </si>
  <si>
    <t>1. Should the re-structuring charges be included as EBITDA</t>
  </si>
  <si>
    <t>Less: Restructuring Cash Payments from Cash Flow</t>
  </si>
  <si>
    <t>Less: Bridge Equity to EV</t>
  </si>
  <si>
    <t>Equity Value</t>
  </si>
  <si>
    <t>Shares Outstanding</t>
  </si>
  <si>
    <t>Equity Value per Share</t>
  </si>
  <si>
    <t>Share Price</t>
  </si>
  <si>
    <t>2. Should adjustments be made to invested capital for re-structuring charges</t>
  </si>
  <si>
    <t>Plant Life for Stable Depreciation Analysis</t>
  </si>
  <si>
    <t>NWC/EBITDA</t>
  </si>
  <si>
    <t>P/E Ratio</t>
  </si>
  <si>
    <t>P/B Ratio</t>
  </si>
  <si>
    <t>Average Invested Capital</t>
  </si>
  <si>
    <t>EBITDA Analysis</t>
  </si>
  <si>
    <t>COGS Analysis</t>
  </si>
  <si>
    <t>SG&amp;A Analysis</t>
  </si>
  <si>
    <t>Admin Analysis</t>
  </si>
  <si>
    <t>Other - Restructuring</t>
  </si>
  <si>
    <t>Normalised Terminal Cash Flow Parameters</t>
  </si>
  <si>
    <t>Bridge between EV and Equity Value - Book Value</t>
  </si>
  <si>
    <t>Less: Equity Value</t>
  </si>
  <si>
    <t>Net finance Invested Capital</t>
  </si>
  <si>
    <t>Add: Minority Interest</t>
  </si>
  <si>
    <t>Total Bridge</t>
  </si>
  <si>
    <t>Less: Associated Investments</t>
  </si>
  <si>
    <t>Net Assets Held for Disposal</t>
  </si>
  <si>
    <t>Value Driver Method</t>
  </si>
  <si>
    <t>Enterprise value - Gordons</t>
  </si>
  <si>
    <t>Enterprise value - EV/EBITDA</t>
  </si>
  <si>
    <t>Enterprise value - Value Driver</t>
  </si>
  <si>
    <t>Bridge - Equity to Enterprise Value</t>
  </si>
  <si>
    <t>Deferred Tax/Cap Exp</t>
  </si>
  <si>
    <t>Time Series Sensitivities</t>
  </si>
  <si>
    <t>Base Variables</t>
  </si>
  <si>
    <t>Change in Deferred Tax/Capital Expenditure</t>
  </si>
  <si>
    <t>Implied Terminal EV/EBITDA</t>
  </si>
  <si>
    <t>Stable ROIC Analysis</t>
  </si>
  <si>
    <t>Terminal ROIC</t>
  </si>
  <si>
    <t>Stable ROIC</t>
  </si>
  <si>
    <t>Years</t>
  </si>
  <si>
    <t>Years for NPV</t>
  </si>
  <si>
    <t>PV Factor</t>
  </si>
  <si>
    <t>PV of NOPAT</t>
  </si>
  <si>
    <t>Levelised NOPAT</t>
  </si>
  <si>
    <t>One</t>
  </si>
  <si>
    <t>NOPAT without Adjustment</t>
  </si>
  <si>
    <t>Adjustment to NOPAT</t>
  </si>
  <si>
    <t>Percent Adjustment</t>
  </si>
  <si>
    <t>EBITDA Adjustment</t>
  </si>
  <si>
    <t>Stable Capital Expenditure Adjustment</t>
  </si>
  <si>
    <t>Depreciation Expense</t>
  </si>
  <si>
    <t>Historic Growth in Cap Exp</t>
  </si>
  <si>
    <t>Historic Growth</t>
  </si>
  <si>
    <t>EBITDA in Terminal Year</t>
  </si>
  <si>
    <t>Normalised EBITDA</t>
  </si>
  <si>
    <t>Projected Growth</t>
  </si>
  <si>
    <t>Depreciation Life</t>
  </si>
  <si>
    <t>Timing Code</t>
  </si>
  <si>
    <t>Cap Exp in Terminal Year</t>
  </si>
  <si>
    <t>EBITDA projected and history</t>
  </si>
  <si>
    <t>NWC to EBITDA</t>
  </si>
  <si>
    <t>Stable Change in NWC</t>
  </si>
  <si>
    <t>Terminal NWC Change</t>
  </si>
  <si>
    <t>Adjustment</t>
  </si>
  <si>
    <t>Tax Adjustment</t>
  </si>
  <si>
    <t>Taxes in Terminal Year</t>
  </si>
  <si>
    <t>Adjustment to Taxes</t>
  </si>
  <si>
    <t>Stable Taxes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</si>
</sst>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#,###.00"/>
    <numFmt numFmtId="165" formatCode="_(* #,##0_);_(* \(#,##0\);_(* &quot;-&quot;??_);_(@_)"/>
    <numFmt numFmtId="166" formatCode="#,###"/>
    <numFmt numFmtId="167" formatCode="#,###;\(#,###\)"/>
    <numFmt numFmtId="168" formatCode="##,##0.0;\(##,##0.0\)"/>
    <numFmt numFmtId="169" formatCode="0.0"/>
    <numFmt numFmtId="170" formatCode="0.0%"/>
    <numFmt numFmtId="171" formatCode="_(* #,##0.0_);_(* \(#,##0.0\);_(* &quot;-&quot;?_);_(@_)"/>
    <numFmt numFmtId="172" formatCode="#,##0.0"/>
  </numFmts>
  <fonts count="29" x14ac:knownFonts="1">
    <font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0000FF"/>
      <name val="Calibri"/>
      <family val="2"/>
    </font>
    <font>
      <b/>
      <sz val="11"/>
      <color rgb="FFFFFFFF"/>
      <name val="Calibri"/>
      <family val="2"/>
    </font>
    <font>
      <sz val="10"/>
      <color theme="1"/>
      <name val="Arial"/>
      <family val="2"/>
    </font>
    <font>
      <sz val="11"/>
      <color rgb="FFC00000"/>
      <name val="Calibri"/>
      <family val="2"/>
    </font>
    <font>
      <sz val="8"/>
      <color rgb="FF000000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0000FF"/>
      <name val="Arial"/>
      <family val="2"/>
    </font>
    <font>
      <b/>
      <sz val="10"/>
      <color rgb="FFFFFFFF"/>
      <name val="Arial"/>
      <family val="2"/>
    </font>
    <font>
      <b/>
      <sz val="9"/>
      <color rgb="FFFFFFFF"/>
      <name val="Calibri"/>
      <family val="2"/>
    </font>
    <font>
      <sz val="9"/>
      <name val="Calibri"/>
      <family val="2"/>
    </font>
    <font>
      <sz val="9"/>
      <color rgb="FF0000FF"/>
      <name val="Calibri"/>
      <family val="2"/>
    </font>
    <font>
      <u/>
      <sz val="9"/>
      <name val="Calibri"/>
      <family val="2"/>
    </font>
    <font>
      <sz val="9"/>
      <color theme="1"/>
      <name val="Calibri"/>
      <family val="2"/>
    </font>
    <font>
      <sz val="11"/>
      <color rgb="FF3333FF"/>
      <name val="Calibri"/>
      <family val="2"/>
    </font>
    <font>
      <b/>
      <sz val="9"/>
      <name val="Calibri"/>
      <family val="2"/>
    </font>
    <font>
      <u/>
      <sz val="9"/>
      <name val="Arial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u/>
      <sz val="11"/>
      <name val="Calibri"/>
      <family val="2"/>
      <scheme val="minor"/>
    </font>
    <font>
      <sz val="11"/>
      <color rgb="FF3333FF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56"/>
        <bgColor indexed="56"/>
      </patternFill>
    </fill>
    <fill>
      <patternFill patternType="solid">
        <fgColor rgb="FFFFFFCC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7" fontId="5" fillId="0" borderId="0">
      <alignment vertical="center"/>
    </xf>
  </cellStyleXfs>
  <cellXfs count="132">
    <xf numFmtId="0" fontId="0" fillId="0" borderId="0" xfId="0"/>
    <xf numFmtId="0" fontId="4" fillId="2" borderId="0" xfId="0" applyFont="1" applyFill="1"/>
    <xf numFmtId="10" fontId="6" fillId="0" borderId="0" xfId="2" applyNumberFormat="1" applyFont="1" applyFill="1"/>
    <xf numFmtId="10" fontId="6" fillId="0" borderId="0" xfId="0" applyNumberFormat="1" applyFont="1" applyFill="1"/>
    <xf numFmtId="168" fontId="8" fillId="0" borderId="0" xfId="3" applyNumberFormat="1" applyFont="1" applyFill="1">
      <alignment vertical="center"/>
    </xf>
    <xf numFmtId="168" fontId="9" fillId="0" borderId="0" xfId="3" applyNumberFormat="1" applyFont="1" applyFill="1">
      <alignment vertical="center"/>
    </xf>
    <xf numFmtId="0" fontId="8" fillId="0" borderId="0" xfId="3" applyNumberFormat="1" applyFont="1" applyFill="1">
      <alignment vertical="center"/>
    </xf>
    <xf numFmtId="168" fontId="8" fillId="0" borderId="0" xfId="3" applyNumberFormat="1" applyFont="1" applyFill="1" applyAlignment="1">
      <alignment horizontal="center" vertical="center"/>
    </xf>
    <xf numFmtId="168" fontId="8" fillId="0" borderId="0" xfId="3" applyNumberFormat="1" applyFont="1" applyFill="1" applyAlignment="1">
      <alignment horizontal="right" vertical="center"/>
    </xf>
    <xf numFmtId="10" fontId="8" fillId="0" borderId="0" xfId="3" applyNumberFormat="1" applyFont="1" applyFill="1">
      <alignment vertical="center"/>
    </xf>
    <xf numFmtId="4" fontId="8" fillId="0" borderId="0" xfId="3" applyNumberFormat="1" applyFont="1" applyFill="1">
      <alignment vertical="center"/>
    </xf>
    <xf numFmtId="168" fontId="8" fillId="0" borderId="0" xfId="3" applyNumberFormat="1" applyFont="1" applyFill="1" applyAlignment="1">
      <alignment horizontal="left" vertical="center" indent="1"/>
    </xf>
    <xf numFmtId="168" fontId="10" fillId="3" borderId="0" xfId="3" applyNumberFormat="1" applyFont="1" applyFill="1">
      <alignment vertical="center"/>
    </xf>
    <xf numFmtId="0" fontId="10" fillId="3" borderId="0" xfId="3" applyNumberFormat="1" applyFont="1" applyFill="1">
      <alignment vertical="center"/>
    </xf>
    <xf numFmtId="4" fontId="10" fillId="3" borderId="0" xfId="3" applyNumberFormat="1" applyFont="1" applyFill="1">
      <alignment vertical="center"/>
    </xf>
    <xf numFmtId="10" fontId="10" fillId="3" borderId="0" xfId="3" applyNumberFormat="1" applyFont="1" applyFill="1">
      <alignment vertical="center"/>
    </xf>
    <xf numFmtId="0" fontId="3" fillId="3" borderId="0" xfId="0" applyFont="1" applyFill="1"/>
    <xf numFmtId="4" fontId="3" fillId="3" borderId="0" xfId="2" applyNumberFormat="1" applyFont="1" applyFill="1"/>
    <xf numFmtId="10" fontId="3" fillId="3" borderId="0" xfId="2" applyNumberFormat="1" applyFont="1" applyFill="1"/>
    <xf numFmtId="4" fontId="6" fillId="0" borderId="0" xfId="0" applyNumberFormat="1" applyFont="1" applyFill="1"/>
    <xf numFmtId="15" fontId="8" fillId="0" borderId="0" xfId="3" applyNumberFormat="1" applyFont="1" applyFill="1">
      <alignment vertical="center"/>
    </xf>
    <xf numFmtId="168" fontId="8" fillId="0" borderId="2" xfId="3" applyNumberFormat="1" applyFont="1" applyFill="1" applyBorder="1">
      <alignment vertical="center"/>
    </xf>
    <xf numFmtId="10" fontId="8" fillId="0" borderId="0" xfId="3" applyNumberFormat="1" applyFont="1" applyFill="1" applyAlignment="1">
      <alignment horizontal="left" vertical="center" indent="1"/>
    </xf>
    <xf numFmtId="10" fontId="9" fillId="0" borderId="0" xfId="3" applyNumberFormat="1" applyFont="1" applyFill="1">
      <alignment vertical="center"/>
    </xf>
    <xf numFmtId="168" fontId="11" fillId="2" borderId="0" xfId="3" applyNumberFormat="1" applyFont="1" applyFill="1">
      <alignment vertical="center"/>
    </xf>
    <xf numFmtId="0" fontId="12" fillId="2" borderId="0" xfId="0" applyFont="1" applyFill="1"/>
    <xf numFmtId="0" fontId="13" fillId="0" borderId="0" xfId="0" applyFont="1" applyFill="1"/>
    <xf numFmtId="0" fontId="14" fillId="3" borderId="0" xfId="0" applyFont="1" applyFill="1"/>
    <xf numFmtId="170" fontId="13" fillId="0" borderId="0" xfId="0" applyNumberFormat="1" applyFont="1" applyFill="1"/>
    <xf numFmtId="4" fontId="14" fillId="3" borderId="0" xfId="0" applyNumberFormat="1" applyFont="1" applyFill="1"/>
    <xf numFmtId="172" fontId="13" fillId="0" borderId="0" xfId="0" applyNumberFormat="1" applyFont="1" applyFill="1"/>
    <xf numFmtId="0" fontId="15" fillId="0" borderId="0" xfId="0" applyFont="1" applyFill="1" applyAlignment="1">
      <alignment horizontal="center"/>
    </xf>
    <xf numFmtId="0" fontId="13" fillId="0" borderId="0" xfId="0" applyFont="1" applyFill="1" applyAlignment="1">
      <alignment horizontal="left" indent="1"/>
    </xf>
    <xf numFmtId="4" fontId="13" fillId="0" borderId="0" xfId="0" applyNumberFormat="1" applyFont="1" applyFill="1"/>
    <xf numFmtId="10" fontId="14" fillId="3" borderId="0" xfId="0" applyNumberFormat="1" applyFont="1" applyFill="1"/>
    <xf numFmtId="165" fontId="13" fillId="0" borderId="0" xfId="1" applyNumberFormat="1" applyFont="1" applyFill="1"/>
    <xf numFmtId="171" fontId="13" fillId="0" borderId="0" xfId="0" applyNumberFormat="1" applyFont="1" applyFill="1"/>
    <xf numFmtId="0" fontId="13" fillId="0" borderId="0" xfId="0" applyFont="1" applyFill="1" applyBorder="1"/>
    <xf numFmtId="4" fontId="13" fillId="0" borderId="0" xfId="0" applyNumberFormat="1" applyFont="1" applyFill="1" applyBorder="1"/>
    <xf numFmtId="0" fontId="13" fillId="0" borderId="0" xfId="0" applyFont="1" applyFill="1" applyAlignment="1">
      <alignment horizontal="right"/>
    </xf>
    <xf numFmtId="10" fontId="13" fillId="0" borderId="0" xfId="0" applyNumberFormat="1" applyFont="1" applyFill="1"/>
    <xf numFmtId="0" fontId="16" fillId="0" borderId="0" xfId="0" applyFont="1"/>
    <xf numFmtId="0" fontId="1" fillId="0" borderId="0" xfId="0" applyFont="1" applyFill="1"/>
    <xf numFmtId="3" fontId="1" fillId="0" borderId="0" xfId="0" applyNumberFormat="1" applyFont="1" applyFill="1"/>
    <xf numFmtId="164" fontId="1" fillId="0" borderId="0" xfId="0" applyNumberFormat="1" applyFont="1" applyFill="1"/>
    <xf numFmtId="165" fontId="1" fillId="0" borderId="0" xfId="1" applyNumberFormat="1" applyFont="1" applyFill="1"/>
    <xf numFmtId="4" fontId="1" fillId="0" borderId="0" xfId="0" applyNumberFormat="1" applyFont="1" applyFill="1"/>
    <xf numFmtId="10" fontId="1" fillId="0" borderId="0" xfId="0" applyNumberFormat="1" applyFont="1" applyFill="1"/>
    <xf numFmtId="10" fontId="1" fillId="0" borderId="0" xfId="0" applyNumberFormat="1" applyFont="1" applyFill="1" applyBorder="1"/>
    <xf numFmtId="169" fontId="1" fillId="0" borderId="0" xfId="0" applyNumberFormat="1" applyFont="1" applyFill="1"/>
    <xf numFmtId="10" fontId="1" fillId="0" borderId="0" xfId="2" applyNumberFormat="1" applyFont="1" applyFill="1"/>
    <xf numFmtId="170" fontId="1" fillId="0" borderId="0" xfId="2" applyNumberFormat="1" applyFont="1" applyFill="1"/>
    <xf numFmtId="0" fontId="1" fillId="0" borderId="0" xfId="0" applyFont="1" applyFill="1" applyAlignment="1">
      <alignment horizontal="left" indent="1"/>
    </xf>
    <xf numFmtId="4" fontId="1" fillId="0" borderId="0" xfId="2" applyNumberFormat="1" applyFont="1" applyFill="1"/>
    <xf numFmtId="170" fontId="1" fillId="0" borderId="0" xfId="0" applyNumberFormat="1" applyFont="1" applyFill="1"/>
    <xf numFmtId="165" fontId="1" fillId="0" borderId="0" xfId="0" applyNumberFormat="1" applyFont="1" applyFill="1"/>
    <xf numFmtId="3" fontId="12" fillId="2" borderId="0" xfId="0" applyNumberFormat="1" applyFont="1" applyFill="1"/>
    <xf numFmtId="3" fontId="13" fillId="0" borderId="0" xfId="0" applyNumberFormat="1" applyFont="1" applyFill="1"/>
    <xf numFmtId="165" fontId="14" fillId="3" borderId="0" xfId="1" applyNumberFormat="1" applyFont="1" applyFill="1"/>
    <xf numFmtId="0" fontId="13" fillId="0" borderId="0" xfId="0" applyNumberFormat="1" applyFont="1" applyFill="1"/>
    <xf numFmtId="0" fontId="14" fillId="3" borderId="0" xfId="0" applyNumberFormat="1" applyFont="1" applyFill="1"/>
    <xf numFmtId="164" fontId="13" fillId="0" borderId="0" xfId="0" applyNumberFormat="1" applyFont="1" applyFill="1"/>
    <xf numFmtId="166" fontId="13" fillId="0" borderId="0" xfId="0" applyNumberFormat="1" applyFont="1" applyFill="1"/>
    <xf numFmtId="3" fontId="14" fillId="3" borderId="0" xfId="0" applyNumberFormat="1" applyFont="1" applyFill="1"/>
    <xf numFmtId="164" fontId="14" fillId="3" borderId="0" xfId="0" applyNumberFormat="1" applyFont="1" applyFill="1"/>
    <xf numFmtId="3" fontId="13" fillId="0" borderId="2" xfId="0" applyNumberFormat="1" applyFont="1" applyFill="1" applyBorder="1"/>
    <xf numFmtId="165" fontId="13" fillId="0" borderId="2" xfId="1" applyNumberFormat="1" applyFont="1" applyFill="1" applyBorder="1"/>
    <xf numFmtId="164" fontId="13" fillId="0" borderId="2" xfId="0" applyNumberFormat="1" applyFont="1" applyFill="1" applyBorder="1"/>
    <xf numFmtId="0" fontId="13" fillId="0" borderId="2" xfId="0" applyFont="1" applyFill="1" applyBorder="1"/>
    <xf numFmtId="165" fontId="14" fillId="3" borderId="2" xfId="1" applyNumberFormat="1" applyFont="1" applyFill="1" applyBorder="1"/>
    <xf numFmtId="164" fontId="13" fillId="0" borderId="1" xfId="0" applyNumberFormat="1" applyFont="1" applyFill="1" applyBorder="1"/>
    <xf numFmtId="165" fontId="13" fillId="0" borderId="1" xfId="1" applyNumberFormat="1" applyFont="1" applyFill="1" applyBorder="1"/>
    <xf numFmtId="3" fontId="13" fillId="0" borderId="1" xfId="0" applyNumberFormat="1" applyFont="1" applyFill="1" applyBorder="1"/>
    <xf numFmtId="3" fontId="13" fillId="0" borderId="0" xfId="0" applyNumberFormat="1" applyFont="1" applyFill="1" applyBorder="1"/>
    <xf numFmtId="165" fontId="13" fillId="0" borderId="0" xfId="1" applyNumberFormat="1" applyFont="1" applyFill="1" applyBorder="1"/>
    <xf numFmtId="3" fontId="18" fillId="0" borderId="0" xfId="0" applyNumberFormat="1" applyFont="1" applyFill="1" applyBorder="1"/>
    <xf numFmtId="165" fontId="12" fillId="2" borderId="0" xfId="1" applyNumberFormat="1" applyFont="1" applyFill="1"/>
    <xf numFmtId="168" fontId="19" fillId="0" borderId="0" xfId="3" applyNumberFormat="1" applyFont="1" applyFill="1" applyAlignment="1">
      <alignment horizontal="center" vertical="center" wrapText="1"/>
    </xf>
    <xf numFmtId="165" fontId="16" fillId="0" borderId="0" xfId="1" applyNumberFormat="1" applyFont="1"/>
    <xf numFmtId="10" fontId="16" fillId="0" borderId="0" xfId="0" applyNumberFormat="1" applyFont="1"/>
    <xf numFmtId="164" fontId="17" fillId="0" borderId="0" xfId="0" applyNumberFormat="1" applyFont="1" applyFill="1"/>
    <xf numFmtId="3" fontId="17" fillId="0" borderId="0" xfId="0" applyNumberFormat="1" applyFont="1" applyFill="1"/>
    <xf numFmtId="10" fontId="17" fillId="0" borderId="0" xfId="0" applyNumberFormat="1" applyFont="1" applyFill="1"/>
    <xf numFmtId="4" fontId="17" fillId="0" borderId="0" xfId="0" applyNumberFormat="1" applyFont="1" applyFill="1"/>
    <xf numFmtId="0" fontId="17" fillId="0" borderId="0" xfId="0" applyFont="1" applyFill="1"/>
    <xf numFmtId="165" fontId="17" fillId="0" borderId="0" xfId="1" applyNumberFormat="1" applyFont="1" applyFill="1"/>
    <xf numFmtId="169" fontId="17" fillId="0" borderId="0" xfId="0" applyNumberFormat="1" applyFont="1" applyFill="1"/>
    <xf numFmtId="170" fontId="17" fillId="0" borderId="0" xfId="2" applyNumberFormat="1" applyFont="1" applyFill="1"/>
    <xf numFmtId="0" fontId="13" fillId="0" borderId="0" xfId="0" applyFont="1" applyFill="1" applyAlignment="1">
      <alignment horizontal="left"/>
    </xf>
    <xf numFmtId="165" fontId="13" fillId="0" borderId="0" xfId="0" applyNumberFormat="1" applyFont="1" applyFill="1"/>
    <xf numFmtId="0" fontId="1" fillId="0" borderId="2" xfId="0" applyFont="1" applyFill="1" applyBorder="1"/>
    <xf numFmtId="165" fontId="1" fillId="0" borderId="2" xfId="1" applyNumberFormat="1" applyFont="1" applyFill="1" applyBorder="1"/>
    <xf numFmtId="0" fontId="1" fillId="0" borderId="0" xfId="0" applyFont="1" applyFill="1" applyBorder="1"/>
    <xf numFmtId="165" fontId="1" fillId="0" borderId="0" xfId="1" applyNumberFormat="1" applyFont="1" applyFill="1" applyBorder="1"/>
    <xf numFmtId="0" fontId="16" fillId="0" borderId="0" xfId="0" applyFont="1" applyAlignment="1">
      <alignment horizontal="right"/>
    </xf>
    <xf numFmtId="4" fontId="14" fillId="3" borderId="2" xfId="0" applyNumberFormat="1" applyFont="1" applyFill="1" applyBorder="1"/>
    <xf numFmtId="0" fontId="1" fillId="0" borderId="0" xfId="0" applyFont="1" applyFill="1" applyAlignment="1">
      <alignment horizontal="left"/>
    </xf>
    <xf numFmtId="4" fontId="16" fillId="0" borderId="0" xfId="0" applyNumberFormat="1" applyFont="1"/>
    <xf numFmtId="0" fontId="21" fillId="0" borderId="0" xfId="0" applyFont="1"/>
    <xf numFmtId="0" fontId="20" fillId="0" borderId="0" xfId="0" applyFont="1" applyAlignment="1">
      <alignment horizontal="right"/>
    </xf>
    <xf numFmtId="165" fontId="15" fillId="0" borderId="0" xfId="1" applyNumberFormat="1" applyFont="1" applyFill="1" applyAlignment="1">
      <alignment horizontal="center"/>
    </xf>
    <xf numFmtId="4" fontId="13" fillId="0" borderId="2" xfId="0" applyNumberFormat="1" applyFont="1" applyFill="1" applyBorder="1"/>
    <xf numFmtId="0" fontId="20" fillId="0" borderId="0" xfId="0" applyFont="1" applyBorder="1"/>
    <xf numFmtId="0" fontId="20" fillId="0" borderId="0" xfId="0" applyFont="1" applyBorder="1" applyAlignment="1">
      <alignment horizontal="right"/>
    </xf>
    <xf numFmtId="4" fontId="20" fillId="0" borderId="0" xfId="0" applyNumberFormat="1" applyFont="1" applyBorder="1"/>
    <xf numFmtId="165" fontId="16" fillId="0" borderId="0" xfId="1" applyNumberFormat="1" applyFont="1" applyBorder="1"/>
    <xf numFmtId="168" fontId="19" fillId="0" borderId="0" xfId="3" applyNumberFormat="1" applyFont="1" applyFill="1" applyBorder="1" applyAlignment="1">
      <alignment horizontal="center" vertical="center" wrapText="1"/>
    </xf>
    <xf numFmtId="4" fontId="20" fillId="0" borderId="0" xfId="0" applyNumberFormat="1" applyFont="1"/>
    <xf numFmtId="170" fontId="13" fillId="0" borderId="0" xfId="2" applyNumberFormat="1" applyFont="1" applyFill="1"/>
    <xf numFmtId="0" fontId="18" fillId="0" borderId="0" xfId="0" applyFont="1" applyFill="1" applyBorder="1"/>
    <xf numFmtId="4" fontId="18" fillId="0" borderId="0" xfId="0" applyNumberFormat="1" applyFont="1" applyFill="1" applyBorder="1"/>
    <xf numFmtId="4" fontId="13" fillId="0" borderId="0" xfId="1" applyNumberFormat="1" applyFont="1" applyFill="1"/>
    <xf numFmtId="10" fontId="13" fillId="0" borderId="0" xfId="1" applyNumberFormat="1" applyFont="1" applyFill="1"/>
    <xf numFmtId="0" fontId="24" fillId="0" borderId="0" xfId="0" applyFont="1" applyFill="1"/>
    <xf numFmtId="0" fontId="25" fillId="3" borderId="0" xfId="0" applyFont="1" applyFill="1"/>
    <xf numFmtId="10" fontId="25" fillId="3" borderId="0" xfId="0" applyNumberFormat="1" applyFont="1" applyFill="1"/>
    <xf numFmtId="9" fontId="25" fillId="3" borderId="0" xfId="0" applyNumberFormat="1" applyFont="1" applyFill="1"/>
    <xf numFmtId="9" fontId="24" fillId="0" borderId="0" xfId="0" applyNumberFormat="1" applyFont="1" applyFill="1"/>
    <xf numFmtId="10" fontId="24" fillId="0" borderId="0" xfId="0" applyNumberFormat="1" applyFont="1" applyFill="1"/>
    <xf numFmtId="168" fontId="24" fillId="0" borderId="0" xfId="3" applyNumberFormat="1" applyFont="1" applyFill="1">
      <alignment vertical="center"/>
    </xf>
    <xf numFmtId="168" fontId="25" fillId="3" borderId="0" xfId="3" applyNumberFormat="1" applyFont="1" applyFill="1">
      <alignment vertical="center"/>
    </xf>
    <xf numFmtId="168" fontId="26" fillId="2" borderId="0" xfId="3" applyNumberFormat="1" applyFont="1" applyFill="1">
      <alignment vertical="center"/>
    </xf>
    <xf numFmtId="168" fontId="27" fillId="0" borderId="0" xfId="3" applyNumberFormat="1" applyFont="1" applyFill="1" applyAlignment="1">
      <alignment horizontal="center" vertical="center" wrapText="1"/>
    </xf>
    <xf numFmtId="168" fontId="27" fillId="0" borderId="0" xfId="3" applyNumberFormat="1" applyFont="1" applyFill="1" applyAlignment="1">
      <alignment horizontal="right" vertical="center" wrapText="1"/>
    </xf>
    <xf numFmtId="10" fontId="27" fillId="0" borderId="0" xfId="3" applyNumberFormat="1" applyFont="1" applyFill="1" applyAlignment="1">
      <alignment horizontal="right" vertical="center" wrapText="1"/>
    </xf>
    <xf numFmtId="0" fontId="25" fillId="3" borderId="0" xfId="3" applyNumberFormat="1" applyFont="1" applyFill="1">
      <alignment vertical="center"/>
    </xf>
    <xf numFmtId="10" fontId="25" fillId="3" borderId="0" xfId="3" applyNumberFormat="1" applyFont="1" applyFill="1">
      <alignment vertical="center"/>
    </xf>
    <xf numFmtId="10" fontId="24" fillId="0" borderId="0" xfId="3" applyNumberFormat="1" applyFont="1" applyFill="1">
      <alignment vertical="center"/>
    </xf>
    <xf numFmtId="4" fontId="24" fillId="0" borderId="0" xfId="3" applyNumberFormat="1" applyFont="1" applyFill="1">
      <alignment vertical="center"/>
    </xf>
    <xf numFmtId="0" fontId="28" fillId="0" borderId="0" xfId="3" applyNumberFormat="1" applyFont="1" applyFill="1">
      <alignment vertical="center"/>
    </xf>
    <xf numFmtId="4" fontId="13" fillId="0" borderId="2" xfId="1" applyNumberFormat="1" applyFont="1" applyFill="1" applyBorder="1"/>
    <xf numFmtId="4" fontId="13" fillId="0" borderId="0" xfId="1" applyNumberFormat="1" applyFont="1" applyFill="1" applyBorder="1"/>
  </cellXfs>
  <cellStyles count="4">
    <cellStyle name="Comma" xfId="1" builtinId="3"/>
    <cellStyle name="Normal" xfId="0" builtinId="0"/>
    <cellStyle name="Normal 2" xfId="3" xr:uid="{00000000-0005-0000-0000-000002000000}"/>
    <cellStyle name="Percent" xfId="2" builtinId="5"/>
  </cellStyles>
  <dxfs count="52"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ill>
        <patternFill>
          <bgColor theme="2"/>
        </patternFill>
      </fill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ill>
        <patternFill>
          <bgColor theme="2"/>
        </patternFill>
      </fill>
    </dxf>
    <dxf>
      <font>
        <color rgb="FF3333FF"/>
      </font>
    </dxf>
    <dxf>
      <font>
        <color rgb="FFFF0000"/>
      </font>
    </dxf>
    <dxf>
      <fill>
        <patternFill>
          <bgColor theme="2"/>
        </patternFill>
      </fill>
    </dxf>
    <dxf>
      <font>
        <color rgb="FF3333FF"/>
      </font>
    </dxf>
    <dxf>
      <font>
        <color rgb="FFFF0000"/>
      </font>
    </dxf>
    <dxf>
      <fill>
        <patternFill>
          <bgColor theme="2"/>
        </patternFill>
      </fill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ill>
        <patternFill>
          <bgColor theme="2"/>
        </patternFill>
      </fill>
    </dxf>
    <dxf>
      <fill>
        <patternFill>
          <bgColor theme="2"/>
        </patternFill>
      </fill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ill>
        <patternFill>
          <bgColor theme="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3333FF"/>
      </font>
    </dxf>
    <dxf>
      <font>
        <color rgb="FFFF0000"/>
      </font>
    </dxf>
    <dxf>
      <fill>
        <patternFill>
          <bgColor theme="7" tint="0.79998168889431442"/>
        </patternFill>
      </fill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  <dxf>
      <font>
        <color rgb="FF3333FF"/>
      </font>
    </dxf>
    <dxf>
      <font>
        <color rgb="FFFF0000"/>
      </font>
    </dxf>
  </dxfs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Graphs!$H$12</c:f>
          <c:strCache>
            <c:ptCount val="1"/>
            <c:pt idx="0">
              <c:v>ROIC Historic and Projected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369313051093556E-2"/>
          <c:y val="0.16521158129175947"/>
          <c:w val="0.89109632968610719"/>
          <c:h val="0.688892902863756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Graphs!$H$14</c:f>
              <c:strCache>
                <c:ptCount val="1"/>
                <c:pt idx="0">
                  <c:v>History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Graphs!$I$13:$AC$13</c:f>
              <c:numCache>
                <c:formatCode>General</c:formatCode>
                <c:ptCount val="21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  <c:pt idx="18">
                  <c:v>2023</c:v>
                </c:pt>
                <c:pt idx="19">
                  <c:v>2024</c:v>
                </c:pt>
                <c:pt idx="20">
                  <c:v>2025</c:v>
                </c:pt>
              </c:numCache>
            </c:numRef>
          </c:cat>
          <c:val>
            <c:numRef>
              <c:f>Graphs!$I$14:$AC$14</c:f>
              <c:numCache>
                <c:formatCode>General</c:formatCode>
                <c:ptCount val="21"/>
                <c:pt idx="0">
                  <c:v>9.6453825609257374E-2</c:v>
                </c:pt>
                <c:pt idx="1">
                  <c:v>6.0478688129446331E-2</c:v>
                </c:pt>
                <c:pt idx="2">
                  <c:v>8.346502553448916E-2</c:v>
                </c:pt>
                <c:pt idx="3">
                  <c:v>8.1943861425598882E-2</c:v>
                </c:pt>
                <c:pt idx="4">
                  <c:v>6.1890639693700608E-2</c:v>
                </c:pt>
                <c:pt idx="5">
                  <c:v>7.3989562259726208E-2</c:v>
                </c:pt>
                <c:pt idx="6">
                  <c:v>6.6920369051868961E-2</c:v>
                </c:pt>
                <c:pt idx="7">
                  <c:v>6.2689497753341927E-2</c:v>
                </c:pt>
                <c:pt idx="8">
                  <c:v>6.1173295258931809E-2</c:v>
                </c:pt>
                <c:pt idx="9">
                  <c:v>5.914750332313487E-2</c:v>
                </c:pt>
                <c:pt idx="10">
                  <c:v>6.1889314509294892E-2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53-4EE5-A48C-5603AA17A330}"/>
            </c:ext>
          </c:extLst>
        </c:ser>
        <c:ser>
          <c:idx val="1"/>
          <c:order val="1"/>
          <c:tx>
            <c:strRef>
              <c:f>Graphs!$H$15</c:f>
              <c:strCache>
                <c:ptCount val="1"/>
                <c:pt idx="0">
                  <c:v>Projected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Graphs!$I$13:$AC$13</c:f>
              <c:numCache>
                <c:formatCode>General</c:formatCode>
                <c:ptCount val="21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  <c:pt idx="9">
                  <c:v>2014</c:v>
                </c:pt>
                <c:pt idx="10">
                  <c:v>2015</c:v>
                </c:pt>
                <c:pt idx="11">
                  <c:v>2016</c:v>
                </c:pt>
                <c:pt idx="12">
                  <c:v>2017</c:v>
                </c:pt>
                <c:pt idx="13">
                  <c:v>2018</c:v>
                </c:pt>
                <c:pt idx="14">
                  <c:v>2019</c:v>
                </c:pt>
                <c:pt idx="15">
                  <c:v>2020</c:v>
                </c:pt>
                <c:pt idx="16">
                  <c:v>2021</c:v>
                </c:pt>
                <c:pt idx="17">
                  <c:v>2022</c:v>
                </c:pt>
                <c:pt idx="18">
                  <c:v>2023</c:v>
                </c:pt>
                <c:pt idx="19">
                  <c:v>2024</c:v>
                </c:pt>
                <c:pt idx="20">
                  <c:v>2025</c:v>
                </c:pt>
              </c:numCache>
            </c:numRef>
          </c:cat>
          <c:val>
            <c:numRef>
              <c:f>Graphs!$I$15:$AC$15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6.0500454769164901E-2</c:v>
                </c:pt>
                <c:pt idx="12">
                  <c:v>5.7034594410547368E-2</c:v>
                </c:pt>
                <c:pt idx="13">
                  <c:v>5.4281211546962423E-2</c:v>
                </c:pt>
                <c:pt idx="14">
                  <c:v>5.2887456863399671E-2</c:v>
                </c:pt>
                <c:pt idx="15">
                  <c:v>5.1775037338455801E-2</c:v>
                </c:pt>
                <c:pt idx="16">
                  <c:v>5.0861460197710609E-2</c:v>
                </c:pt>
                <c:pt idx="17">
                  <c:v>5.0109798035755534E-2</c:v>
                </c:pt>
                <c:pt idx="18">
                  <c:v>4.9490415502709544E-2</c:v>
                </c:pt>
                <c:pt idx="19">
                  <c:v>4.8979395371239409E-2</c:v>
                </c:pt>
                <c:pt idx="20">
                  <c:v>4.855734445838629E-2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53-4EE5-A48C-5603AA17A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8267023"/>
        <c:axId val="1448384655"/>
      </c:barChart>
      <c:catAx>
        <c:axId val="144826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8384655"/>
        <c:crosses val="autoZero"/>
        <c:auto val="1"/>
        <c:lblAlgn val="ctr"/>
        <c:lblOffset val="100"/>
        <c:noMultiLvlLbl val="0"/>
      </c:catAx>
      <c:valAx>
        <c:axId val="144838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82670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0589559533882222"/>
          <c:y val="0.19877452957578517"/>
          <c:w val="0.24775084605614917"/>
          <c:h val="7.51675639654174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'Scenario analysis'!$E$26</c:f>
              <c:strCache>
                <c:ptCount val="1"/>
                <c:pt idx="0">
                  <c:v>Base VS Bull</c:v>
                </c:pt>
              </c:strCache>
            </c:strRef>
          </c:tx>
          <c:invertIfNegative val="0"/>
          <c:cat>
            <c:strRef>
              <c:f>'Scenario analysis'!$D$27:$D$31</c:f>
              <c:strCache>
                <c:ptCount val="5"/>
                <c:pt idx="0">
                  <c:v>Volume</c:v>
                </c:pt>
                <c:pt idx="1">
                  <c:v>Price</c:v>
                </c:pt>
                <c:pt idx="2">
                  <c:v>COGS pct of sales</c:v>
                </c:pt>
                <c:pt idx="3">
                  <c:v>SG&amp;A in pct of sales</c:v>
                </c:pt>
                <c:pt idx="4">
                  <c:v>Admin in pct of sales</c:v>
                </c:pt>
              </c:strCache>
            </c:strRef>
          </c:cat>
          <c:val>
            <c:numRef>
              <c:f>'Scenario analysis'!$E$27:$E$31</c:f>
              <c:numCache>
                <c:formatCode>##,##0.0;\(##,##0.0\)</c:formatCode>
                <c:ptCount val="5"/>
                <c:pt idx="0">
                  <c:v>12864.953861529983</c:v>
                </c:pt>
                <c:pt idx="1">
                  <c:v>12629.429632856292</c:v>
                </c:pt>
                <c:pt idx="2">
                  <c:v>4240.9120684947557</c:v>
                </c:pt>
                <c:pt idx="3">
                  <c:v>8558.7091189338098</c:v>
                </c:pt>
                <c:pt idx="4">
                  <c:v>4293.8438065209339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0-4D08-8D7E-64FD48F6FBF7}"/>
            </c:ext>
          </c:extLst>
        </c:ser>
        <c:ser>
          <c:idx val="1"/>
          <c:order val="1"/>
          <c:tx>
            <c:strRef>
              <c:f>'Scenario analysis'!$F$26</c:f>
              <c:strCache>
                <c:ptCount val="1"/>
                <c:pt idx="0">
                  <c:v>Base VS Bear</c:v>
                </c:pt>
              </c:strCache>
            </c:strRef>
          </c:tx>
          <c:invertIfNegative val="0"/>
          <c:cat>
            <c:strRef>
              <c:f>'Scenario analysis'!$D$27:$D$31</c:f>
              <c:strCache>
                <c:ptCount val="5"/>
                <c:pt idx="0">
                  <c:v>Volume</c:v>
                </c:pt>
                <c:pt idx="1">
                  <c:v>Price</c:v>
                </c:pt>
                <c:pt idx="2">
                  <c:v>COGS pct of sales</c:v>
                </c:pt>
                <c:pt idx="3">
                  <c:v>SG&amp;A in pct of sales</c:v>
                </c:pt>
                <c:pt idx="4">
                  <c:v>Admin in pct of sales</c:v>
                </c:pt>
              </c:strCache>
            </c:strRef>
          </c:cat>
          <c:val>
            <c:numRef>
              <c:f>'Scenario analysis'!$F$27:$F$31</c:f>
              <c:numCache>
                <c:formatCode>##,##0.0;\(##,##0.0\)</c:formatCode>
                <c:ptCount val="5"/>
                <c:pt idx="0">
                  <c:v>-7534.6932917487284</c:v>
                </c:pt>
                <c:pt idx="1">
                  <c:v>-4263.2096609347936</c:v>
                </c:pt>
                <c:pt idx="2">
                  <c:v>-4270.0745788893691</c:v>
                </c:pt>
                <c:pt idx="3">
                  <c:v>-8681.6872935813735</c:v>
                </c:pt>
                <c:pt idx="4">
                  <c:v>-4324.5423246307619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0-4D08-8D7E-64FD48F6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470934960"/>
        <c:axId val="-470933328"/>
      </c:barChart>
      <c:catAx>
        <c:axId val="-47093496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crossAx val="-470933328"/>
        <c:crosses val="autoZero"/>
        <c:auto val="1"/>
        <c:lblAlgn val="ctr"/>
        <c:lblOffset val="100"/>
        <c:noMultiLvlLbl val="0"/>
      </c:catAx>
      <c:valAx>
        <c:axId val="-470933328"/>
        <c:scaling>
          <c:orientation val="minMax"/>
        </c:scaling>
        <c:delete val="0"/>
        <c:axPos val="b"/>
        <c:majorGridlines/>
        <c:numFmt formatCode="##,##0.0;\(##,##0.0\)" sourceLinked="1"/>
        <c:majorTickMark val="out"/>
        <c:minorTickMark val="none"/>
        <c:tickLblPos val="nextTo"/>
        <c:crossAx val="-4709349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Graphs!$H$23</c:f>
              <c:strCache>
                <c:ptCount val="1"/>
                <c:pt idx="0">
                  <c:v>ROIC Historic and Projected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Graphs!$I$22:$S$22</c:f>
              <c:numCache>
                <c:formatCode>General</c:formatCode>
                <c:ptCount val="11"/>
                <c:pt idx="0">
                  <c:v>1105</c:v>
                </c:pt>
                <c:pt idx="1">
                  <c:v>842</c:v>
                </c:pt>
                <c:pt idx="2">
                  <c:v>600.5</c:v>
                </c:pt>
                <c:pt idx="3">
                  <c:v>1423</c:v>
                </c:pt>
                <c:pt idx="4">
                  <c:v>2445.5</c:v>
                </c:pt>
                <c:pt idx="5">
                  <c:v>3772</c:v>
                </c:pt>
                <c:pt idx="6">
                  <c:v>4964</c:v>
                </c:pt>
                <c:pt idx="7">
                  <c:v>5646</c:v>
                </c:pt>
                <c:pt idx="8">
                  <c:v>5006</c:v>
                </c:pt>
                <c:pt idx="9">
                  <c:v>4024</c:v>
                </c:pt>
                <c:pt idx="10">
                  <c:v>4476.5</c:v>
                </c:pt>
              </c:numCache>
            </c:numRef>
          </c:xVal>
          <c:yVal>
            <c:numRef>
              <c:f>Graphs!$I$23:$S$23</c:f>
              <c:numCache>
                <c:formatCode>General</c:formatCode>
                <c:ptCount val="11"/>
                <c:pt idx="0">
                  <c:v>9.6453825609257374E-2</c:v>
                </c:pt>
                <c:pt idx="1">
                  <c:v>6.0478688129446331E-2</c:v>
                </c:pt>
                <c:pt idx="2">
                  <c:v>8.346502553448916E-2</c:v>
                </c:pt>
                <c:pt idx="3">
                  <c:v>8.1943861425598882E-2</c:v>
                </c:pt>
                <c:pt idx="4">
                  <c:v>6.1890639693700608E-2</c:v>
                </c:pt>
                <c:pt idx="5">
                  <c:v>7.3989562259726208E-2</c:v>
                </c:pt>
                <c:pt idx="6">
                  <c:v>6.6920369051868961E-2</c:v>
                </c:pt>
                <c:pt idx="7">
                  <c:v>6.2689497753341927E-2</c:v>
                </c:pt>
                <c:pt idx="8">
                  <c:v>6.1173295258931809E-2</c:v>
                </c:pt>
                <c:pt idx="9">
                  <c:v>5.914750332313487E-2</c:v>
                </c:pt>
                <c:pt idx="10">
                  <c:v>6.1889314509294892E-2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715-431B-98C5-354AEFAA1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72831"/>
        <c:axId val="179513487"/>
      </c:scatterChart>
      <c:valAx>
        <c:axId val="1914972831"/>
        <c:scaling>
          <c:orientation val="minMax"/>
        </c:scaling>
        <c:delete val="0"/>
        <c:axPos val="b"/>
        <c:title>
          <c:tx>
            <c:strRef>
              <c:f>Graphs!$H$19</c:f>
              <c:strCache>
                <c:ptCount val="1"/>
                <c:pt idx="0">
                  <c:v>Average Investment in Associates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13487"/>
        <c:crosses val="autoZero"/>
        <c:crossBetween val="midCat"/>
      </c:valAx>
      <c:valAx>
        <c:axId val="17951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4972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'Scenario analysis'!$E$4" fmlaRange="'Scenario analysis'!$D$9:$D$21" noThreeD="1" sel="2" val="0"/>
</file>

<file path=xl/ctrlProps/ctrlProp2.xml><?xml version="1.0" encoding="utf-8"?>
<formControlPr xmlns="http://schemas.microsoft.com/office/spreadsheetml/2009/9/main" objectType="Spin" dx="31" fmlaLink="Graphs!$J$4" max="115" min="1" page="10" val="115"/>
</file>

<file path=xl/ctrlProps/ctrlProp3.xml><?xml version="1.0" encoding="utf-8"?>
<formControlPr xmlns="http://schemas.microsoft.com/office/spreadsheetml/2009/9/main" objectType="Drop" dropLines="50" dropStyle="combo" dx="31" fmlaLink="Graphs!$J$4" fmlaRange="Graphs!$D$5:$D$130" noThreeD="1" sel="115" val="95"/>
</file>

<file path=xl/ctrlProps/ctrlProp4.xml><?xml version="1.0" encoding="utf-8"?>
<formControlPr xmlns="http://schemas.microsoft.com/office/spreadsheetml/2009/9/main" objectType="CheckBox" checked="Checked" fmlaLink="'Assumptions and Free Cash Flow'!$E$10" lockText="1" noThreeD="1"/>
</file>

<file path=xl/ctrlProps/ctrlProp5.xml><?xml version="1.0" encoding="utf-8"?>
<formControlPr xmlns="http://schemas.microsoft.com/office/spreadsheetml/2009/9/main" objectType="Spin" dx="31" fmlaLink="Valuation!$I$9" max="200" page="10" val="57"/>
</file>

<file path=xl/ctrlProps/ctrlProp6.xml><?xml version="1.0" encoding="utf-8"?>
<formControlPr xmlns="http://schemas.microsoft.com/office/spreadsheetml/2009/9/main" objectType="Spin" dx="31" fmlaLink="Valuation!$I$10" max="200" page="10" val="13"/>
</file>

<file path=xl/ctrlProps/ctrlProp7.xml><?xml version="1.0" encoding="utf-8"?>
<formControlPr xmlns="http://schemas.microsoft.com/office/spreadsheetml/2009/9/main" objectType="Spin" dx="31" fmlaLink="Valuation!$I$13" max="200" page="10" val="105"/>
</file>

<file path=xl/ctrlProps/ctrlProp8.xml><?xml version="1.0" encoding="utf-8"?>
<formControlPr xmlns="http://schemas.microsoft.com/office/spreadsheetml/2009/9/main" objectType="Spin" dx="31" fmlaLink="Valuation!$I$11" max="200" page="10" val="0"/>
</file>

<file path=xl/ctrlProps/ctrlProp9.xml><?xml version="1.0" encoding="utf-8"?>
<formControlPr xmlns="http://schemas.microsoft.com/office/spreadsheetml/2009/9/main" objectType="Spin" dx="31" fmlaLink="Valuation!$I$16" max="200" page="10" val="15"/>
</file>

<file path=xl/ctrlProps/ctrlProp10.xml><?xml version="1.0" encoding="utf-8"?>
<formControlPr xmlns="http://schemas.microsoft.com/office/spreadsheetml/2009/9/main" objectType="Spin" dx="31" fmlaLink="Valuation!$I$17" max="200" page="10" val="10"/>
</file>

<file path=xl/ctrlProps/ctrlProp11.xml><?xml version="1.0" encoding="utf-8"?>
<formControlPr xmlns="http://schemas.microsoft.com/office/spreadsheetml/2009/9/main" objectType="Spin" dx="31" fmlaLink="Valuation!$I$19" max="200" page="10" val="27"/>
</file>

<file path=xl/ctrlProps/ctrlProp12.xml><?xml version="1.0" encoding="utf-8"?>
<formControlPr xmlns="http://schemas.microsoft.com/office/spreadsheetml/2009/9/main" objectType="Spin" dx="31" fmlaLink="Valuation!$I$20" max="200" page="10" val="10"/>
</file>

<file path=xl/ctrlProps/ctrlProp13.xml><?xml version="1.0" encoding="utf-8"?>
<formControlPr xmlns="http://schemas.microsoft.com/office/spreadsheetml/2009/9/main" objectType="Spin" dx="31" fmlaLink="Valuation!$I$9" max="200" page="10" val="57"/>
</file>

<file path=xl/ctrlProps/ctrlProp14.xml><?xml version="1.0" encoding="utf-8"?>
<formControlPr xmlns="http://schemas.microsoft.com/office/spreadsheetml/2009/9/main" objectType="Spin" dx="31" fmlaLink="Valuation!$I$10" max="200" page="10" val="13"/>
</file>

<file path=xl/ctrlProps/ctrlProp15.xml><?xml version="1.0" encoding="utf-8"?>
<formControlPr xmlns="http://schemas.microsoft.com/office/spreadsheetml/2009/9/main" objectType="Spin" dx="31" fmlaLink="Valuation!$I$11" max="200" page="10" val="0"/>
</file>

<file path=xl/ctrlProps/ctrlProp16.xml><?xml version="1.0" encoding="utf-8"?>
<formControlPr xmlns="http://schemas.microsoft.com/office/spreadsheetml/2009/9/main" objectType="Spin" dx="31" fmlaLink="Valuation!$I$13" max="200" page="10" val="105"/>
</file>

<file path=xl/ctrlProps/ctrlProp17.xml><?xml version="1.0" encoding="utf-8"?>
<formControlPr xmlns="http://schemas.microsoft.com/office/spreadsheetml/2009/9/main" objectType="Spin" dx="31" fmlaLink="Valuation!$I$16" max="200" page="10" val="15"/>
</file>

<file path=xl/ctrlProps/ctrlProp18.xml><?xml version="1.0" encoding="utf-8"?>
<formControlPr xmlns="http://schemas.microsoft.com/office/spreadsheetml/2009/9/main" objectType="Spin" dx="31" fmlaLink="Valuation!$I$17" max="200" page="10" val="10"/>
</file>

<file path=xl/ctrlProps/ctrlProp19.xml><?xml version="1.0" encoding="utf-8"?>
<formControlPr xmlns="http://schemas.microsoft.com/office/spreadsheetml/2009/9/main" objectType="Spin" dx="31" fmlaLink="Valuation!$I$19" max="200" page="10" val="27"/>
</file>

<file path=xl/ctrlProps/ctrlProp20.xml><?xml version="1.0" encoding="utf-8"?>
<formControlPr xmlns="http://schemas.microsoft.com/office/spreadsheetml/2009/9/main" objectType="Spin" dx="31" fmlaLink="Valuation!$I$20" max="200" page="10" val="10"/>
</file>

<file path=xl/ctrlProps/ctrlProp21.xml><?xml version="1.0" encoding="utf-8"?>
<formControlPr xmlns="http://schemas.microsoft.com/office/spreadsheetml/2009/9/main" objectType="Spin" dx="31" fmlaLink="Valuation!$I$11" max="200" page="10" val="0"/>
</file>

<file path=xl/ctrlProps/ctrlProp22.xml><?xml version="1.0" encoding="utf-8"?>
<formControlPr xmlns="http://schemas.microsoft.com/office/spreadsheetml/2009/9/main" objectType="Spin" dx="31" fmlaLink="Valuation!$I$10" max="200" page="10" val="13"/>
</file>

<file path=xl/ctrlProps/ctrlProp23.xml><?xml version="1.0" encoding="utf-8"?>
<formControlPr xmlns="http://schemas.microsoft.com/office/spreadsheetml/2009/9/main" objectType="Spin" dx="31" fmlaLink="Valuation!$I$16" max="200" page="10" val="15"/>
</file>

<file path=xl/ctrlProps/ctrlProp24.xml><?xml version="1.0" encoding="utf-8"?>
<formControlPr xmlns="http://schemas.microsoft.com/office/spreadsheetml/2009/9/main" objectType="Spin" dx="31" fmlaLink="Valuation!$I$9" max="200" page="10" val="57"/>
</file>

<file path=xl/ctrlProps/ctrlProp25.xml><?xml version="1.0" encoding="utf-8"?>
<formControlPr xmlns="http://schemas.microsoft.com/office/spreadsheetml/2009/9/main" objectType="Spin" dx="31" fmlaLink="Valuation!$I$18" max="200" page="10" val="11"/>
</file>

<file path=xl/ctrlProps/ctrlProp26.xml><?xml version="1.0" encoding="utf-8"?>
<formControlPr xmlns="http://schemas.microsoft.com/office/spreadsheetml/2009/9/main" objectType="Spin" dx="31" fmlaLink="Valuation!$I$19" max="200" page="10" val="27"/>
</file>

<file path=xl/ctrlProps/ctrlProp27.xml><?xml version="1.0" encoding="utf-8"?>
<formControlPr xmlns="http://schemas.microsoft.com/office/spreadsheetml/2009/9/main" objectType="Drop" dropStyle="combo" dx="16" fmlaLink="'Scenario analysis'!$E$4" fmlaRange="'Scenario analysis'!$D$9:$D$21" noThreeD="1" sel="2" val="0"/>
</file>

<file path=xl/ctrlProps/ctrlProp28.xml><?xml version="1.0" encoding="utf-8"?>
<formControlPr xmlns="http://schemas.microsoft.com/office/spreadsheetml/2009/9/main" objectType="Drop" dropLines="20" dropStyle="combo" dx="16" fmlaLink="'Scenario analysis'!$E$4" fmlaRange="'Scenario analysis'!$D$9:$D$21" noThreeD="1" sel="2" val="0"/>
</file>

<file path=xl/ctrlProps/ctrlProp29.xml><?xml version="1.0" encoding="utf-8"?>
<formControlPr xmlns="http://schemas.microsoft.com/office/spreadsheetml/2009/9/main" objectType="Drop" dropLines="20" dropStyle="combo" dx="16" fmlaLink="'Scenario analysis'!$E$4" fmlaRange="'Scenario analysis'!$D$9:$D$21" noThreeD="1" sel="2" val="0"/>
</file>

<file path=xl/ctrlProps/ctrlProp30.xml><?xml version="1.0" encoding="utf-8"?>
<formControlPr xmlns="http://schemas.microsoft.com/office/spreadsheetml/2009/9/main" objectType="CheckBox" checked="Checked" fmlaLink="'Assumptions and Free Cash Flow'!$E$10" lockText="1" noThreeD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fmlaLink="'LBO transaction assumption'!$D$15" lockText="1" noThreeD="1"/>
</file>

<file path=xl/ctrlProps/ctrlProp33.xml><?xml version="1.0" encoding="utf-8"?>
<formControlPr xmlns="http://schemas.microsoft.com/office/spreadsheetml/2009/9/main" objectType="CheckBox" fmlaLink="'LBO transaction assumption'!$D$15" lockText="1" noThreeD="1"/>
</file>

<file path=xl/ctrlProps/ctrlProp34.xml><?xml version="1.0" encoding="utf-8"?>
<formControlPr xmlns="http://schemas.microsoft.com/office/spreadsheetml/2009/9/main" objectType="Drop" dropStyle="combo" dx="16" fmlaLink="'Scenario analysis'!$E$4" fmlaRange="'Scenario analysis'!$D$9:$D$21" noThreeD="1" sel="2" val="0"/>
</file>

<file path=xl/ctrlProps/ctrlProp35.xml><?xml version="1.0" encoding="utf-8"?>
<formControlPr xmlns="http://schemas.microsoft.com/office/spreadsheetml/2009/9/main" objectType="Drop" dropLines="50" dropStyle="combo" dx="31" fmlaLink="Graphs!$J$4" fmlaRange="Graphs!$D$5:$D$130" noThreeD="1" sel="115" val="0"/>
</file>

<file path=xl/ctrlProps/ctrlProp36.xml><?xml version="1.0" encoding="utf-8"?>
<formControlPr xmlns="http://schemas.microsoft.com/office/spreadsheetml/2009/9/main" objectType="Drop" dropLines="50" dropStyle="combo" dx="31" fmlaLink="Graphs!$J$6" fmlaRange="Graphs!$D$5:$D$130" noThreeD="1" sel="43" val="32"/>
</file>

<file path=xl/ctrlProps/ctrlProp37.xml><?xml version="1.0" encoding="utf-8"?>
<formControlPr xmlns="http://schemas.microsoft.com/office/spreadsheetml/2009/9/main" objectType="Drop" dropLines="50" dropStyle="combo" dx="31" fmlaLink="Graphs!$J$4" fmlaRange="Graphs!$D$5:$D$130" noThreeD="1" sel="115" val="93"/>
</file>

<file path=xl/ctrlProps/ctrlProp38.xml><?xml version="1.0" encoding="utf-8"?>
<formControlPr xmlns="http://schemas.microsoft.com/office/spreadsheetml/2009/9/main" objectType="Drop" dropLines="50" dropStyle="combo" dx="31" fmlaLink="Graphs!$J$6" fmlaRange="Graphs!$D$5:$D$130" noThreeD="1" sel="43" val="96"/>
</file>

<file path=xl/ctrlProps/ctrlProp39.xml><?xml version="1.0" encoding="utf-8"?>
<formControlPr xmlns="http://schemas.microsoft.com/office/spreadsheetml/2009/9/main" objectType="Drop" dropStyle="combo" dx="16" fmlaLink="'Scenario analysis'!$E$4" fmlaRange="'Scenario analysis'!$D$9:$D$21" noThreeD="1" sel="2" val="0"/>
</file>

<file path=xl/ctrlProps/ctrlProp40.xml><?xml version="1.0" encoding="utf-8"?>
<formControlPr xmlns="http://schemas.microsoft.com/office/spreadsheetml/2009/9/main" objectType="Spin" dx="31" fmlaLink="Graphs!$J$4" max="115" min="1" page="10" val="115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</xdr:row>
          <xdr:rowOff>0</xdr:rowOff>
        </xdr:from>
        <xdr:to>
          <xdr:col>9</xdr:col>
          <xdr:colOff>698500</xdr:colOff>
          <xdr:row>1</xdr:row>
          <xdr:rowOff>139700</xdr:rowOff>
        </xdr:to>
        <xdr:sp macro="" textlink="">
          <xdr:nvSpPr>
            <xdr:cNvPr id="29699" name="Drop Dow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1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absoluteAnchor>
    <xdr:pos x="69851" y="69851"/>
    <xdr:ext cx="4991099" cy="28511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215900</xdr:colOff>
          <xdr:row>0</xdr:row>
          <xdr:rowOff>146050</xdr:rowOff>
        </xdr:from>
        <xdr:to>
          <xdr:col>7</xdr:col>
          <xdr:colOff>476250</xdr:colOff>
          <xdr:row>2</xdr:row>
          <xdr:rowOff>0</xdr:rowOff>
        </xdr:to>
        <xdr:sp macro="" textlink="">
          <xdr:nvSpPr>
            <xdr:cNvPr id="29701" name="Spinner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1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158750</xdr:colOff>
          <xdr:row>0</xdr:row>
          <xdr:rowOff>146050</xdr:rowOff>
        </xdr:from>
        <xdr:to>
          <xdr:col>2</xdr:col>
          <xdr:colOff>215900</xdr:colOff>
          <xdr:row>1</xdr:row>
          <xdr:rowOff>139700</xdr:rowOff>
        </xdr:to>
        <xdr:sp macro="" textlink="">
          <xdr:nvSpPr>
            <xdr:cNvPr id="29702" name="Drop Dow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1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50800</xdr:colOff>
          <xdr:row>18</xdr:row>
          <xdr:rowOff>6350</xdr:rowOff>
        </xdr:from>
        <xdr:to>
          <xdr:col>3</xdr:col>
          <xdr:colOff>584200</xdr:colOff>
          <xdr:row>19</xdr:row>
          <xdr:rowOff>127000</xdr:rowOff>
        </xdr:to>
        <xdr:sp macro="" textlink="">
          <xdr:nvSpPr>
            <xdr:cNvPr id="29703" name="Check Box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1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Include Restructuring in EBITDA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17</xdr:row>
          <xdr:rowOff>38100</xdr:rowOff>
        </xdr:from>
        <xdr:to>
          <xdr:col>12</xdr:col>
          <xdr:colOff>196850</xdr:colOff>
          <xdr:row>17</xdr:row>
          <xdr:rowOff>133350</xdr:rowOff>
        </xdr:to>
        <xdr:sp macro="" textlink="">
          <xdr:nvSpPr>
            <xdr:cNvPr id="29704" name="Spinner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1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18</xdr:row>
          <xdr:rowOff>38100</xdr:rowOff>
        </xdr:from>
        <xdr:to>
          <xdr:col>12</xdr:col>
          <xdr:colOff>196850</xdr:colOff>
          <xdr:row>18</xdr:row>
          <xdr:rowOff>133350</xdr:rowOff>
        </xdr:to>
        <xdr:sp macro="" textlink="">
          <xdr:nvSpPr>
            <xdr:cNvPr id="29705" name="Spinner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1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25400</xdr:colOff>
          <xdr:row>19</xdr:row>
          <xdr:rowOff>38100</xdr:rowOff>
        </xdr:from>
        <xdr:to>
          <xdr:col>12</xdr:col>
          <xdr:colOff>196850</xdr:colOff>
          <xdr:row>19</xdr:row>
          <xdr:rowOff>133350</xdr:rowOff>
        </xdr:to>
        <xdr:sp macro="" textlink="">
          <xdr:nvSpPr>
            <xdr:cNvPr id="29706" name="Spinner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1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22</xdr:row>
          <xdr:rowOff>25400</xdr:rowOff>
        </xdr:from>
        <xdr:to>
          <xdr:col>12</xdr:col>
          <xdr:colOff>209550</xdr:colOff>
          <xdr:row>22</xdr:row>
          <xdr:rowOff>120650</xdr:rowOff>
        </xdr:to>
        <xdr:sp macro="" textlink="">
          <xdr:nvSpPr>
            <xdr:cNvPr id="29707" name="Spinner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1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31750</xdr:colOff>
          <xdr:row>23</xdr:row>
          <xdr:rowOff>25400</xdr:rowOff>
        </xdr:from>
        <xdr:to>
          <xdr:col>12</xdr:col>
          <xdr:colOff>203200</xdr:colOff>
          <xdr:row>23</xdr:row>
          <xdr:rowOff>120650</xdr:rowOff>
        </xdr:to>
        <xdr:sp macro="" textlink="">
          <xdr:nvSpPr>
            <xdr:cNvPr id="29708" name="Spinner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1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31750</xdr:colOff>
          <xdr:row>24</xdr:row>
          <xdr:rowOff>25400</xdr:rowOff>
        </xdr:from>
        <xdr:to>
          <xdr:col>12</xdr:col>
          <xdr:colOff>203200</xdr:colOff>
          <xdr:row>24</xdr:row>
          <xdr:rowOff>120650</xdr:rowOff>
        </xdr:to>
        <xdr:sp macro="" textlink="">
          <xdr:nvSpPr>
            <xdr:cNvPr id="29709" name="Spinner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1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31750</xdr:colOff>
          <xdr:row>25</xdr:row>
          <xdr:rowOff>25400</xdr:rowOff>
        </xdr:from>
        <xdr:to>
          <xdr:col>12</xdr:col>
          <xdr:colOff>203200</xdr:colOff>
          <xdr:row>25</xdr:row>
          <xdr:rowOff>120650</xdr:rowOff>
        </xdr:to>
        <xdr:sp macro="" textlink="">
          <xdr:nvSpPr>
            <xdr:cNvPr id="29710" name="Spinner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1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31750</xdr:colOff>
          <xdr:row>26</xdr:row>
          <xdr:rowOff>25400</xdr:rowOff>
        </xdr:from>
        <xdr:to>
          <xdr:col>12</xdr:col>
          <xdr:colOff>203200</xdr:colOff>
          <xdr:row>26</xdr:row>
          <xdr:rowOff>120650</xdr:rowOff>
        </xdr:to>
        <xdr:sp macro="" textlink="">
          <xdr:nvSpPr>
            <xdr:cNvPr id="29711" name="Spinner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1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428625</xdr:colOff>
      <xdr:row>79</xdr:row>
      <xdr:rowOff>104775</xdr:rowOff>
    </xdr:from>
    <xdr:to>
      <xdr:col>12</xdr:col>
      <xdr:colOff>257175</xdr:colOff>
      <xdr:row>82</xdr:row>
      <xdr:rowOff>76200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/>
      </xdr:nvCxnSpPr>
      <xdr:spPr>
        <a:xfrm flipV="1">
          <a:off x="8423275" y="73320275"/>
          <a:ext cx="1714500" cy="5238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428625</xdr:colOff>
      <xdr:row>85</xdr:row>
      <xdr:rowOff>142875</xdr:rowOff>
    </xdr:from>
    <xdr:to>
      <xdr:col>12</xdr:col>
      <xdr:colOff>295275</xdr:colOff>
      <xdr:row>88</xdr:row>
      <xdr:rowOff>47625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 flipV="1">
          <a:off x="8423275" y="74463275"/>
          <a:ext cx="1752600" cy="4572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514350</xdr:colOff>
      <xdr:row>91</xdr:row>
      <xdr:rowOff>152400</xdr:rowOff>
    </xdr:from>
    <xdr:to>
      <xdr:col>12</xdr:col>
      <xdr:colOff>123825</xdr:colOff>
      <xdr:row>94</xdr:row>
      <xdr:rowOff>28575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8509000" y="75577700"/>
          <a:ext cx="1495425" cy="42862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8</xdr:row>
          <xdr:rowOff>12700</xdr:rowOff>
        </xdr:from>
        <xdr:to>
          <xdr:col>4</xdr:col>
          <xdr:colOff>273050</xdr:colOff>
          <xdr:row>8</xdr:row>
          <xdr:rowOff>139700</xdr:rowOff>
        </xdr:to>
        <xdr:sp macro="" textlink="">
          <xdr:nvSpPr>
            <xdr:cNvPr id="38913" name="Spinner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2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9</xdr:row>
          <xdr:rowOff>12700</xdr:rowOff>
        </xdr:from>
        <xdr:to>
          <xdr:col>4</xdr:col>
          <xdr:colOff>273050</xdr:colOff>
          <xdr:row>9</xdr:row>
          <xdr:rowOff>139700</xdr:rowOff>
        </xdr:to>
        <xdr:sp macro="" textlink="">
          <xdr:nvSpPr>
            <xdr:cNvPr id="38914" name="Spinner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2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10</xdr:row>
          <xdr:rowOff>12700</xdr:rowOff>
        </xdr:from>
        <xdr:to>
          <xdr:col>4</xdr:col>
          <xdr:colOff>273050</xdr:colOff>
          <xdr:row>10</xdr:row>
          <xdr:rowOff>139700</xdr:rowOff>
        </xdr:to>
        <xdr:sp macro="" textlink="">
          <xdr:nvSpPr>
            <xdr:cNvPr id="38915" name="Spinner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2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12</xdr:row>
          <xdr:rowOff>12700</xdr:rowOff>
        </xdr:from>
        <xdr:to>
          <xdr:col>4</xdr:col>
          <xdr:colOff>273050</xdr:colOff>
          <xdr:row>12</xdr:row>
          <xdr:rowOff>139700</xdr:rowOff>
        </xdr:to>
        <xdr:sp macro="" textlink="">
          <xdr:nvSpPr>
            <xdr:cNvPr id="38917" name="Spinner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2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15</xdr:row>
          <xdr:rowOff>12700</xdr:rowOff>
        </xdr:from>
        <xdr:to>
          <xdr:col>4</xdr:col>
          <xdr:colOff>273050</xdr:colOff>
          <xdr:row>15</xdr:row>
          <xdr:rowOff>139700</xdr:rowOff>
        </xdr:to>
        <xdr:sp macro="" textlink="">
          <xdr:nvSpPr>
            <xdr:cNvPr id="38918" name="Spinner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2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16</xdr:row>
          <xdr:rowOff>12700</xdr:rowOff>
        </xdr:from>
        <xdr:to>
          <xdr:col>4</xdr:col>
          <xdr:colOff>273050</xdr:colOff>
          <xdr:row>16</xdr:row>
          <xdr:rowOff>139700</xdr:rowOff>
        </xdr:to>
        <xdr:sp macro="" textlink="">
          <xdr:nvSpPr>
            <xdr:cNvPr id="38919" name="Spinner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2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18</xdr:row>
          <xdr:rowOff>12700</xdr:rowOff>
        </xdr:from>
        <xdr:to>
          <xdr:col>4</xdr:col>
          <xdr:colOff>273050</xdr:colOff>
          <xdr:row>18</xdr:row>
          <xdr:rowOff>139700</xdr:rowOff>
        </xdr:to>
        <xdr:sp macro="" textlink="">
          <xdr:nvSpPr>
            <xdr:cNvPr id="38920" name="Spinner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2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19</xdr:row>
          <xdr:rowOff>12700</xdr:rowOff>
        </xdr:from>
        <xdr:to>
          <xdr:col>4</xdr:col>
          <xdr:colOff>273050</xdr:colOff>
          <xdr:row>19</xdr:row>
          <xdr:rowOff>139700</xdr:rowOff>
        </xdr:to>
        <xdr:sp macro="" textlink="">
          <xdr:nvSpPr>
            <xdr:cNvPr id="38921" name="Spinner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2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108</xdr:row>
          <xdr:rowOff>12700</xdr:rowOff>
        </xdr:from>
        <xdr:to>
          <xdr:col>3</xdr:col>
          <xdr:colOff>273050</xdr:colOff>
          <xdr:row>108</xdr:row>
          <xdr:rowOff>139700</xdr:rowOff>
        </xdr:to>
        <xdr:sp macro="" textlink="">
          <xdr:nvSpPr>
            <xdr:cNvPr id="38922" name="Spinner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2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109</xdr:row>
          <xdr:rowOff>12700</xdr:rowOff>
        </xdr:from>
        <xdr:to>
          <xdr:col>3</xdr:col>
          <xdr:colOff>273050</xdr:colOff>
          <xdr:row>109</xdr:row>
          <xdr:rowOff>139700</xdr:rowOff>
        </xdr:to>
        <xdr:sp macro="" textlink="">
          <xdr:nvSpPr>
            <xdr:cNvPr id="38923" name="Spinner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2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111</xdr:row>
          <xdr:rowOff>12700</xdr:rowOff>
        </xdr:from>
        <xdr:to>
          <xdr:col>3</xdr:col>
          <xdr:colOff>273050</xdr:colOff>
          <xdr:row>111</xdr:row>
          <xdr:rowOff>139700</xdr:rowOff>
        </xdr:to>
        <xdr:sp macro="" textlink="">
          <xdr:nvSpPr>
            <xdr:cNvPr id="38924" name="Spinner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2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110</xdr:row>
          <xdr:rowOff>12700</xdr:rowOff>
        </xdr:from>
        <xdr:to>
          <xdr:col>3</xdr:col>
          <xdr:colOff>273050</xdr:colOff>
          <xdr:row>110</xdr:row>
          <xdr:rowOff>139700</xdr:rowOff>
        </xdr:to>
        <xdr:sp macro="" textlink="">
          <xdr:nvSpPr>
            <xdr:cNvPr id="38925" name="Spinner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2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17</xdr:row>
          <xdr:rowOff>12700</xdr:rowOff>
        </xdr:from>
        <xdr:to>
          <xdr:col>4</xdr:col>
          <xdr:colOff>273050</xdr:colOff>
          <xdr:row>17</xdr:row>
          <xdr:rowOff>139700</xdr:rowOff>
        </xdr:to>
        <xdr:sp macro="" textlink="">
          <xdr:nvSpPr>
            <xdr:cNvPr id="38926" name="Spinner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2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152</xdr:row>
          <xdr:rowOff>12700</xdr:rowOff>
        </xdr:from>
        <xdr:to>
          <xdr:col>4</xdr:col>
          <xdr:colOff>273050</xdr:colOff>
          <xdr:row>152</xdr:row>
          <xdr:rowOff>139700</xdr:rowOff>
        </xdr:to>
        <xdr:sp macro="" textlink="">
          <xdr:nvSpPr>
            <xdr:cNvPr id="38927" name="Spinner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2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1</xdr:row>
          <xdr:rowOff>114300</xdr:rowOff>
        </xdr:from>
        <xdr:to>
          <xdr:col>3</xdr:col>
          <xdr:colOff>1447800</xdr:colOff>
          <xdr:row>2</xdr:row>
          <xdr:rowOff>101600</xdr:rowOff>
        </xdr:to>
        <xdr:sp macro="" textlink="">
          <xdr:nvSpPr>
            <xdr:cNvPr id="18433" name="Drop Dow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3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1593850</xdr:colOff>
          <xdr:row>0</xdr:row>
          <xdr:rowOff>165100</xdr:rowOff>
        </xdr:from>
        <xdr:to>
          <xdr:col>1</xdr:col>
          <xdr:colOff>3028950</xdr:colOff>
          <xdr:row>2</xdr:row>
          <xdr:rowOff>76200</xdr:rowOff>
        </xdr:to>
        <xdr:sp macro="" textlink="">
          <xdr:nvSpPr>
            <xdr:cNvPr id="31745" name="Drop Dow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1593850</xdr:colOff>
          <xdr:row>0</xdr:row>
          <xdr:rowOff>165100</xdr:rowOff>
        </xdr:from>
        <xdr:to>
          <xdr:col>2</xdr:col>
          <xdr:colOff>3035300</xdr:colOff>
          <xdr:row>2</xdr:row>
          <xdr:rowOff>25400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3181350</xdr:colOff>
          <xdr:row>9</xdr:row>
          <xdr:rowOff>158750</xdr:rowOff>
        </xdr:from>
        <xdr:to>
          <xdr:col>5</xdr:col>
          <xdr:colOff>273050</xdr:colOff>
          <xdr:row>11</xdr:row>
          <xdr:rowOff>63500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Include Restructuring in EBITDA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95250" y="152400"/>
    <xdr:ext cx="6794499" cy="383556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44450</xdr:colOff>
          <xdr:row>1</xdr:row>
          <xdr:rowOff>0</xdr:rowOff>
        </xdr:from>
        <xdr:to>
          <xdr:col>14</xdr:col>
          <xdr:colOff>171450</xdr:colOff>
          <xdr:row>3</xdr:row>
          <xdr:rowOff>158750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Recompute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14</xdr:row>
          <xdr:rowOff>0</xdr:rowOff>
        </xdr:from>
        <xdr:to>
          <xdr:col>6</xdr:col>
          <xdr:colOff>165100</xdr:colOff>
          <xdr:row>15</xdr:row>
          <xdr:rowOff>38100</xdr:rowOff>
        </xdr:to>
        <xdr:sp macro="" textlink="">
          <xdr:nvSpPr>
            <xdr:cNvPr id="20481" name="Check Box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7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Include Improvements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2508250</xdr:colOff>
          <xdr:row>15</xdr:row>
          <xdr:rowOff>12700</xdr:rowOff>
        </xdr:from>
        <xdr:to>
          <xdr:col>2</xdr:col>
          <xdr:colOff>69850</xdr:colOff>
          <xdr:row>16</xdr:row>
          <xdr:rowOff>190500</xdr:rowOff>
        </xdr:to>
        <xdr:sp macro="" textlink="">
          <xdr:nvSpPr>
            <xdr:cNvPr id="21505" name="Check Box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88900</xdr:rowOff>
        </xdr:from>
        <xdr:to>
          <xdr:col>1</xdr:col>
          <xdr:colOff>2133600</xdr:colOff>
          <xdr:row>1</xdr:row>
          <xdr:rowOff>127000</xdr:rowOff>
        </xdr:to>
        <xdr:sp macro="" textlink="">
          <xdr:nvSpPr>
            <xdr:cNvPr id="21506" name="Drop Dow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133350" y="76201"/>
    <xdr:ext cx="6534150" cy="35687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584200</xdr:colOff>
          <xdr:row>2</xdr:row>
          <xdr:rowOff>0</xdr:rowOff>
        </xdr:from>
        <xdr:to>
          <xdr:col>14</xdr:col>
          <xdr:colOff>234950</xdr:colOff>
          <xdr:row>2</xdr:row>
          <xdr:rowOff>171450</xdr:rowOff>
        </xdr:to>
        <xdr:sp macro="" textlink="">
          <xdr:nvSpPr>
            <xdr:cNvPr id="30723" name="Drop Dow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584200</xdr:colOff>
          <xdr:row>4</xdr:row>
          <xdr:rowOff>0</xdr:rowOff>
        </xdr:from>
        <xdr:to>
          <xdr:col>14</xdr:col>
          <xdr:colOff>234950</xdr:colOff>
          <xdr:row>4</xdr:row>
          <xdr:rowOff>171450</xdr:rowOff>
        </xdr:to>
        <xdr:sp macro="" textlink="">
          <xdr:nvSpPr>
            <xdr:cNvPr id="30724" name="Drop Dow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254000</xdr:colOff>
          <xdr:row>3</xdr:row>
          <xdr:rowOff>0</xdr:rowOff>
        </xdr:from>
        <xdr:to>
          <xdr:col>7</xdr:col>
          <xdr:colOff>1123950</xdr:colOff>
          <xdr:row>3</xdr:row>
          <xdr:rowOff>171450</xdr:rowOff>
        </xdr:to>
        <xdr:sp macro="" textlink="">
          <xdr:nvSpPr>
            <xdr:cNvPr id="32775" name="Drop Dow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A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5</xdr:row>
          <xdr:rowOff>0</xdr:rowOff>
        </xdr:from>
        <xdr:to>
          <xdr:col>7</xdr:col>
          <xdr:colOff>1136650</xdr:colOff>
          <xdr:row>5</xdr:row>
          <xdr:rowOff>171450</xdr:rowOff>
        </xdr:to>
        <xdr:sp macro="" textlink="">
          <xdr:nvSpPr>
            <xdr:cNvPr id="32776" name="Drop Dow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A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177800</xdr:colOff>
          <xdr:row>0</xdr:row>
          <xdr:rowOff>152400</xdr:rowOff>
        </xdr:from>
        <xdr:to>
          <xdr:col>7</xdr:col>
          <xdr:colOff>1206500</xdr:colOff>
          <xdr:row>1</xdr:row>
          <xdr:rowOff>171450</xdr:rowOff>
        </xdr:to>
        <xdr:sp macro="" textlink="">
          <xdr:nvSpPr>
            <xdr:cNvPr id="32777" name="Drop Dow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A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3</xdr:row>
          <xdr:rowOff>12700</xdr:rowOff>
        </xdr:from>
        <xdr:to>
          <xdr:col>8</xdr:col>
          <xdr:colOff>292100</xdr:colOff>
          <xdr:row>3</xdr:row>
          <xdr:rowOff>171450</xdr:rowOff>
        </xdr:to>
        <xdr:sp macro="" textlink="">
          <xdr:nvSpPr>
            <xdr:cNvPr id="32778" name="Spinner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A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ctrlProp" Target="../ctrlProps/ctrlProp23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12" Type="http://schemas.openxmlformats.org/officeDocument/2006/relationships/ctrlProp" Target="../ctrlProps/ctrlProp22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26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5" Type="http://schemas.openxmlformats.org/officeDocument/2006/relationships/ctrlProp" Target="../ctrlProps/ctrlProp2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3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8"/>
  <dimension ref="B2:B13"/>
  <sheetViews>
    <sheetView showGridLines="0" zoomScale="80" zoomScaleNormal="80" workbookViewId="0">
      <selection activeCell="H15" sqref="H15"/>
    </sheetView>
  </sheetViews>
  <sheetFormatPr defaultColWidth="9.1796875" defaultRowHeight="21" x14ac:dyDescent="0.5"/>
  <cols>
    <col min="1" max="16384" width="9.1796875" style="98"/>
  </cols>
  <sheetData>
    <row r="2" spans="2:2" x14ac:dyDescent="0.5">
      <c r="B2" s="98" t="s">
        <v>378</v>
      </c>
    </row>
    <row r="4" spans="2:2" x14ac:dyDescent="0.5">
      <c r="B4" s="98" t="s">
        <v>379</v>
      </c>
    </row>
    <row r="5" spans="2:2" x14ac:dyDescent="0.5">
      <c r="B5" s="98" t="s">
        <v>380</v>
      </c>
    </row>
    <row r="6" spans="2:2" x14ac:dyDescent="0.5">
      <c r="B6" s="98" t="s">
        <v>381</v>
      </c>
    </row>
    <row r="7" spans="2:2" x14ac:dyDescent="0.5">
      <c r="B7" s="98" t="s">
        <v>382</v>
      </c>
    </row>
    <row r="8" spans="2:2" x14ac:dyDescent="0.5">
      <c r="B8" s="98" t="s">
        <v>412</v>
      </c>
    </row>
    <row r="9" spans="2:2" x14ac:dyDescent="0.5">
      <c r="B9" s="98" t="s">
        <v>413</v>
      </c>
    </row>
    <row r="11" spans="2:2" x14ac:dyDescent="0.5">
      <c r="B11" s="98" t="s">
        <v>433</v>
      </c>
    </row>
    <row r="12" spans="2:2" x14ac:dyDescent="0.5">
      <c r="B12" s="98" t="s">
        <v>434</v>
      </c>
    </row>
    <row r="13" spans="2:2" x14ac:dyDescent="0.5">
      <c r="B13" s="98" t="s">
        <v>441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I3:O27"/>
  <sheetViews>
    <sheetView showGridLines="0" tabSelected="1" workbookViewId="0">
      <selection activeCell="I21" sqref="I21"/>
    </sheetView>
  </sheetViews>
  <sheetFormatPr defaultRowHeight="12" x14ac:dyDescent="0.3"/>
  <cols>
    <col min="1" max="9" width="8.7265625" style="41"/>
    <col min="10" max="10" width="11.08984375" style="41" customWidth="1"/>
    <col min="11" max="11" width="10.08984375" style="41" bestFit="1" customWidth="1"/>
    <col min="12" max="12" width="11.08984375" style="41" bestFit="1" customWidth="1"/>
    <col min="13" max="16384" width="8.7265625" style="41"/>
  </cols>
  <sheetData>
    <row r="3" spans="9:15" x14ac:dyDescent="0.3">
      <c r="K3" s="99" t="s">
        <v>440</v>
      </c>
      <c r="L3" s="107">
        <f>'Assumptions and Free Cash Flow'!W75</f>
        <v>612.5</v>
      </c>
    </row>
    <row r="4" spans="9:15" x14ac:dyDescent="0.3">
      <c r="K4" s="94" t="s">
        <v>444</v>
      </c>
      <c r="L4" s="97">
        <f>'Assumptions and Free Cash Flow'!W78</f>
        <v>20.504301075268817</v>
      </c>
    </row>
    <row r="5" spans="9:15" x14ac:dyDescent="0.3">
      <c r="K5" s="94" t="s">
        <v>373</v>
      </c>
      <c r="L5" s="97">
        <f>'Assumptions and Free Cash Flow'!W84</f>
        <v>10.729030416700645</v>
      </c>
    </row>
    <row r="6" spans="9:15" x14ac:dyDescent="0.3">
      <c r="K6" s="94" t="s">
        <v>445</v>
      </c>
      <c r="L6" s="97">
        <f>'Assumptions and Free Cash Flow'!W87</f>
        <v>2.1485456092345192</v>
      </c>
    </row>
    <row r="8" spans="9:15" ht="46" x14ac:dyDescent="0.3">
      <c r="L8" s="106" t="s">
        <v>222</v>
      </c>
      <c r="M8" s="106" t="s">
        <v>223</v>
      </c>
      <c r="N8" s="106" t="s">
        <v>224</v>
      </c>
      <c r="O8" s="77"/>
    </row>
    <row r="9" spans="9:15" x14ac:dyDescent="0.3">
      <c r="I9" s="78"/>
      <c r="K9" s="94" t="s">
        <v>159</v>
      </c>
      <c r="L9" s="105">
        <f>Valuation!E56</f>
        <v>100640.00482031557</v>
      </c>
      <c r="M9" s="105">
        <f>Valuation!E57</f>
        <v>110522.5748131201</v>
      </c>
      <c r="N9" s="105">
        <f>Valuation!E58</f>
        <v>83874.285298603325</v>
      </c>
      <c r="O9" s="79"/>
    </row>
    <row r="10" spans="9:15" x14ac:dyDescent="0.3">
      <c r="I10" s="78"/>
      <c r="K10" s="94" t="s">
        <v>436</v>
      </c>
      <c r="L10" s="105">
        <f>-Valuation!$D$104</f>
        <v>-39364</v>
      </c>
      <c r="M10" s="105">
        <f>-Valuation!$D$104</f>
        <v>-39364</v>
      </c>
      <c r="N10" s="105">
        <f>-Valuation!$D$104</f>
        <v>-39364</v>
      </c>
      <c r="O10" s="79"/>
    </row>
    <row r="11" spans="9:15" x14ac:dyDescent="0.3">
      <c r="I11" s="78"/>
      <c r="K11" s="94" t="s">
        <v>437</v>
      </c>
      <c r="L11" s="105">
        <f>SUM(L9:L10)</f>
        <v>61276.004820315575</v>
      </c>
      <c r="M11" s="105">
        <f t="shared" ref="M11:N11" si="0">SUM(M9:M10)</f>
        <v>71158.574813120096</v>
      </c>
      <c r="N11" s="105">
        <f t="shared" si="0"/>
        <v>44510.285298603325</v>
      </c>
      <c r="O11" s="79"/>
    </row>
    <row r="12" spans="9:15" x14ac:dyDescent="0.3">
      <c r="K12" s="94" t="s">
        <v>438</v>
      </c>
      <c r="L12" s="105">
        <f>'Historic Data from PDF'!$V$188</f>
        <v>152542</v>
      </c>
      <c r="M12" s="105">
        <f>'Historic Data from PDF'!$V$188</f>
        <v>152542</v>
      </c>
      <c r="N12" s="105">
        <f>'Historic Data from PDF'!$V$188</f>
        <v>152542</v>
      </c>
    </row>
    <row r="13" spans="9:15" x14ac:dyDescent="0.3">
      <c r="J13" s="102"/>
      <c r="K13" s="103" t="s">
        <v>439</v>
      </c>
      <c r="L13" s="104">
        <f>L11/L12*1000</f>
        <v>401.69923575353397</v>
      </c>
      <c r="M13" s="104">
        <f t="shared" ref="M13:N13" si="1">M11/M12*1000</f>
        <v>466.48513073855128</v>
      </c>
      <c r="N13" s="104">
        <f t="shared" si="1"/>
        <v>291.79036133394948</v>
      </c>
    </row>
    <row r="14" spans="9:15" x14ac:dyDescent="0.3">
      <c r="K14" s="94" t="s">
        <v>273</v>
      </c>
      <c r="L14" s="97">
        <f>Valuation!E62</f>
        <v>8.910072338762804</v>
      </c>
      <c r="M14" s="97">
        <f>Valuation!E72</f>
        <v>7.4257344353954879</v>
      </c>
      <c r="N14" s="97">
        <f>Valuation!E68</f>
        <v>9.7850167874041656</v>
      </c>
    </row>
    <row r="15" spans="9:15" x14ac:dyDescent="0.3">
      <c r="K15" s="94" t="s">
        <v>469</v>
      </c>
      <c r="L15" s="97">
        <f>Valuation!E65</f>
        <v>9.9364952506067521</v>
      </c>
      <c r="M15" s="97">
        <f>Valuation!E73</f>
        <v>7.8808464151175652</v>
      </c>
      <c r="N15" s="97">
        <f>Valuation!E69</f>
        <v>11.148199494557643</v>
      </c>
    </row>
    <row r="17" spans="11:12" x14ac:dyDescent="0.3">
      <c r="L17" s="99" t="s">
        <v>416</v>
      </c>
    </row>
    <row r="18" spans="11:12" x14ac:dyDescent="0.3">
      <c r="K18" s="39" t="s">
        <v>267</v>
      </c>
      <c r="L18" s="79">
        <f>Valuation!D9</f>
        <v>5.7000000000000002E-2</v>
      </c>
    </row>
    <row r="19" spans="11:12" x14ac:dyDescent="0.3">
      <c r="K19" s="39" t="s">
        <v>268</v>
      </c>
      <c r="L19" s="79">
        <f>Valuation!D10</f>
        <v>1.2999999999999999E-2</v>
      </c>
    </row>
    <row r="20" spans="11:12" x14ac:dyDescent="0.3">
      <c r="K20" s="39" t="s">
        <v>283</v>
      </c>
      <c r="L20" s="97">
        <f>Valuation!D13</f>
        <v>10.5</v>
      </c>
    </row>
    <row r="22" spans="11:12" x14ac:dyDescent="0.3">
      <c r="L22" s="99" t="s">
        <v>452</v>
      </c>
    </row>
    <row r="23" spans="11:12" x14ac:dyDescent="0.3">
      <c r="K23" s="94" t="s">
        <v>419</v>
      </c>
      <c r="L23" s="79">
        <f>Valuation!D12</f>
        <v>5.7000000000000002E-2</v>
      </c>
    </row>
    <row r="24" spans="11:12" x14ac:dyDescent="0.3">
      <c r="K24" s="94" t="s">
        <v>420</v>
      </c>
      <c r="L24" s="97">
        <f>Valuation!D16</f>
        <v>15</v>
      </c>
    </row>
    <row r="25" spans="11:12" x14ac:dyDescent="0.3">
      <c r="K25" s="94" t="s">
        <v>421</v>
      </c>
      <c r="L25" s="97">
        <f>Valuation!D17</f>
        <v>10</v>
      </c>
    </row>
    <row r="26" spans="11:12" x14ac:dyDescent="0.3">
      <c r="K26" s="94" t="s">
        <v>443</v>
      </c>
      <c r="L26" s="79">
        <f>Valuation!D19</f>
        <v>-0.97299999999999998</v>
      </c>
    </row>
    <row r="27" spans="11:12" x14ac:dyDescent="0.3">
      <c r="K27" s="94" t="s">
        <v>465</v>
      </c>
      <c r="L27" s="97">
        <f>Valuation!D20</f>
        <v>10</v>
      </c>
    </row>
  </sheetData>
  <conditionalFormatting sqref="K18:K20">
    <cfRule type="containsText" dxfId="51" priority="1" operator="containsText" text="FALSE">
      <formula>NOT(ISERROR(SEARCH("FALSE",K18)))</formula>
    </cfRule>
    <cfRule type="cellIs" dxfId="50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9" r:id="rId3" name="Drop Down 3">
              <controlPr defaultSize="0" autoLine="0" autoPict="0">
                <anchor moveWithCells="1">
                  <from>
                    <xdr:col>8</xdr:col>
                    <xdr:colOff>279400</xdr:colOff>
                    <xdr:row>1</xdr:row>
                    <xdr:rowOff>0</xdr:rowOff>
                  </from>
                  <to>
                    <xdr:col>9</xdr:col>
                    <xdr:colOff>698500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4" name="Spinner 5">
              <controlPr defaultSize="0" autoPict="0">
                <anchor moveWithCells="1" sizeWithCells="1">
                  <from>
                    <xdr:col>7</xdr:col>
                    <xdr:colOff>215900</xdr:colOff>
                    <xdr:row>0</xdr:row>
                    <xdr:rowOff>146050</xdr:rowOff>
                  </from>
                  <to>
                    <xdr:col>7</xdr:col>
                    <xdr:colOff>476250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5" name="Drop Down 6">
              <controlPr defaultSize="0" autoLine="0" autoPict="0">
                <anchor moveWithCells="1">
                  <from>
                    <xdr:col>0</xdr:col>
                    <xdr:colOff>158750</xdr:colOff>
                    <xdr:row>0</xdr:row>
                    <xdr:rowOff>146050</xdr:rowOff>
                  </from>
                  <to>
                    <xdr:col>2</xdr:col>
                    <xdr:colOff>215900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6" name="Check Box 7">
              <controlPr defaultSize="0" autoFill="0" autoLine="0" autoPict="0">
                <anchor moveWithCells="1">
                  <from>
                    <xdr:col>1</xdr:col>
                    <xdr:colOff>50800</xdr:colOff>
                    <xdr:row>18</xdr:row>
                    <xdr:rowOff>6350</xdr:rowOff>
                  </from>
                  <to>
                    <xdr:col>3</xdr:col>
                    <xdr:colOff>584200</xdr:colOff>
                    <xdr:row>19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7" name="Spinner 8">
              <controlPr defaultSize="0" autoPict="0">
                <anchor moveWithCells="1" sizeWithCells="1">
                  <from>
                    <xdr:col>12</xdr:col>
                    <xdr:colOff>25400</xdr:colOff>
                    <xdr:row>17</xdr:row>
                    <xdr:rowOff>38100</xdr:rowOff>
                  </from>
                  <to>
                    <xdr:col>12</xdr:col>
                    <xdr:colOff>196850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8" name="Spinner 9">
              <controlPr defaultSize="0" autoPict="0">
                <anchor moveWithCells="1" sizeWithCells="1">
                  <from>
                    <xdr:col>12</xdr:col>
                    <xdr:colOff>25400</xdr:colOff>
                    <xdr:row>18</xdr:row>
                    <xdr:rowOff>38100</xdr:rowOff>
                  </from>
                  <to>
                    <xdr:col>12</xdr:col>
                    <xdr:colOff>196850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9" name="Spinner 10">
              <controlPr defaultSize="0" autoPict="0">
                <anchor moveWithCells="1" sizeWithCells="1">
                  <from>
                    <xdr:col>12</xdr:col>
                    <xdr:colOff>25400</xdr:colOff>
                    <xdr:row>19</xdr:row>
                    <xdr:rowOff>38100</xdr:rowOff>
                  </from>
                  <to>
                    <xdr:col>12</xdr:col>
                    <xdr:colOff>196850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0" name="Spinner 11">
              <controlPr defaultSize="0" autoPict="0">
                <anchor moveWithCells="1" sizeWithCells="1">
                  <from>
                    <xdr:col>12</xdr:col>
                    <xdr:colOff>38100</xdr:colOff>
                    <xdr:row>22</xdr:row>
                    <xdr:rowOff>25400</xdr:rowOff>
                  </from>
                  <to>
                    <xdr:col>12</xdr:col>
                    <xdr:colOff>209550</xdr:colOff>
                    <xdr:row>22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1" name="Spinner 12">
              <controlPr defaultSize="0" autoPict="0">
                <anchor moveWithCells="1" sizeWithCells="1">
                  <from>
                    <xdr:col>12</xdr:col>
                    <xdr:colOff>31750</xdr:colOff>
                    <xdr:row>23</xdr:row>
                    <xdr:rowOff>25400</xdr:rowOff>
                  </from>
                  <to>
                    <xdr:col>12</xdr:col>
                    <xdr:colOff>203200</xdr:colOff>
                    <xdr:row>23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2" name="Spinner 13">
              <controlPr defaultSize="0" autoPict="0">
                <anchor moveWithCells="1" sizeWithCells="1">
                  <from>
                    <xdr:col>12</xdr:col>
                    <xdr:colOff>31750</xdr:colOff>
                    <xdr:row>24</xdr:row>
                    <xdr:rowOff>25400</xdr:rowOff>
                  </from>
                  <to>
                    <xdr:col>12</xdr:col>
                    <xdr:colOff>203200</xdr:colOff>
                    <xdr:row>24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3" name="Spinner 14">
              <controlPr defaultSize="0" autoPict="0">
                <anchor moveWithCells="1" sizeWithCells="1">
                  <from>
                    <xdr:col>12</xdr:col>
                    <xdr:colOff>31750</xdr:colOff>
                    <xdr:row>25</xdr:row>
                    <xdr:rowOff>25400</xdr:rowOff>
                  </from>
                  <to>
                    <xdr:col>12</xdr:col>
                    <xdr:colOff>203200</xdr:colOff>
                    <xdr:row>25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4" name="Spinner 15">
              <controlPr defaultSize="0" autoPict="0">
                <anchor moveWithCells="1" sizeWithCells="1">
                  <from>
                    <xdr:col>12</xdr:col>
                    <xdr:colOff>31750</xdr:colOff>
                    <xdr:row>26</xdr:row>
                    <xdr:rowOff>25400</xdr:rowOff>
                  </from>
                  <to>
                    <xdr:col>12</xdr:col>
                    <xdr:colOff>203200</xdr:colOff>
                    <xdr:row>26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C164"/>
  <sheetViews>
    <sheetView workbookViewId="0">
      <pane xSplit="8" ySplit="5" topLeftCell="V57" activePane="bottomRight" state="frozen"/>
      <selection pane="topRight" activeCell="J1" sqref="J1"/>
      <selection pane="bottomLeft" activeCell="A6" sqref="A6"/>
      <selection pane="bottomRight" activeCell="AC75" sqref="AC75"/>
    </sheetView>
  </sheetViews>
  <sheetFormatPr defaultColWidth="9.1796875" defaultRowHeight="12" outlineLevelCol="1" x14ac:dyDescent="0.3"/>
  <cols>
    <col min="1" max="2" width="1.54296875" style="26" customWidth="1"/>
    <col min="3" max="3" width="49.7265625" style="26" customWidth="1"/>
    <col min="4" max="5" width="8.08984375" style="26" customWidth="1"/>
    <col min="6" max="8" width="8.08984375" style="26" customWidth="1" outlineLevel="1"/>
    <col min="9" max="23" width="9" style="26" customWidth="1"/>
    <col min="24" max="33" width="8.7265625" style="26" customWidth="1"/>
    <col min="34" max="16384" width="9.1796875" style="26"/>
  </cols>
  <sheetData>
    <row r="1" spans="1:33" s="25" customFormat="1" x14ac:dyDescent="0.3">
      <c r="A1" s="25" t="s">
        <v>262</v>
      </c>
    </row>
    <row r="2" spans="1:33" x14ac:dyDescent="0.3">
      <c r="B2" s="26" t="s">
        <v>403</v>
      </c>
    </row>
    <row r="3" spans="1:33" x14ac:dyDescent="0.3">
      <c r="C3" s="26" t="s">
        <v>309</v>
      </c>
      <c r="H3" s="27">
        <v>2000</v>
      </c>
      <c r="I3" s="27">
        <v>2001</v>
      </c>
      <c r="J3" s="27">
        <v>2002</v>
      </c>
      <c r="K3" s="27">
        <v>2003</v>
      </c>
      <c r="L3" s="27">
        <v>2004</v>
      </c>
      <c r="M3" s="27">
        <v>2005</v>
      </c>
      <c r="N3" s="27">
        <v>2006</v>
      </c>
      <c r="O3" s="27">
        <v>2007</v>
      </c>
      <c r="P3" s="27">
        <v>2008</v>
      </c>
      <c r="Q3" s="27">
        <v>2009</v>
      </c>
      <c r="R3" s="27">
        <v>2010</v>
      </c>
      <c r="S3" s="27">
        <v>2011</v>
      </c>
      <c r="T3" s="27">
        <v>2012</v>
      </c>
      <c r="U3" s="27">
        <v>2013</v>
      </c>
      <c r="V3" s="27">
        <v>2014</v>
      </c>
      <c r="W3" s="27">
        <v>2015</v>
      </c>
      <c r="X3" s="27">
        <v>2016</v>
      </c>
      <c r="Y3" s="27">
        <v>2017</v>
      </c>
      <c r="Z3" s="27">
        <v>2018</v>
      </c>
      <c r="AA3" s="27">
        <v>2019</v>
      </c>
      <c r="AB3" s="27">
        <v>2020</v>
      </c>
      <c r="AC3" s="27">
        <v>2021</v>
      </c>
      <c r="AD3" s="27">
        <v>2022</v>
      </c>
      <c r="AE3" s="27">
        <v>2023</v>
      </c>
      <c r="AF3" s="27">
        <v>2024</v>
      </c>
      <c r="AG3" s="27">
        <v>2025</v>
      </c>
    </row>
    <row r="4" spans="1:33" x14ac:dyDescent="0.3">
      <c r="C4" s="26" t="s">
        <v>383</v>
      </c>
      <c r="D4" s="27">
        <v>2016</v>
      </c>
      <c r="I4" s="26" t="b">
        <f>AND(Valuation!I3&gt;=$D$4,Valuation!I3&lt;=$D$5)</f>
        <v>0</v>
      </c>
      <c r="J4" s="26" t="b">
        <f>AND(Valuation!J3&gt;=$D$4,Valuation!J3&lt;=$D$5)</f>
        <v>0</v>
      </c>
      <c r="K4" s="26" t="b">
        <f>AND(Valuation!K3&gt;=$D$4,Valuation!K3&lt;=$D$5)</f>
        <v>0</v>
      </c>
      <c r="L4" s="26" t="b">
        <f>AND(Valuation!L3&gt;=$D$4,Valuation!L3&lt;=$D$5)</f>
        <v>0</v>
      </c>
      <c r="M4" s="26" t="b">
        <f>AND(Valuation!M3&gt;=$D$4,Valuation!M3&lt;=$D$5)</f>
        <v>0</v>
      </c>
      <c r="N4" s="26" t="b">
        <f>AND(Valuation!N3&gt;=$D$4,Valuation!N3&lt;=$D$5)</f>
        <v>0</v>
      </c>
      <c r="O4" s="26" t="b">
        <f>AND(Valuation!O3&gt;=$D$4,Valuation!O3&lt;=$D$5)</f>
        <v>0</v>
      </c>
      <c r="P4" s="26" t="b">
        <f>AND(Valuation!P3&gt;=$D$4,Valuation!P3&lt;=$D$5)</f>
        <v>0</v>
      </c>
      <c r="Q4" s="26" t="b">
        <f>AND(Valuation!Q3&gt;=$D$4,Valuation!Q3&lt;=$D$5)</f>
        <v>0</v>
      </c>
      <c r="R4" s="26" t="b">
        <f>AND(Valuation!R3&gt;=$D$4,Valuation!R3&lt;=$D$5)</f>
        <v>0</v>
      </c>
      <c r="S4" s="26" t="b">
        <f>AND(Valuation!S3&gt;=$D$4,Valuation!S3&lt;=$D$5)</f>
        <v>0</v>
      </c>
      <c r="T4" s="26" t="b">
        <f>AND(Valuation!T3&gt;=$D$4,Valuation!T3&lt;=$D$5)</f>
        <v>0</v>
      </c>
      <c r="U4" s="26" t="b">
        <f>AND(Valuation!U3&gt;=$D$4,Valuation!U3&lt;=$D$5)</f>
        <v>0</v>
      </c>
      <c r="V4" s="26" t="b">
        <f>AND(Valuation!V3&gt;=$D$4,Valuation!V3&lt;=$D$5)</f>
        <v>0</v>
      </c>
      <c r="W4" s="26" t="b">
        <f>AND(Valuation!W3&gt;=$D$4,Valuation!W3&lt;=$D$5)</f>
        <v>0</v>
      </c>
      <c r="X4" s="26" t="b">
        <f>AND(Valuation!X3&gt;=$D$4,Valuation!X3&lt;=$D$5)</f>
        <v>1</v>
      </c>
      <c r="Y4" s="26" t="b">
        <f>AND(Valuation!Y3&gt;=$D$4,Valuation!Y3&lt;=$D$5)</f>
        <v>1</v>
      </c>
      <c r="Z4" s="26" t="b">
        <f>AND(Valuation!Z3&gt;=$D$4,Valuation!Z3&lt;=$D$5)</f>
        <v>1</v>
      </c>
      <c r="AA4" s="26" t="b">
        <f>AND(Valuation!AA3&gt;=$D$4,Valuation!AA3&lt;=$D$5)</f>
        <v>1</v>
      </c>
      <c r="AB4" s="26" t="b">
        <f>AND(Valuation!AB3&gt;=$D$4,Valuation!AB3&lt;=$D$5)</f>
        <v>1</v>
      </c>
      <c r="AC4" s="26" t="b">
        <f>AND(Valuation!AC3&gt;=$D$4,Valuation!AC3&lt;=$D$5)</f>
        <v>1</v>
      </c>
      <c r="AD4" s="26" t="b">
        <f>AND(Valuation!AD3&gt;=$D$4,Valuation!AD3&lt;=$D$5)</f>
        <v>0</v>
      </c>
      <c r="AE4" s="26" t="b">
        <f>AND(Valuation!AE3&gt;=$D$4,Valuation!AE3&lt;=$D$5)</f>
        <v>0</v>
      </c>
      <c r="AF4" s="26" t="b">
        <f>AND(Valuation!AF3&gt;=$D$4,Valuation!AF3&lt;=$D$5)</f>
        <v>0</v>
      </c>
      <c r="AG4" s="26" t="b">
        <f>AND(Valuation!AG3&gt;=$D$4,Valuation!AG3&lt;=$D$5)</f>
        <v>0</v>
      </c>
    </row>
    <row r="5" spans="1:33" x14ac:dyDescent="0.3">
      <c r="C5" s="26" t="s">
        <v>270</v>
      </c>
      <c r="D5" s="27">
        <v>2021</v>
      </c>
      <c r="I5" s="26" t="b">
        <f>Valuation!I3=$D$5</f>
        <v>0</v>
      </c>
      <c r="J5" s="26" t="b">
        <f>Valuation!J3=$D$5</f>
        <v>0</v>
      </c>
      <c r="K5" s="26" t="b">
        <f>Valuation!K3=$D$5</f>
        <v>0</v>
      </c>
      <c r="L5" s="26" t="b">
        <f>Valuation!L3=$D$5</f>
        <v>0</v>
      </c>
      <c r="M5" s="26" t="b">
        <f>Valuation!M3=$D$5</f>
        <v>0</v>
      </c>
      <c r="N5" s="26" t="b">
        <f>Valuation!N3=$D$5</f>
        <v>0</v>
      </c>
      <c r="O5" s="26" t="b">
        <f>Valuation!O3=$D$5</f>
        <v>0</v>
      </c>
      <c r="P5" s="26" t="b">
        <f>Valuation!P3=$D$5</f>
        <v>0</v>
      </c>
      <c r="Q5" s="26" t="b">
        <f>Valuation!Q3=$D$5</f>
        <v>0</v>
      </c>
      <c r="R5" s="26" t="b">
        <f>Valuation!R3=$D$5</f>
        <v>0</v>
      </c>
      <c r="S5" s="26" t="b">
        <f>Valuation!S3=$D$5</f>
        <v>0</v>
      </c>
      <c r="T5" s="26" t="b">
        <f>Valuation!T3=$D$5</f>
        <v>0</v>
      </c>
      <c r="U5" s="26" t="b">
        <f>Valuation!U3=$D$5</f>
        <v>0</v>
      </c>
      <c r="V5" s="26" t="b">
        <f>Valuation!V3=$D$5</f>
        <v>0</v>
      </c>
      <c r="W5" s="26" t="b">
        <f>Valuation!W3=$D$5</f>
        <v>0</v>
      </c>
      <c r="X5" s="26" t="b">
        <f>Valuation!X3=$D$5</f>
        <v>0</v>
      </c>
      <c r="Y5" s="26" t="b">
        <f>Valuation!Y3=$D$5</f>
        <v>0</v>
      </c>
      <c r="Z5" s="26" t="b">
        <f>Valuation!Z3=$D$5</f>
        <v>0</v>
      </c>
      <c r="AA5" s="26" t="b">
        <f>Valuation!AA3=$D$5</f>
        <v>0</v>
      </c>
      <c r="AB5" s="26" t="b">
        <f>Valuation!AB3=$D$5</f>
        <v>0</v>
      </c>
      <c r="AC5" s="26" t="b">
        <f>Valuation!AC3=$D$5</f>
        <v>1</v>
      </c>
      <c r="AD5" s="26" t="b">
        <f>Valuation!AD3=$D$5</f>
        <v>0</v>
      </c>
      <c r="AE5" s="26" t="b">
        <f>Valuation!AE3=$D$5</f>
        <v>0</v>
      </c>
      <c r="AF5" s="26" t="b">
        <f>Valuation!AF3=$D$5</f>
        <v>0</v>
      </c>
      <c r="AG5" s="26" t="b">
        <f>Valuation!AG3=$D$5</f>
        <v>0</v>
      </c>
    </row>
    <row r="7" spans="1:33" s="25" customFormat="1" x14ac:dyDescent="0.3">
      <c r="A7" s="25" t="s">
        <v>407</v>
      </c>
    </row>
    <row r="8" spans="1:33" x14ac:dyDescent="0.3">
      <c r="B8" s="26" t="s">
        <v>408</v>
      </c>
    </row>
    <row r="9" spans="1:33" x14ac:dyDescent="0.3">
      <c r="C9" s="26" t="s">
        <v>267</v>
      </c>
      <c r="D9" s="108">
        <f>I9/1000</f>
        <v>5.7000000000000002E-2</v>
      </c>
      <c r="I9" s="27">
        <v>57</v>
      </c>
    </row>
    <row r="10" spans="1:33" x14ac:dyDescent="0.3">
      <c r="C10" s="26" t="s">
        <v>268</v>
      </c>
      <c r="D10" s="108">
        <f>I10/1000</f>
        <v>1.2999999999999999E-2</v>
      </c>
      <c r="I10" s="27">
        <v>13</v>
      </c>
    </row>
    <row r="11" spans="1:33" x14ac:dyDescent="0.3">
      <c r="C11" s="26" t="s">
        <v>269</v>
      </c>
      <c r="D11" s="108">
        <f>I11/1000</f>
        <v>0</v>
      </c>
      <c r="I11" s="27">
        <v>0</v>
      </c>
    </row>
    <row r="12" spans="1:33" x14ac:dyDescent="0.3">
      <c r="C12" s="26" t="s">
        <v>271</v>
      </c>
      <c r="D12" s="28">
        <f>D9+D11</f>
        <v>5.7000000000000002E-2</v>
      </c>
      <c r="I12" s="27">
        <v>70</v>
      </c>
    </row>
    <row r="13" spans="1:33" x14ac:dyDescent="0.3">
      <c r="C13" s="26" t="s">
        <v>283</v>
      </c>
      <c r="D13" s="33">
        <f>I13/10</f>
        <v>10.5</v>
      </c>
      <c r="I13" s="27">
        <v>105</v>
      </c>
    </row>
    <row r="14" spans="1:33" x14ac:dyDescent="0.3">
      <c r="D14" s="33"/>
    </row>
    <row r="15" spans="1:33" x14ac:dyDescent="0.3">
      <c r="B15" s="26" t="s">
        <v>414</v>
      </c>
      <c r="D15" s="33"/>
    </row>
    <row r="16" spans="1:33" x14ac:dyDescent="0.3">
      <c r="C16" s="26" t="s">
        <v>415</v>
      </c>
      <c r="D16" s="33">
        <f>I16</f>
        <v>15</v>
      </c>
      <c r="I16" s="27">
        <v>15</v>
      </c>
    </row>
    <row r="17" spans="2:33" x14ac:dyDescent="0.3">
      <c r="C17" s="26" t="s">
        <v>442</v>
      </c>
      <c r="D17" s="33">
        <f>I17</f>
        <v>10</v>
      </c>
      <c r="I17" s="27">
        <v>10</v>
      </c>
    </row>
    <row r="18" spans="2:33" x14ac:dyDescent="0.3">
      <c r="C18" s="26" t="s">
        <v>485</v>
      </c>
      <c r="D18" s="40">
        <f>I18/1000</f>
        <v>1.0999999999999999E-2</v>
      </c>
      <c r="I18" s="27">
        <v>11</v>
      </c>
    </row>
    <row r="19" spans="2:33" x14ac:dyDescent="0.3">
      <c r="C19" s="26" t="s">
        <v>443</v>
      </c>
      <c r="D19" s="40">
        <f>(I19-1000)/1000</f>
        <v>-0.97299999999999998</v>
      </c>
      <c r="I19" s="27">
        <v>27</v>
      </c>
    </row>
    <row r="20" spans="2:33" x14ac:dyDescent="0.3">
      <c r="C20" s="26" t="s">
        <v>468</v>
      </c>
      <c r="D20" s="33">
        <f>I20</f>
        <v>10</v>
      </c>
      <c r="I20" s="27">
        <v>10</v>
      </c>
    </row>
    <row r="22" spans="2:33" x14ac:dyDescent="0.3">
      <c r="B22" s="26" t="s">
        <v>404</v>
      </c>
    </row>
    <row r="23" spans="2:33" x14ac:dyDescent="0.3">
      <c r="C23" s="26" t="s">
        <v>149</v>
      </c>
      <c r="I23" s="40" t="b">
        <f>IF(I4,'Assumptions and Free Cash Flow'!I184)</f>
        <v>0</v>
      </c>
      <c r="J23" s="40" t="b">
        <f>IF(J4,'Assumptions and Free Cash Flow'!J184)</f>
        <v>0</v>
      </c>
      <c r="K23" s="40" t="b">
        <f>IF(K4,'Assumptions and Free Cash Flow'!K184)</f>
        <v>0</v>
      </c>
      <c r="L23" s="40" t="b">
        <f>IF(L4,'Assumptions and Free Cash Flow'!L184)</f>
        <v>0</v>
      </c>
      <c r="M23" s="40" t="b">
        <f>IF(M4,'Assumptions and Free Cash Flow'!M184)</f>
        <v>0</v>
      </c>
      <c r="N23" s="40" t="b">
        <f>IF(N4,'Assumptions and Free Cash Flow'!N184)</f>
        <v>0</v>
      </c>
      <c r="O23" s="40" t="b">
        <f>IF(O4,'Assumptions and Free Cash Flow'!O184)</f>
        <v>0</v>
      </c>
      <c r="P23" s="40" t="b">
        <f>IF(P4,'Assumptions and Free Cash Flow'!P184)</f>
        <v>0</v>
      </c>
      <c r="Q23" s="40" t="b">
        <f>IF(Q4,'Assumptions and Free Cash Flow'!Q184)</f>
        <v>0</v>
      </c>
      <c r="R23" s="40" t="b">
        <f>IF(R4,'Assumptions and Free Cash Flow'!R184)</f>
        <v>0</v>
      </c>
      <c r="S23" s="40" t="b">
        <f>IF(S4,'Assumptions and Free Cash Flow'!S184)</f>
        <v>0</v>
      </c>
      <c r="T23" s="40" t="b">
        <f>IF(T4,'Assumptions and Free Cash Flow'!T184)</f>
        <v>0</v>
      </c>
      <c r="U23" s="40" t="b">
        <f>IF(U4,'Assumptions and Free Cash Flow'!U184)</f>
        <v>0</v>
      </c>
      <c r="V23" s="40" t="b">
        <f>IF(V4,'Assumptions and Free Cash Flow'!V184)</f>
        <v>0</v>
      </c>
      <c r="W23" s="40" t="b">
        <f>IF(W4,'Assumptions and Free Cash Flow'!W184)</f>
        <v>0</v>
      </c>
      <c r="X23" s="40">
        <f>IF(X4,'Assumptions and Free Cash Flow'!X184)</f>
        <v>0.25</v>
      </c>
      <c r="Y23" s="40">
        <f>IF(Y4,'Assumptions and Free Cash Flow'!Y184)</f>
        <v>0.25</v>
      </c>
      <c r="Z23" s="40">
        <f>IF(Z4,'Assumptions and Free Cash Flow'!Z184)</f>
        <v>0.25</v>
      </c>
      <c r="AA23" s="40">
        <f>IF(AA4,'Assumptions and Free Cash Flow'!AA184)</f>
        <v>0.25</v>
      </c>
      <c r="AB23" s="40">
        <f>IF(AB4,'Assumptions and Free Cash Flow'!AB184)</f>
        <v>0.25</v>
      </c>
      <c r="AC23" s="40">
        <f>IF(AC4,'Assumptions and Free Cash Flow'!AC184)</f>
        <v>0.25</v>
      </c>
      <c r="AD23" s="40" t="b">
        <f>IF(AD4,'Assumptions and Free Cash Flow'!AD184)</f>
        <v>0</v>
      </c>
      <c r="AE23" s="40" t="b">
        <f>IF(AE4,'Assumptions and Free Cash Flow'!AE184)</f>
        <v>0</v>
      </c>
      <c r="AF23" s="40" t="b">
        <f>IF(AF4,'Assumptions and Free Cash Flow'!AF184)</f>
        <v>0</v>
      </c>
      <c r="AG23" s="40" t="b">
        <f>IF(AG4,'Assumptions and Free Cash Flow'!AG184)</f>
        <v>0</v>
      </c>
    </row>
    <row r="24" spans="2:33" x14ac:dyDescent="0.3">
      <c r="C24" s="26" t="s">
        <v>484</v>
      </c>
      <c r="I24" s="35" t="b">
        <f>IF(I4,'Assumptions and Free Cash Flow'!I163)</f>
        <v>0</v>
      </c>
      <c r="J24" s="35" t="b">
        <f>IF(J4,'Assumptions and Free Cash Flow'!J163)</f>
        <v>0</v>
      </c>
      <c r="K24" s="35" t="b">
        <f>IF(K4,'Assumptions and Free Cash Flow'!K163)</f>
        <v>0</v>
      </c>
      <c r="L24" s="35" t="b">
        <f>IF(L4,'Assumptions and Free Cash Flow'!L163)</f>
        <v>0</v>
      </c>
      <c r="M24" s="35" t="b">
        <f>IF(M4,'Assumptions and Free Cash Flow'!M163)</f>
        <v>0</v>
      </c>
      <c r="N24" s="35" t="b">
        <f>IF(N4,'Assumptions and Free Cash Flow'!N163)</f>
        <v>0</v>
      </c>
      <c r="O24" s="35" t="b">
        <f>IF(O4,'Assumptions and Free Cash Flow'!O163)</f>
        <v>0</v>
      </c>
      <c r="P24" s="35" t="b">
        <f>IF(P4,'Assumptions and Free Cash Flow'!P163)</f>
        <v>0</v>
      </c>
      <c r="Q24" s="35" t="b">
        <f>IF(Q4,'Assumptions and Free Cash Flow'!Q163)</f>
        <v>0</v>
      </c>
      <c r="R24" s="35" t="b">
        <f>IF(R4,'Assumptions and Free Cash Flow'!R163)</f>
        <v>0</v>
      </c>
      <c r="S24" s="35" t="b">
        <f>IF(S4,'Assumptions and Free Cash Flow'!S163)</f>
        <v>0</v>
      </c>
      <c r="T24" s="35" t="b">
        <f>IF(T4,'Assumptions and Free Cash Flow'!T163)</f>
        <v>0</v>
      </c>
      <c r="U24" s="35" t="b">
        <f>IF(U4,'Assumptions and Free Cash Flow'!U163)</f>
        <v>0</v>
      </c>
      <c r="V24" s="35" t="b">
        <f>IF(V4,'Assumptions and Free Cash Flow'!V163)</f>
        <v>0</v>
      </c>
      <c r="W24" s="35" t="b">
        <f>IF(W4,'Assumptions and Free Cash Flow'!W163)</f>
        <v>0</v>
      </c>
      <c r="X24" s="35">
        <f>IF(X4,'Assumptions and Free Cash Flow'!X163)</f>
        <v>4535.26</v>
      </c>
      <c r="Y24" s="35">
        <f>IF(Y4,'Assumptions and Free Cash Flow'!Y163)</f>
        <v>4699.2658000000001</v>
      </c>
      <c r="Z24" s="35">
        <f>IF(Z4,'Assumptions and Free Cash Flow'!Z163)</f>
        <v>4835.3906139999999</v>
      </c>
      <c r="AA24" s="35">
        <f>IF(AA4,'Assumptions and Free Cash Flow'!AA163)</f>
        <v>4948.3742096199994</v>
      </c>
      <c r="AB24" s="35">
        <f>IF(AB4,'Assumptions and Free Cash Flow'!AB163)</f>
        <v>5042.1505939845993</v>
      </c>
      <c r="AC24" s="35">
        <f>IF(AC4,'Assumptions and Free Cash Flow'!AC163)</f>
        <v>5119.9849930072169</v>
      </c>
      <c r="AD24" s="35" t="b">
        <f>IF(AD4,'Assumptions and Free Cash Flow'!AD163)</f>
        <v>0</v>
      </c>
      <c r="AE24" s="35" t="b">
        <f>IF(AE4,'Assumptions and Free Cash Flow'!AE163)</f>
        <v>0</v>
      </c>
      <c r="AF24" s="35" t="b">
        <f>IF(AF4,'Assumptions and Free Cash Flow'!AF163)</f>
        <v>0</v>
      </c>
      <c r="AG24" s="35" t="b">
        <f>IF(AG4,'Assumptions and Free Cash Flow'!AG163)</f>
        <v>0</v>
      </c>
    </row>
    <row r="25" spans="2:33" x14ac:dyDescent="0.3">
      <c r="C25" s="26" t="s">
        <v>494</v>
      </c>
      <c r="I25" s="112" t="b">
        <f>IF(I4,'Assumptions and Free Cash Flow'!I152)</f>
        <v>0</v>
      </c>
      <c r="J25" s="112" t="b">
        <f>IF(J4,'Assumptions and Free Cash Flow'!J152)</f>
        <v>0</v>
      </c>
      <c r="K25" s="112" t="b">
        <f>IF(K4,'Assumptions and Free Cash Flow'!K152)</f>
        <v>0</v>
      </c>
      <c r="L25" s="112" t="b">
        <f>IF(L4,'Assumptions and Free Cash Flow'!L152)</f>
        <v>0</v>
      </c>
      <c r="M25" s="112" t="b">
        <f>IF(M4,'Assumptions and Free Cash Flow'!M152)</f>
        <v>0</v>
      </c>
      <c r="N25" s="112" t="b">
        <f>IF(N4,'Assumptions and Free Cash Flow'!N152)</f>
        <v>0</v>
      </c>
      <c r="O25" s="112" t="b">
        <f>IF(O4,'Assumptions and Free Cash Flow'!O152)</f>
        <v>0</v>
      </c>
      <c r="P25" s="112" t="b">
        <f>IF(P4,'Assumptions and Free Cash Flow'!P152)</f>
        <v>0</v>
      </c>
      <c r="Q25" s="112" t="b">
        <f>IF(Q4,'Assumptions and Free Cash Flow'!Q152)</f>
        <v>0</v>
      </c>
      <c r="R25" s="112" t="b">
        <f>IF(R4,'Assumptions and Free Cash Flow'!R152)</f>
        <v>0</v>
      </c>
      <c r="S25" s="112" t="b">
        <f>IF(S4,'Assumptions and Free Cash Flow'!S152)</f>
        <v>0</v>
      </c>
      <c r="T25" s="112" t="b">
        <f>IF(T4,'Assumptions and Free Cash Flow'!T152)</f>
        <v>0</v>
      </c>
      <c r="U25" s="112" t="b">
        <f>IF(U4,'Assumptions and Free Cash Flow'!U152)</f>
        <v>0</v>
      </c>
      <c r="V25" s="112" t="b">
        <f>IF(V4,'Assumptions and Free Cash Flow'!V152)</f>
        <v>0</v>
      </c>
      <c r="W25" s="112" t="b">
        <f>IF(W4,'Assumptions and Free Cash Flow'!W152)</f>
        <v>0</v>
      </c>
      <c r="X25" s="112">
        <f>IF(X4,'Assumptions and Free Cash Flow'!X152)</f>
        <v>-1.0262065019124953</v>
      </c>
      <c r="Y25" s="112">
        <f>IF(Y4,'Assumptions and Free Cash Flow'!Y152)</f>
        <v>-1.0265287227399589</v>
      </c>
      <c r="Z25" s="112">
        <f>IF(Z4,'Assumptions and Free Cash Flow'!Z152)</f>
        <v>-1.0268544038143024</v>
      </c>
      <c r="AA25" s="112">
        <f>IF(AA4,'Assumptions and Free Cash Flow'!AA152)</f>
        <v>-1.0268544038143024</v>
      </c>
      <c r="AB25" s="112">
        <f>IF(AB4,'Assumptions and Free Cash Flow'!AB152)</f>
        <v>-1.0268544038143024</v>
      </c>
      <c r="AC25" s="112">
        <f>IF(AC4,'Assumptions and Free Cash Flow'!AC152)</f>
        <v>-1.0268544038143024</v>
      </c>
      <c r="AD25" s="112" t="b">
        <f>IF(AD4,'Assumptions and Free Cash Flow'!AD152)</f>
        <v>0</v>
      </c>
      <c r="AE25" s="112" t="b">
        <f>IF(AE4,'Assumptions and Free Cash Flow'!AE152)</f>
        <v>0</v>
      </c>
      <c r="AF25" s="112" t="b">
        <f>IF(AF4,'Assumptions and Free Cash Flow'!AF152)</f>
        <v>0</v>
      </c>
      <c r="AG25" s="112" t="b">
        <f>IF(AG4,'Assumptions and Free Cash Flow'!AG152)</f>
        <v>0</v>
      </c>
    </row>
    <row r="26" spans="2:33" x14ac:dyDescent="0.3"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</row>
    <row r="27" spans="2:33" x14ac:dyDescent="0.3">
      <c r="C27" s="26" t="s">
        <v>140</v>
      </c>
      <c r="I27" s="30" t="b">
        <f>IF(I4,'Assumptions and Free Cash Flow'!I139)</f>
        <v>0</v>
      </c>
      <c r="J27" s="30" t="b">
        <f>IF(J4,'Assumptions and Free Cash Flow'!J139)</f>
        <v>0</v>
      </c>
      <c r="K27" s="30" t="b">
        <f>IF(K4,'Assumptions and Free Cash Flow'!K139)</f>
        <v>0</v>
      </c>
      <c r="L27" s="30" t="b">
        <f>IF(L4,'Assumptions and Free Cash Flow'!L139)</f>
        <v>0</v>
      </c>
      <c r="M27" s="30" t="b">
        <f>IF(M4,'Assumptions and Free Cash Flow'!M139)</f>
        <v>0</v>
      </c>
      <c r="N27" s="30" t="b">
        <f>IF(N4,'Assumptions and Free Cash Flow'!N139)</f>
        <v>0</v>
      </c>
      <c r="O27" s="30" t="b">
        <f>IF(O4,'Assumptions and Free Cash Flow'!O139)</f>
        <v>0</v>
      </c>
      <c r="P27" s="30" t="b">
        <f>IF(P4,'Assumptions and Free Cash Flow'!P139)</f>
        <v>0</v>
      </c>
      <c r="Q27" s="30" t="b">
        <f>IF(Q4,'Assumptions and Free Cash Flow'!Q139)</f>
        <v>0</v>
      </c>
      <c r="R27" s="30" t="b">
        <f>IF(R4,'Assumptions and Free Cash Flow'!R139)</f>
        <v>0</v>
      </c>
      <c r="S27" s="30" t="b">
        <f>IF(S4,'Assumptions and Free Cash Flow'!S139)</f>
        <v>0</v>
      </c>
      <c r="T27" s="30" t="b">
        <f>IF(T4,'Assumptions and Free Cash Flow'!T139)</f>
        <v>0</v>
      </c>
      <c r="U27" s="30" t="b">
        <f>IF(U4,'Assumptions and Free Cash Flow'!U139)</f>
        <v>0</v>
      </c>
      <c r="V27" s="30" t="b">
        <f>IF(V4,'Assumptions and Free Cash Flow'!V139)</f>
        <v>0</v>
      </c>
      <c r="W27" s="30" t="b">
        <f>IF(W4,'Assumptions and Free Cash Flow'!W139)</f>
        <v>0</v>
      </c>
      <c r="X27" s="30">
        <f>IF(X4,'Assumptions and Free Cash Flow'!X139)</f>
        <v>11295.082800000006</v>
      </c>
      <c r="Y27" s="30">
        <f>IF(Y4,'Assumptions and Free Cash Flow'!Y139)</f>
        <v>11178.621972000001</v>
      </c>
      <c r="Z27" s="30">
        <f>IF(Z4,'Assumptions and Free Cash Flow'!Z139)</f>
        <v>11063.325752280001</v>
      </c>
      <c r="AA27" s="30">
        <f>IF(AA4,'Assumptions and Free Cash Flow'!AA139)</f>
        <v>11063.325752280001</v>
      </c>
      <c r="AB27" s="30">
        <f>IF(AB4,'Assumptions and Free Cash Flow'!AB139)</f>
        <v>11063.325752280001</v>
      </c>
      <c r="AC27" s="30">
        <f>IF(AC4,'Assumptions and Free Cash Flow'!AC139)</f>
        <v>11063.325752280001</v>
      </c>
      <c r="AD27" s="30" t="b">
        <f>IF(AD4,'Assumptions and Free Cash Flow'!AD139)</f>
        <v>0</v>
      </c>
      <c r="AE27" s="30" t="b">
        <f>IF(AE4,'Assumptions and Free Cash Flow'!AE139)</f>
        <v>0</v>
      </c>
      <c r="AF27" s="30" t="b">
        <f>IF(AF4,'Assumptions and Free Cash Flow'!AF139)</f>
        <v>0</v>
      </c>
      <c r="AG27" s="30" t="b">
        <f>IF(AG4,'Assumptions and Free Cash Flow'!AG139)</f>
        <v>0</v>
      </c>
    </row>
    <row r="28" spans="2:33" x14ac:dyDescent="0.3">
      <c r="C28" s="26" t="s">
        <v>248</v>
      </c>
      <c r="I28" s="30" t="b">
        <f>IF(I4,'Assumptions and Free Cash Flow'!I150)</f>
        <v>0</v>
      </c>
      <c r="J28" s="30" t="b">
        <f>IF(J4,'Assumptions and Free Cash Flow'!J150)</f>
        <v>0</v>
      </c>
      <c r="K28" s="30" t="b">
        <f>IF(K4,'Assumptions and Free Cash Flow'!K150)</f>
        <v>0</v>
      </c>
      <c r="L28" s="30" t="b">
        <f>IF(L4,'Assumptions and Free Cash Flow'!L150)</f>
        <v>0</v>
      </c>
      <c r="M28" s="30" t="b">
        <f>IF(M4,'Assumptions and Free Cash Flow'!M150)</f>
        <v>0</v>
      </c>
      <c r="N28" s="30" t="b">
        <f>IF(N4,'Assumptions and Free Cash Flow'!N150)</f>
        <v>0</v>
      </c>
      <c r="O28" s="30" t="b">
        <f>IF(O4,'Assumptions and Free Cash Flow'!O150)</f>
        <v>0</v>
      </c>
      <c r="P28" s="30" t="b">
        <f>IF(P4,'Assumptions and Free Cash Flow'!P150)</f>
        <v>0</v>
      </c>
      <c r="Q28" s="30" t="b">
        <f>IF(Q4,'Assumptions and Free Cash Flow'!Q150)</f>
        <v>0</v>
      </c>
      <c r="R28" s="30" t="b">
        <f>IF(R4,'Assumptions and Free Cash Flow'!R150)</f>
        <v>0</v>
      </c>
      <c r="S28" s="30" t="b">
        <f>IF(S4,'Assumptions and Free Cash Flow'!S150)</f>
        <v>0</v>
      </c>
      <c r="T28" s="30" t="b">
        <f>IF(T4,'Assumptions and Free Cash Flow'!T150)</f>
        <v>0</v>
      </c>
      <c r="U28" s="30" t="b">
        <f>IF(U4,'Assumptions and Free Cash Flow'!U150)</f>
        <v>0</v>
      </c>
      <c r="V28" s="30" t="b">
        <f>IF(V4,'Assumptions and Free Cash Flow'!V150)</f>
        <v>0</v>
      </c>
      <c r="W28" s="30" t="b">
        <f>IF(W4,'Assumptions and Free Cash Flow'!W150)</f>
        <v>0</v>
      </c>
      <c r="X28" s="30">
        <f>IF(X4,'Assumptions and Free Cash Flow'!X150)</f>
        <v>926.91259100000207</v>
      </c>
      <c r="Y28" s="30">
        <f>IF(Y4,'Assumptions and Free Cash Flow'!Y150)</f>
        <v>115.91087408999738</v>
      </c>
      <c r="Z28" s="30">
        <f>IF(Z4,'Assumptions and Free Cash Flow'!Z150)</f>
        <v>114.75176534910133</v>
      </c>
      <c r="AA28" s="30">
        <f>IF(AA4,'Assumptions and Free Cash Flow'!AA150)</f>
        <v>0</v>
      </c>
      <c r="AB28" s="30">
        <f>IF(AB4,'Assumptions and Free Cash Flow'!AB150)</f>
        <v>0</v>
      </c>
      <c r="AC28" s="30">
        <f>IF(AC4,'Assumptions and Free Cash Flow'!AC150)</f>
        <v>0</v>
      </c>
      <c r="AD28" s="30" t="b">
        <f>IF(AD4,'Assumptions and Free Cash Flow'!AD150)</f>
        <v>0</v>
      </c>
      <c r="AE28" s="30" t="b">
        <f>IF(AE4,'Assumptions and Free Cash Flow'!AE150)</f>
        <v>0</v>
      </c>
      <c r="AF28" s="30" t="b">
        <f>IF(AF4,'Assumptions and Free Cash Flow'!AF150)</f>
        <v>0</v>
      </c>
      <c r="AG28" s="30" t="b">
        <f>IF(AG4,'Assumptions and Free Cash Flow'!AG150)</f>
        <v>0</v>
      </c>
    </row>
    <row r="29" spans="2:33" x14ac:dyDescent="0.3">
      <c r="C29" s="26" t="s">
        <v>263</v>
      </c>
      <c r="I29" s="30" t="b">
        <f>IF(I4,'Assumptions and Free Cash Flow'!I156)</f>
        <v>0</v>
      </c>
      <c r="J29" s="30" t="b">
        <f>IF(J4,'Assumptions and Free Cash Flow'!J156)</f>
        <v>0</v>
      </c>
      <c r="K29" s="30" t="b">
        <f>IF(K4,'Assumptions and Free Cash Flow'!K156)</f>
        <v>0</v>
      </c>
      <c r="L29" s="30" t="b">
        <f>IF(L4,'Assumptions and Free Cash Flow'!L156)</f>
        <v>0</v>
      </c>
      <c r="M29" s="30" t="b">
        <f>IF(M4,'Assumptions and Free Cash Flow'!M156)</f>
        <v>0</v>
      </c>
      <c r="N29" s="30" t="b">
        <f>IF(N4,'Assumptions and Free Cash Flow'!N156)</f>
        <v>0</v>
      </c>
      <c r="O29" s="30" t="b">
        <f>IF(O4,'Assumptions and Free Cash Flow'!O156)</f>
        <v>0</v>
      </c>
      <c r="P29" s="30" t="b">
        <f>IF(P4,'Assumptions and Free Cash Flow'!P156)</f>
        <v>0</v>
      </c>
      <c r="Q29" s="30" t="b">
        <f>IF(Q4,'Assumptions and Free Cash Flow'!Q156)</f>
        <v>0</v>
      </c>
      <c r="R29" s="30" t="b">
        <f>IF(R4,'Assumptions and Free Cash Flow'!R156)</f>
        <v>0</v>
      </c>
      <c r="S29" s="30" t="b">
        <f>IF(S4,'Assumptions and Free Cash Flow'!S156)</f>
        <v>0</v>
      </c>
      <c r="T29" s="30" t="b">
        <f>IF(T4,'Assumptions and Free Cash Flow'!T156)</f>
        <v>0</v>
      </c>
      <c r="U29" s="30" t="b">
        <f>IF(U4,'Assumptions and Free Cash Flow'!U156)</f>
        <v>0</v>
      </c>
      <c r="V29" s="30" t="b">
        <f>IF(V4,'Assumptions and Free Cash Flow'!V156)</f>
        <v>0</v>
      </c>
      <c r="W29" s="30" t="b">
        <f>IF(W4,'Assumptions and Free Cash Flow'!W156)</f>
        <v>0</v>
      </c>
      <c r="X29" s="30">
        <f>IF(X4,'Assumptions and Free Cash Flow'!X156)</f>
        <v>5500</v>
      </c>
      <c r="Y29" s="30">
        <f>IF(Y4,'Assumptions and Free Cash Flow'!Y156)</f>
        <v>5500</v>
      </c>
      <c r="Z29" s="30">
        <f>IF(Z4,'Assumptions and Free Cash Flow'!Z156)</f>
        <v>5500</v>
      </c>
      <c r="AA29" s="30">
        <f>IF(AA4,'Assumptions and Free Cash Flow'!AA156)</f>
        <v>5500</v>
      </c>
      <c r="AB29" s="30">
        <f>IF(AB4,'Assumptions and Free Cash Flow'!AB156)</f>
        <v>5500</v>
      </c>
      <c r="AC29" s="30">
        <f>IF(AC4,'Assumptions and Free Cash Flow'!AC156)</f>
        <v>5500</v>
      </c>
      <c r="AD29" s="30" t="b">
        <f>IF(AD4,'Assumptions and Free Cash Flow'!AD156)</f>
        <v>0</v>
      </c>
      <c r="AE29" s="30" t="b">
        <f>IF(AE4,'Assumptions and Free Cash Flow'!AE156)</f>
        <v>0</v>
      </c>
      <c r="AF29" s="30" t="b">
        <f>IF(AF4,'Assumptions and Free Cash Flow'!AF156)</f>
        <v>0</v>
      </c>
      <c r="AG29" s="30" t="b">
        <f>IF(AG4,'Assumptions and Free Cash Flow'!AG156)</f>
        <v>0</v>
      </c>
    </row>
    <row r="30" spans="2:33" x14ac:dyDescent="0.3">
      <c r="C30" s="26" t="s">
        <v>264</v>
      </c>
      <c r="I30" s="30" t="b">
        <f>IF(I4,'Assumptions and Free Cash Flow'!I185)</f>
        <v>0</v>
      </c>
      <c r="J30" s="30" t="b">
        <f>IF(J4,'Assumptions and Free Cash Flow'!J185)</f>
        <v>0</v>
      </c>
      <c r="K30" s="30" t="b">
        <f>IF(K4,'Assumptions and Free Cash Flow'!K185)</f>
        <v>0</v>
      </c>
      <c r="L30" s="30" t="b">
        <f>IF(L4,'Assumptions and Free Cash Flow'!L185)</f>
        <v>0</v>
      </c>
      <c r="M30" s="30" t="b">
        <f>IF(M4,'Assumptions and Free Cash Flow'!M185)</f>
        <v>0</v>
      </c>
      <c r="N30" s="30" t="b">
        <f>IF(N4,'Assumptions and Free Cash Flow'!N185)</f>
        <v>0</v>
      </c>
      <c r="O30" s="30" t="b">
        <f>IF(O4,'Assumptions and Free Cash Flow'!O185)</f>
        <v>0</v>
      </c>
      <c r="P30" s="30" t="b">
        <f>IF(P4,'Assumptions and Free Cash Flow'!P185)</f>
        <v>0</v>
      </c>
      <c r="Q30" s="30" t="b">
        <f>IF(Q4,'Assumptions and Free Cash Flow'!Q185)</f>
        <v>0</v>
      </c>
      <c r="R30" s="30" t="b">
        <f>IF(R4,'Assumptions and Free Cash Flow'!R185)</f>
        <v>0</v>
      </c>
      <c r="S30" s="30" t="b">
        <f>IF(S4,'Assumptions and Free Cash Flow'!S185)</f>
        <v>0</v>
      </c>
      <c r="T30" s="30" t="b">
        <f>IF(T4,'Assumptions and Free Cash Flow'!T185)</f>
        <v>0</v>
      </c>
      <c r="U30" s="30" t="b">
        <f>IF(U4,'Assumptions and Free Cash Flow'!U185)</f>
        <v>0</v>
      </c>
      <c r="V30" s="30" t="b">
        <f>IF(V4,'Assumptions and Free Cash Flow'!V185)</f>
        <v>0</v>
      </c>
      <c r="W30" s="30" t="b">
        <f>IF(W4,'Assumptions and Free Cash Flow'!W185)</f>
        <v>0</v>
      </c>
      <c r="X30" s="30">
        <f>IF(X4,'Assumptions and Free Cash Flow'!X185)</f>
        <v>1689.9557000000013</v>
      </c>
      <c r="Y30" s="30">
        <f>IF(Y4,'Assumptions and Free Cash Flow'!Y185)</f>
        <v>1619.8390430000002</v>
      </c>
      <c r="Z30" s="30">
        <f>IF(Z4,'Assumptions and Free Cash Flow'!Z185)</f>
        <v>1556.9837845700004</v>
      </c>
      <c r="AA30" s="30">
        <f>IF(AA4,'Assumptions and Free Cash Flow'!AA185)</f>
        <v>1528.7378856650005</v>
      </c>
      <c r="AB30" s="30">
        <f>IF(AB4,'Assumptions and Free Cash Flow'!AB185)</f>
        <v>1505.2937895738505</v>
      </c>
      <c r="AC30" s="30">
        <f>IF(AC4,'Assumptions and Free Cash Flow'!AC185)</f>
        <v>1485.8351898181961</v>
      </c>
      <c r="AD30" s="30" t="b">
        <f>IF(AD4,'Assumptions and Free Cash Flow'!AD185)</f>
        <v>0</v>
      </c>
      <c r="AE30" s="30" t="b">
        <f>IF(AE4,'Assumptions and Free Cash Flow'!AE185)</f>
        <v>0</v>
      </c>
      <c r="AF30" s="30" t="b">
        <f>IF(AF4,'Assumptions and Free Cash Flow'!AF185)</f>
        <v>0</v>
      </c>
      <c r="AG30" s="30" t="b">
        <f>IF(AG4,'Assumptions and Free Cash Flow'!AG185)</f>
        <v>0</v>
      </c>
    </row>
    <row r="31" spans="2:33" ht="12.5" thickBot="1" x14ac:dyDescent="0.35">
      <c r="C31" s="68" t="s">
        <v>265</v>
      </c>
      <c r="D31" s="68"/>
      <c r="E31" s="68"/>
      <c r="F31" s="68"/>
      <c r="G31" s="68"/>
      <c r="H31" s="68"/>
      <c r="I31" s="101" t="b">
        <f t="shared" ref="I31:AG31" si="0">IF(I4,I27-I28-I29-I30)</f>
        <v>0</v>
      </c>
      <c r="J31" s="101" t="b">
        <f t="shared" si="0"/>
        <v>0</v>
      </c>
      <c r="K31" s="101" t="b">
        <f t="shared" si="0"/>
        <v>0</v>
      </c>
      <c r="L31" s="101" t="b">
        <f t="shared" si="0"/>
        <v>0</v>
      </c>
      <c r="M31" s="101" t="b">
        <f t="shared" si="0"/>
        <v>0</v>
      </c>
      <c r="N31" s="101" t="b">
        <f t="shared" si="0"/>
        <v>0</v>
      </c>
      <c r="O31" s="101" t="b">
        <f t="shared" si="0"/>
        <v>0</v>
      </c>
      <c r="P31" s="101" t="b">
        <f t="shared" si="0"/>
        <v>0</v>
      </c>
      <c r="Q31" s="101" t="b">
        <f t="shared" si="0"/>
        <v>0</v>
      </c>
      <c r="R31" s="101" t="b">
        <f t="shared" si="0"/>
        <v>0</v>
      </c>
      <c r="S31" s="101" t="b">
        <f t="shared" si="0"/>
        <v>0</v>
      </c>
      <c r="T31" s="101" t="b">
        <f t="shared" si="0"/>
        <v>0</v>
      </c>
      <c r="U31" s="101" t="b">
        <f t="shared" si="0"/>
        <v>0</v>
      </c>
      <c r="V31" s="101" t="b">
        <f t="shared" si="0"/>
        <v>0</v>
      </c>
      <c r="W31" s="101" t="b">
        <f t="shared" si="0"/>
        <v>0</v>
      </c>
      <c r="X31" s="101">
        <f t="shared" si="0"/>
        <v>3178.2145090000022</v>
      </c>
      <c r="Y31" s="101">
        <f t="shared" si="0"/>
        <v>3942.8720549100035</v>
      </c>
      <c r="Z31" s="101">
        <f t="shared" si="0"/>
        <v>3891.5902023608996</v>
      </c>
      <c r="AA31" s="101">
        <f t="shared" si="0"/>
        <v>4034.5878666150011</v>
      </c>
      <c r="AB31" s="101">
        <f t="shared" si="0"/>
        <v>4058.0319627061508</v>
      </c>
      <c r="AC31" s="101">
        <f t="shared" si="0"/>
        <v>4077.490562461805</v>
      </c>
      <c r="AD31" s="101" t="b">
        <f t="shared" si="0"/>
        <v>0</v>
      </c>
      <c r="AE31" s="101" t="b">
        <f t="shared" si="0"/>
        <v>0</v>
      </c>
      <c r="AF31" s="101" t="b">
        <f t="shared" si="0"/>
        <v>0</v>
      </c>
      <c r="AG31" s="101" t="b">
        <f t="shared" si="0"/>
        <v>0</v>
      </c>
    </row>
    <row r="32" spans="2:33" x14ac:dyDescent="0.3">
      <c r="D32" s="31" t="s">
        <v>384</v>
      </c>
      <c r="E32" s="31" t="s">
        <v>385</v>
      </c>
    </row>
    <row r="33" spans="1:33" x14ac:dyDescent="0.3">
      <c r="B33" s="26" t="s">
        <v>405</v>
      </c>
      <c r="D33" s="31"/>
      <c r="E33" s="31"/>
    </row>
    <row r="34" spans="1:33" x14ac:dyDescent="0.3">
      <c r="C34" s="88" t="s">
        <v>386</v>
      </c>
      <c r="D34" s="33">
        <f>NPV(D9,31:31)</f>
        <v>19062.921701278872</v>
      </c>
      <c r="E34" s="33">
        <f>D34*(1+$D$9)^0.5</f>
        <v>19598.686125989851</v>
      </c>
    </row>
    <row r="36" spans="1:33" s="25" customFormat="1" x14ac:dyDescent="0.3">
      <c r="A36" s="25" t="s">
        <v>406</v>
      </c>
    </row>
    <row r="37" spans="1:33" x14ac:dyDescent="0.3">
      <c r="B37" s="26" t="s">
        <v>279</v>
      </c>
    </row>
    <row r="38" spans="1:33" x14ac:dyDescent="0.3">
      <c r="C38" s="26" t="s">
        <v>446</v>
      </c>
      <c r="I38" s="35">
        <f>'Assumptions and Free Cash Flow'!I172</f>
        <v>0</v>
      </c>
      <c r="J38" s="35">
        <f>'Assumptions and Free Cash Flow'!J172</f>
        <v>0</v>
      </c>
      <c r="K38" s="35">
        <f>'Assumptions and Free Cash Flow'!K172</f>
        <v>0</v>
      </c>
      <c r="L38" s="35">
        <f>'Assumptions and Free Cash Flow'!L172</f>
        <v>0</v>
      </c>
      <c r="M38" s="35">
        <f>'Assumptions and Free Cash Flow'!M172</f>
        <v>41658</v>
      </c>
      <c r="N38" s="35">
        <f>'Assumptions and Free Cash Flow'!N172</f>
        <v>41299.5</v>
      </c>
      <c r="O38" s="35">
        <f>'Assumptions and Free Cash Flow'!O172</f>
        <v>41900</v>
      </c>
      <c r="P38" s="35">
        <f>'Assumptions and Free Cash Flow'!P172</f>
        <v>74931</v>
      </c>
      <c r="Q38" s="35">
        <f>'Assumptions and Free Cash Flow'!Q172</f>
        <v>102014.5</v>
      </c>
      <c r="R38" s="35">
        <f>'Assumptions and Free Cash Flow'!R172</f>
        <v>99516</v>
      </c>
      <c r="S38" s="35">
        <f>'Assumptions and Free Cash Flow'!S172</f>
        <v>103404.5</v>
      </c>
      <c r="T38" s="35">
        <f>'Assumptions and Free Cash Flow'!T172</f>
        <v>106142.90008333209</v>
      </c>
      <c r="U38" s="35">
        <f>'Assumptions and Free Cash Flow'!U172</f>
        <v>108978.40008333209</v>
      </c>
      <c r="V38" s="35">
        <f>'Assumptions and Free Cash Flow'!V172</f>
        <v>102668</v>
      </c>
      <c r="W38" s="35">
        <f>'Assumptions and Free Cash Flow'!W172</f>
        <v>88857.5</v>
      </c>
      <c r="X38" s="35">
        <f>'Assumptions and Free Cash Flow'!X172</f>
        <v>83798.826295499995</v>
      </c>
      <c r="Y38" s="35">
        <f>'Assumptions and Free Cash Flow'!Y172</f>
        <v>85202.975128044985</v>
      </c>
      <c r="Z38" s="35">
        <f>'Assumptions and Free Cash Flow'!Z172</f>
        <v>86050.978240764554</v>
      </c>
      <c r="AA38" s="35">
        <f>'Assumptions and Free Cash Flow'!AA172</f>
        <v>86716.471711629099</v>
      </c>
      <c r="AB38" s="35">
        <f>'Assumptions and Free Cash Flow'!AB172</f>
        <v>87221.209309826809</v>
      </c>
      <c r="AC38" s="35">
        <f>'Assumptions and Free Cash Flow'!AC172</f>
        <v>87640.141516330885</v>
      </c>
      <c r="AD38" s="35">
        <f>'Assumptions and Free Cash Flow'!AD172</f>
        <v>87987.855247729283</v>
      </c>
      <c r="AE38" s="35">
        <f>'Assumptions and Free Cash Flow'!AE172</f>
        <v>88276.457644789974</v>
      </c>
      <c r="AF38" s="35">
        <f>'Assumptions and Free Cash Flow'!AF172</f>
        <v>88515.997634350322</v>
      </c>
      <c r="AG38" s="35">
        <f>'Assumptions and Free Cash Flow'!AG172</f>
        <v>88714.815825685422</v>
      </c>
    </row>
    <row r="39" spans="1:33" x14ac:dyDescent="0.3">
      <c r="C39" s="26" t="s">
        <v>196</v>
      </c>
      <c r="I39" s="35">
        <f>'Assumptions and Free Cash Flow'!I186</f>
        <v>25814.25</v>
      </c>
      <c r="J39" s="35">
        <f>'Assumptions and Free Cash Flow'!J186</f>
        <v>26658</v>
      </c>
      <c r="K39" s="35">
        <f>'Assumptions and Free Cash Flow'!K186</f>
        <v>25969.5</v>
      </c>
      <c r="L39" s="35">
        <f>'Assumptions and Free Cash Flow'!L186</f>
        <v>26990.25</v>
      </c>
      <c r="M39" s="35">
        <f>'Assumptions and Free Cash Flow'!M186</f>
        <v>4018.0734672304438</v>
      </c>
      <c r="N39" s="35">
        <f>'Assumptions and Free Cash Flow'!N186</f>
        <v>2497.7395804020689</v>
      </c>
      <c r="O39" s="35">
        <f>'Assumptions and Free Cash Flow'!O186</f>
        <v>3497.1845698950956</v>
      </c>
      <c r="P39" s="35">
        <f>'Assumptions and Free Cash Flow'!P186</f>
        <v>6140.1354804815501</v>
      </c>
      <c r="Q39" s="35">
        <f>'Assumptions and Free Cash Flow'!Q186</f>
        <v>6313.742663033021</v>
      </c>
      <c r="R39" s="35">
        <f>'Assumptions and Free Cash Flow'!R186</f>
        <v>7363.1452778389139</v>
      </c>
      <c r="S39" s="35">
        <f>'Assumptions and Free Cash Flow'!S186</f>
        <v>6919.8673016239845</v>
      </c>
      <c r="T39" s="35">
        <f>'Assumptions and Free Cash Flow'!T186</f>
        <v>6654.0450963072444</v>
      </c>
      <c r="U39" s="35">
        <f>'Assumptions and Free Cash Flow'!U186</f>
        <v>6666.5678451436725</v>
      </c>
      <c r="V39" s="35">
        <f>'Assumptions and Free Cash Flow'!V186</f>
        <v>6072.5558711796111</v>
      </c>
      <c r="W39" s="35">
        <f>'Assumptions and Free Cash Flow'!W186</f>
        <v>5499.3297640096707</v>
      </c>
      <c r="X39" s="35">
        <f>'Assumptions and Free Cash Flow'!X186</f>
        <v>5069.867100000004</v>
      </c>
      <c r="Y39" s="35">
        <f>'Assumptions and Free Cash Flow'!Y186</f>
        <v>4859.5171290000008</v>
      </c>
      <c r="Z39" s="35">
        <f>'Assumptions and Free Cash Flow'!Z186</f>
        <v>4670.9513537100011</v>
      </c>
      <c r="AA39" s="35">
        <f>'Assumptions and Free Cash Flow'!AA186</f>
        <v>4586.2136569950017</v>
      </c>
      <c r="AB39" s="35">
        <f>'Assumptions and Free Cash Flow'!AB186</f>
        <v>4515.8813687215516</v>
      </c>
      <c r="AC39" s="35">
        <f>'Assumptions and Free Cash Flow'!AC186</f>
        <v>4457.5055694545881</v>
      </c>
      <c r="AD39" s="35">
        <f>'Assumptions and Free Cash Flow'!AD186</f>
        <v>4409.0536560630071</v>
      </c>
      <c r="AE39" s="35">
        <f>'Assumptions and Free Cash Flow'!AE186</f>
        <v>4368.8385679479961</v>
      </c>
      <c r="AF39" s="35">
        <f>'Assumptions and Free Cash Flow'!AF186</f>
        <v>4335.4600448125366</v>
      </c>
      <c r="AG39" s="35">
        <f>'Assumptions and Free Cash Flow'!AG186</f>
        <v>4307.7558706101063</v>
      </c>
    </row>
    <row r="40" spans="1:33" x14ac:dyDescent="0.3">
      <c r="C40" s="26" t="s">
        <v>153</v>
      </c>
      <c r="I40" s="40" t="b">
        <f>IF(I38,I39/I38)</f>
        <v>0</v>
      </c>
      <c r="J40" s="40" t="b">
        <f t="shared" ref="J40:AG40" si="1">IF(J38,J39/J38)</f>
        <v>0</v>
      </c>
      <c r="K40" s="40" t="b">
        <f t="shared" si="1"/>
        <v>0</v>
      </c>
      <c r="L40" s="40" t="b">
        <f t="shared" si="1"/>
        <v>0</v>
      </c>
      <c r="M40" s="40">
        <f t="shared" si="1"/>
        <v>9.6453825609257374E-2</v>
      </c>
      <c r="N40" s="40">
        <f t="shared" si="1"/>
        <v>6.0478688129446331E-2</v>
      </c>
      <c r="O40" s="40">
        <f t="shared" si="1"/>
        <v>8.346502553448916E-2</v>
      </c>
      <c r="P40" s="40">
        <f t="shared" si="1"/>
        <v>8.1943861425598882E-2</v>
      </c>
      <c r="Q40" s="40">
        <f t="shared" si="1"/>
        <v>6.1890639693700608E-2</v>
      </c>
      <c r="R40" s="40">
        <f t="shared" si="1"/>
        <v>7.3989562259726208E-2</v>
      </c>
      <c r="S40" s="40">
        <f t="shared" si="1"/>
        <v>6.6920369051868961E-2</v>
      </c>
      <c r="T40" s="40">
        <f t="shared" si="1"/>
        <v>6.2689497753341927E-2</v>
      </c>
      <c r="U40" s="40">
        <f t="shared" si="1"/>
        <v>6.1173295258931809E-2</v>
      </c>
      <c r="V40" s="40">
        <f t="shared" si="1"/>
        <v>5.914750332313487E-2</v>
      </c>
      <c r="W40" s="40">
        <f t="shared" si="1"/>
        <v>6.1889314509294892E-2</v>
      </c>
      <c r="X40" s="40">
        <f t="shared" si="1"/>
        <v>6.0500454769164901E-2</v>
      </c>
      <c r="Y40" s="40">
        <f t="shared" si="1"/>
        <v>5.7034594410547368E-2</v>
      </c>
      <c r="Z40" s="40">
        <f t="shared" si="1"/>
        <v>5.4281211546962423E-2</v>
      </c>
      <c r="AA40" s="40">
        <f t="shared" si="1"/>
        <v>5.2887456863399671E-2</v>
      </c>
      <c r="AB40" s="40">
        <f t="shared" si="1"/>
        <v>5.1775037338455801E-2</v>
      </c>
      <c r="AC40" s="40">
        <f t="shared" si="1"/>
        <v>5.0861460197710609E-2</v>
      </c>
      <c r="AD40" s="40">
        <f t="shared" si="1"/>
        <v>5.0109798035755534E-2</v>
      </c>
      <c r="AE40" s="40">
        <f t="shared" si="1"/>
        <v>4.9490415502709544E-2</v>
      </c>
      <c r="AF40" s="40">
        <f t="shared" si="1"/>
        <v>4.8979395371239409E-2</v>
      </c>
      <c r="AG40" s="40">
        <f t="shared" si="1"/>
        <v>4.855734445838629E-2</v>
      </c>
    </row>
    <row r="42" spans="1:33" x14ac:dyDescent="0.3">
      <c r="C42" s="26" t="s">
        <v>279</v>
      </c>
      <c r="D42" s="33">
        <f>D137</f>
        <v>11746.301196161377</v>
      </c>
      <c r="I42" s="35">
        <f>$D$42*I5</f>
        <v>0</v>
      </c>
      <c r="J42" s="35">
        <f t="shared" ref="J42:AG42" si="2">$D$42*J5</f>
        <v>0</v>
      </c>
      <c r="K42" s="35">
        <f t="shared" si="2"/>
        <v>0</v>
      </c>
      <c r="L42" s="35">
        <f t="shared" si="2"/>
        <v>0</v>
      </c>
      <c r="M42" s="35">
        <f t="shared" si="2"/>
        <v>0</v>
      </c>
      <c r="N42" s="35">
        <f t="shared" si="2"/>
        <v>0</v>
      </c>
      <c r="O42" s="35">
        <f t="shared" si="2"/>
        <v>0</v>
      </c>
      <c r="P42" s="35">
        <f t="shared" si="2"/>
        <v>0</v>
      </c>
      <c r="Q42" s="35">
        <f t="shared" si="2"/>
        <v>0</v>
      </c>
      <c r="R42" s="35">
        <f t="shared" si="2"/>
        <v>0</v>
      </c>
      <c r="S42" s="35">
        <f t="shared" si="2"/>
        <v>0</v>
      </c>
      <c r="T42" s="35">
        <f t="shared" si="2"/>
        <v>0</v>
      </c>
      <c r="U42" s="35">
        <f t="shared" si="2"/>
        <v>0</v>
      </c>
      <c r="V42" s="35">
        <f t="shared" si="2"/>
        <v>0</v>
      </c>
      <c r="W42" s="35">
        <f t="shared" si="2"/>
        <v>0</v>
      </c>
      <c r="X42" s="35">
        <f t="shared" si="2"/>
        <v>0</v>
      </c>
      <c r="Y42" s="35">
        <f t="shared" si="2"/>
        <v>0</v>
      </c>
      <c r="Z42" s="35">
        <f t="shared" si="2"/>
        <v>0</v>
      </c>
      <c r="AA42" s="35">
        <f t="shared" si="2"/>
        <v>0</v>
      </c>
      <c r="AB42" s="35">
        <f t="shared" si="2"/>
        <v>0</v>
      </c>
      <c r="AC42" s="35">
        <f t="shared" si="2"/>
        <v>11746.301196161377</v>
      </c>
      <c r="AD42" s="35">
        <f t="shared" si="2"/>
        <v>0</v>
      </c>
      <c r="AE42" s="35">
        <f t="shared" si="2"/>
        <v>0</v>
      </c>
      <c r="AF42" s="35">
        <f t="shared" si="2"/>
        <v>0</v>
      </c>
      <c r="AG42" s="35">
        <f t="shared" si="2"/>
        <v>0</v>
      </c>
    </row>
    <row r="43" spans="1:33" x14ac:dyDescent="0.3">
      <c r="C43" s="26" t="s">
        <v>278</v>
      </c>
      <c r="D43" s="34">
        <f>D147</f>
        <v>1.0667057985123363</v>
      </c>
      <c r="I43" s="35">
        <f>$D$43*I24*I5</f>
        <v>0</v>
      </c>
      <c r="J43" s="35">
        <f t="shared" ref="J43:AG43" si="3">$D$43*J24*J5</f>
        <v>0</v>
      </c>
      <c r="K43" s="35">
        <f t="shared" si="3"/>
        <v>0</v>
      </c>
      <c r="L43" s="35">
        <f t="shared" si="3"/>
        <v>0</v>
      </c>
      <c r="M43" s="35">
        <f t="shared" si="3"/>
        <v>0</v>
      </c>
      <c r="N43" s="35">
        <f t="shared" si="3"/>
        <v>0</v>
      </c>
      <c r="O43" s="35">
        <f t="shared" si="3"/>
        <v>0</v>
      </c>
      <c r="P43" s="35">
        <f t="shared" si="3"/>
        <v>0</v>
      </c>
      <c r="Q43" s="35">
        <f t="shared" si="3"/>
        <v>0</v>
      </c>
      <c r="R43" s="35">
        <f t="shared" si="3"/>
        <v>0</v>
      </c>
      <c r="S43" s="35">
        <f t="shared" si="3"/>
        <v>0</v>
      </c>
      <c r="T43" s="35">
        <f t="shared" si="3"/>
        <v>0</v>
      </c>
      <c r="U43" s="35">
        <f t="shared" si="3"/>
        <v>0</v>
      </c>
      <c r="V43" s="35">
        <f t="shared" si="3"/>
        <v>0</v>
      </c>
      <c r="W43" s="35">
        <f t="shared" si="3"/>
        <v>0</v>
      </c>
      <c r="X43" s="35">
        <f t="shared" si="3"/>
        <v>0</v>
      </c>
      <c r="Y43" s="35">
        <f t="shared" si="3"/>
        <v>0</v>
      </c>
      <c r="Z43" s="35">
        <f t="shared" si="3"/>
        <v>0</v>
      </c>
      <c r="AA43" s="35">
        <f t="shared" si="3"/>
        <v>0</v>
      </c>
      <c r="AB43" s="35">
        <f t="shared" si="3"/>
        <v>0</v>
      </c>
      <c r="AC43" s="35">
        <f t="shared" si="3"/>
        <v>5461.5176803369413</v>
      </c>
      <c r="AD43" s="35">
        <f t="shared" si="3"/>
        <v>0</v>
      </c>
      <c r="AE43" s="35">
        <f t="shared" si="3"/>
        <v>0</v>
      </c>
      <c r="AF43" s="35">
        <f t="shared" si="3"/>
        <v>0</v>
      </c>
      <c r="AG43" s="35">
        <f t="shared" si="3"/>
        <v>0</v>
      </c>
    </row>
    <row r="44" spans="1:33" x14ac:dyDescent="0.3">
      <c r="C44" s="26" t="s">
        <v>280</v>
      </c>
      <c r="D44" s="33">
        <f>D156</f>
        <v>-146.67222490646125</v>
      </c>
      <c r="I44" s="35">
        <f>$D$44*I5</f>
        <v>0</v>
      </c>
      <c r="J44" s="35">
        <f t="shared" ref="J44:AG44" si="4">$D$44*J5</f>
        <v>0</v>
      </c>
      <c r="K44" s="35">
        <f t="shared" si="4"/>
        <v>0</v>
      </c>
      <c r="L44" s="35">
        <f t="shared" si="4"/>
        <v>0</v>
      </c>
      <c r="M44" s="35">
        <f t="shared" si="4"/>
        <v>0</v>
      </c>
      <c r="N44" s="35">
        <f t="shared" si="4"/>
        <v>0</v>
      </c>
      <c r="O44" s="35">
        <f t="shared" si="4"/>
        <v>0</v>
      </c>
      <c r="P44" s="35">
        <f t="shared" si="4"/>
        <v>0</v>
      </c>
      <c r="Q44" s="35">
        <f t="shared" si="4"/>
        <v>0</v>
      </c>
      <c r="R44" s="35">
        <f t="shared" si="4"/>
        <v>0</v>
      </c>
      <c r="S44" s="35">
        <f t="shared" si="4"/>
        <v>0</v>
      </c>
      <c r="T44" s="35">
        <f t="shared" si="4"/>
        <v>0</v>
      </c>
      <c r="U44" s="35">
        <f t="shared" si="4"/>
        <v>0</v>
      </c>
      <c r="V44" s="35">
        <f t="shared" si="4"/>
        <v>0</v>
      </c>
      <c r="W44" s="35">
        <f t="shared" si="4"/>
        <v>0</v>
      </c>
      <c r="X44" s="35">
        <f t="shared" si="4"/>
        <v>0</v>
      </c>
      <c r="Y44" s="35">
        <f t="shared" si="4"/>
        <v>0</v>
      </c>
      <c r="Z44" s="35">
        <f t="shared" si="4"/>
        <v>0</v>
      </c>
      <c r="AA44" s="35">
        <f t="shared" si="4"/>
        <v>0</v>
      </c>
      <c r="AB44" s="35">
        <f t="shared" si="4"/>
        <v>0</v>
      </c>
      <c r="AC44" s="35">
        <f t="shared" si="4"/>
        <v>-146.67222490646125</v>
      </c>
      <c r="AD44" s="35">
        <f t="shared" si="4"/>
        <v>0</v>
      </c>
      <c r="AE44" s="35">
        <f t="shared" si="4"/>
        <v>0</v>
      </c>
      <c r="AF44" s="35">
        <f t="shared" si="4"/>
        <v>0</v>
      </c>
      <c r="AG44" s="35">
        <f t="shared" si="4"/>
        <v>0</v>
      </c>
    </row>
    <row r="45" spans="1:33" x14ac:dyDescent="0.3">
      <c r="C45" s="26" t="s">
        <v>281</v>
      </c>
      <c r="D45" s="33">
        <f>D164</f>
        <v>1656.5790507885401</v>
      </c>
      <c r="I45" s="35">
        <f>$D$45*I5</f>
        <v>0</v>
      </c>
      <c r="J45" s="35">
        <f t="shared" ref="J45:AG45" si="5">$D$45*J5</f>
        <v>0</v>
      </c>
      <c r="K45" s="35">
        <f t="shared" si="5"/>
        <v>0</v>
      </c>
      <c r="L45" s="35">
        <f t="shared" si="5"/>
        <v>0</v>
      </c>
      <c r="M45" s="35">
        <f t="shared" si="5"/>
        <v>0</v>
      </c>
      <c r="N45" s="35">
        <f t="shared" si="5"/>
        <v>0</v>
      </c>
      <c r="O45" s="35">
        <f t="shared" si="5"/>
        <v>0</v>
      </c>
      <c r="P45" s="35">
        <f t="shared" si="5"/>
        <v>0</v>
      </c>
      <c r="Q45" s="35">
        <f t="shared" si="5"/>
        <v>0</v>
      </c>
      <c r="R45" s="35">
        <f t="shared" si="5"/>
        <v>0</v>
      </c>
      <c r="S45" s="35">
        <f t="shared" si="5"/>
        <v>0</v>
      </c>
      <c r="T45" s="35">
        <f t="shared" si="5"/>
        <v>0</v>
      </c>
      <c r="U45" s="35">
        <f t="shared" si="5"/>
        <v>0</v>
      </c>
      <c r="V45" s="35">
        <f t="shared" si="5"/>
        <v>0</v>
      </c>
      <c r="W45" s="35">
        <f t="shared" si="5"/>
        <v>0</v>
      </c>
      <c r="X45" s="35">
        <f t="shared" si="5"/>
        <v>0</v>
      </c>
      <c r="Y45" s="35">
        <f t="shared" si="5"/>
        <v>0</v>
      </c>
      <c r="Z45" s="35">
        <f t="shared" si="5"/>
        <v>0</v>
      </c>
      <c r="AA45" s="35">
        <f t="shared" si="5"/>
        <v>0</v>
      </c>
      <c r="AB45" s="35">
        <f t="shared" si="5"/>
        <v>0</v>
      </c>
      <c r="AC45" s="35">
        <f t="shared" si="5"/>
        <v>1656.5790507885401</v>
      </c>
      <c r="AD45" s="35">
        <f t="shared" si="5"/>
        <v>0</v>
      </c>
      <c r="AE45" s="35">
        <f t="shared" si="5"/>
        <v>0</v>
      </c>
      <c r="AF45" s="35">
        <f t="shared" si="5"/>
        <v>0</v>
      </c>
      <c r="AG45" s="35">
        <f t="shared" si="5"/>
        <v>0</v>
      </c>
    </row>
    <row r="46" spans="1:33" x14ac:dyDescent="0.3"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</row>
    <row r="47" spans="1:33" ht="12.5" thickBot="1" x14ac:dyDescent="0.35">
      <c r="C47" s="101" t="s">
        <v>282</v>
      </c>
      <c r="D47" s="101"/>
      <c r="E47" s="101"/>
      <c r="F47" s="101"/>
      <c r="G47" s="101"/>
      <c r="H47" s="101"/>
      <c r="I47" s="130">
        <f t="shared" ref="I47:AG47" si="6">I42-I43-I44-I45</f>
        <v>0</v>
      </c>
      <c r="J47" s="130">
        <f t="shared" si="6"/>
        <v>0</v>
      </c>
      <c r="K47" s="130">
        <f t="shared" si="6"/>
        <v>0</v>
      </c>
      <c r="L47" s="130">
        <f t="shared" si="6"/>
        <v>0</v>
      </c>
      <c r="M47" s="130">
        <f t="shared" si="6"/>
        <v>0</v>
      </c>
      <c r="N47" s="130">
        <f t="shared" si="6"/>
        <v>0</v>
      </c>
      <c r="O47" s="130">
        <f t="shared" si="6"/>
        <v>0</v>
      </c>
      <c r="P47" s="130">
        <f t="shared" si="6"/>
        <v>0</v>
      </c>
      <c r="Q47" s="130">
        <f t="shared" si="6"/>
        <v>0</v>
      </c>
      <c r="R47" s="130">
        <f t="shared" si="6"/>
        <v>0</v>
      </c>
      <c r="S47" s="130">
        <f t="shared" si="6"/>
        <v>0</v>
      </c>
      <c r="T47" s="130">
        <f t="shared" si="6"/>
        <v>0</v>
      </c>
      <c r="U47" s="130">
        <f t="shared" si="6"/>
        <v>0</v>
      </c>
      <c r="V47" s="130">
        <f t="shared" si="6"/>
        <v>0</v>
      </c>
      <c r="W47" s="130">
        <f t="shared" si="6"/>
        <v>0</v>
      </c>
      <c r="X47" s="130">
        <f t="shared" si="6"/>
        <v>0</v>
      </c>
      <c r="Y47" s="130">
        <f t="shared" si="6"/>
        <v>0</v>
      </c>
      <c r="Z47" s="130">
        <f t="shared" si="6"/>
        <v>0</v>
      </c>
      <c r="AA47" s="130">
        <f t="shared" si="6"/>
        <v>0</v>
      </c>
      <c r="AB47" s="130">
        <f t="shared" si="6"/>
        <v>0</v>
      </c>
      <c r="AC47" s="130">
        <f t="shared" si="6"/>
        <v>4774.8766899423572</v>
      </c>
      <c r="AD47" s="130">
        <f t="shared" si="6"/>
        <v>0</v>
      </c>
      <c r="AE47" s="130">
        <f t="shared" si="6"/>
        <v>0</v>
      </c>
      <c r="AF47" s="130">
        <f t="shared" si="6"/>
        <v>0</v>
      </c>
      <c r="AG47" s="130">
        <f t="shared" si="6"/>
        <v>0</v>
      </c>
    </row>
    <row r="48" spans="1:33" x14ac:dyDescent="0.3">
      <c r="C48" s="38" t="s">
        <v>196</v>
      </c>
      <c r="D48" s="38"/>
      <c r="E48" s="38"/>
      <c r="F48" s="38"/>
      <c r="G48" s="38"/>
      <c r="H48" s="38"/>
      <c r="I48" s="131">
        <f>I42-I45-I24</f>
        <v>0</v>
      </c>
      <c r="J48" s="131">
        <f t="shared" ref="J48:AG48" si="7">J42-J45-J24</f>
        <v>0</v>
      </c>
      <c r="K48" s="131">
        <f t="shared" si="7"/>
        <v>0</v>
      </c>
      <c r="L48" s="131">
        <f t="shared" si="7"/>
        <v>0</v>
      </c>
      <c r="M48" s="131">
        <f t="shared" si="7"/>
        <v>0</v>
      </c>
      <c r="N48" s="131">
        <f t="shared" si="7"/>
        <v>0</v>
      </c>
      <c r="O48" s="131">
        <f t="shared" si="7"/>
        <v>0</v>
      </c>
      <c r="P48" s="131">
        <f t="shared" si="7"/>
        <v>0</v>
      </c>
      <c r="Q48" s="131">
        <f t="shared" si="7"/>
        <v>0</v>
      </c>
      <c r="R48" s="131">
        <f t="shared" si="7"/>
        <v>0</v>
      </c>
      <c r="S48" s="131">
        <f t="shared" si="7"/>
        <v>0</v>
      </c>
      <c r="T48" s="131">
        <f t="shared" si="7"/>
        <v>0</v>
      </c>
      <c r="U48" s="131">
        <f t="shared" si="7"/>
        <v>0</v>
      </c>
      <c r="V48" s="131">
        <f t="shared" si="7"/>
        <v>0</v>
      </c>
      <c r="W48" s="131">
        <f t="shared" si="7"/>
        <v>0</v>
      </c>
      <c r="X48" s="131">
        <f t="shared" si="7"/>
        <v>-4535.26</v>
      </c>
      <c r="Y48" s="131">
        <f t="shared" si="7"/>
        <v>-4699.2658000000001</v>
      </c>
      <c r="Z48" s="131">
        <f t="shared" si="7"/>
        <v>-4835.3906139999999</v>
      </c>
      <c r="AA48" s="131">
        <f t="shared" si="7"/>
        <v>-4948.3742096199994</v>
      </c>
      <c r="AB48" s="131">
        <f t="shared" si="7"/>
        <v>-5042.1505939845993</v>
      </c>
      <c r="AC48" s="131">
        <f t="shared" si="7"/>
        <v>4969.7371523656211</v>
      </c>
      <c r="AD48" s="131">
        <f t="shared" si="7"/>
        <v>0</v>
      </c>
      <c r="AE48" s="131">
        <f t="shared" si="7"/>
        <v>0</v>
      </c>
      <c r="AF48" s="131">
        <f t="shared" si="7"/>
        <v>0</v>
      </c>
      <c r="AG48" s="131">
        <f t="shared" si="7"/>
        <v>0</v>
      </c>
    </row>
    <row r="49" spans="3:33" x14ac:dyDescent="0.3"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</row>
    <row r="50" spans="3:33" x14ac:dyDescent="0.3">
      <c r="C50" s="26" t="s">
        <v>266</v>
      </c>
      <c r="D50" s="31" t="s">
        <v>384</v>
      </c>
      <c r="E50" s="31" t="s">
        <v>385</v>
      </c>
    </row>
    <row r="51" spans="3:33" x14ac:dyDescent="0.3">
      <c r="C51" s="32" t="s">
        <v>284</v>
      </c>
      <c r="D51" s="35">
        <f>NPV($D$9,I51:AG51)</f>
        <v>78825.912252844602</v>
      </c>
      <c r="E51" s="35">
        <f>D51*(1+$D$9)^0.5</f>
        <v>81041.318694325717</v>
      </c>
      <c r="I51" s="35" t="b">
        <f>IF(I4,(1+$D$10)/($D$9-$D$10)*I47*I5)</f>
        <v>0</v>
      </c>
      <c r="J51" s="35" t="b">
        <f t="shared" ref="J51:AG51" si="8">IF(J4,(1+$D$10)/($D$9-$D$10)*J47*J5)</f>
        <v>0</v>
      </c>
      <c r="K51" s="35" t="b">
        <f t="shared" si="8"/>
        <v>0</v>
      </c>
      <c r="L51" s="35" t="b">
        <f t="shared" si="8"/>
        <v>0</v>
      </c>
      <c r="M51" s="35" t="b">
        <f t="shared" si="8"/>
        <v>0</v>
      </c>
      <c r="N51" s="35" t="b">
        <f t="shared" si="8"/>
        <v>0</v>
      </c>
      <c r="O51" s="35" t="b">
        <f t="shared" si="8"/>
        <v>0</v>
      </c>
      <c r="P51" s="35" t="b">
        <f t="shared" si="8"/>
        <v>0</v>
      </c>
      <c r="Q51" s="35" t="b">
        <f t="shared" si="8"/>
        <v>0</v>
      </c>
      <c r="R51" s="35" t="b">
        <f t="shared" si="8"/>
        <v>0</v>
      </c>
      <c r="S51" s="35" t="b">
        <f t="shared" si="8"/>
        <v>0</v>
      </c>
      <c r="T51" s="35" t="b">
        <f t="shared" si="8"/>
        <v>0</v>
      </c>
      <c r="U51" s="35" t="b">
        <f t="shared" si="8"/>
        <v>0</v>
      </c>
      <c r="V51" s="35" t="b">
        <f t="shared" si="8"/>
        <v>0</v>
      </c>
      <c r="W51" s="35" t="b">
        <f t="shared" si="8"/>
        <v>0</v>
      </c>
      <c r="X51" s="35">
        <f t="shared" si="8"/>
        <v>0</v>
      </c>
      <c r="Y51" s="35">
        <f t="shared" si="8"/>
        <v>0</v>
      </c>
      <c r="Z51" s="35">
        <f t="shared" si="8"/>
        <v>0</v>
      </c>
      <c r="AA51" s="35">
        <f t="shared" si="8"/>
        <v>0</v>
      </c>
      <c r="AB51" s="35">
        <f t="shared" si="8"/>
        <v>0</v>
      </c>
      <c r="AC51" s="35">
        <f t="shared" si="8"/>
        <v>109930.68379344561</v>
      </c>
      <c r="AD51" s="35" t="b">
        <f t="shared" si="8"/>
        <v>0</v>
      </c>
      <c r="AE51" s="35" t="b">
        <f t="shared" si="8"/>
        <v>0</v>
      </c>
      <c r="AF51" s="35" t="b">
        <f t="shared" si="8"/>
        <v>0</v>
      </c>
      <c r="AG51" s="35" t="b">
        <f t="shared" si="8"/>
        <v>0</v>
      </c>
    </row>
    <row r="52" spans="3:33" x14ac:dyDescent="0.3">
      <c r="C52" s="32" t="s">
        <v>285</v>
      </c>
      <c r="D52" s="35">
        <f>NPV($D$9,I52:AG52)</f>
        <v>88438.324879342865</v>
      </c>
      <c r="E52" s="35">
        <f>D52*(1+$D$9)^0.5</f>
        <v>90923.888687130253</v>
      </c>
      <c r="I52" s="35" t="b">
        <f t="shared" ref="I52:AG52" si="9">IF(I4,$D$13*I42*I5)</f>
        <v>0</v>
      </c>
      <c r="J52" s="35" t="b">
        <f t="shared" si="9"/>
        <v>0</v>
      </c>
      <c r="K52" s="35" t="b">
        <f t="shared" si="9"/>
        <v>0</v>
      </c>
      <c r="L52" s="35" t="b">
        <f t="shared" si="9"/>
        <v>0</v>
      </c>
      <c r="M52" s="35" t="b">
        <f t="shared" si="9"/>
        <v>0</v>
      </c>
      <c r="N52" s="35" t="b">
        <f t="shared" si="9"/>
        <v>0</v>
      </c>
      <c r="O52" s="35" t="b">
        <f t="shared" si="9"/>
        <v>0</v>
      </c>
      <c r="P52" s="35" t="b">
        <f t="shared" si="9"/>
        <v>0</v>
      </c>
      <c r="Q52" s="35" t="b">
        <f t="shared" si="9"/>
        <v>0</v>
      </c>
      <c r="R52" s="35" t="b">
        <f t="shared" si="9"/>
        <v>0</v>
      </c>
      <c r="S52" s="35" t="b">
        <f t="shared" si="9"/>
        <v>0</v>
      </c>
      <c r="T52" s="35" t="b">
        <f t="shared" si="9"/>
        <v>0</v>
      </c>
      <c r="U52" s="35" t="b">
        <f t="shared" si="9"/>
        <v>0</v>
      </c>
      <c r="V52" s="35" t="b">
        <f t="shared" si="9"/>
        <v>0</v>
      </c>
      <c r="W52" s="35" t="b">
        <f t="shared" si="9"/>
        <v>0</v>
      </c>
      <c r="X52" s="35">
        <f t="shared" si="9"/>
        <v>0</v>
      </c>
      <c r="Y52" s="35">
        <f t="shared" si="9"/>
        <v>0</v>
      </c>
      <c r="Z52" s="35">
        <f t="shared" si="9"/>
        <v>0</v>
      </c>
      <c r="AA52" s="35">
        <f t="shared" si="9"/>
        <v>0</v>
      </c>
      <c r="AB52" s="35">
        <f t="shared" si="9"/>
        <v>0</v>
      </c>
      <c r="AC52" s="35">
        <f t="shared" si="9"/>
        <v>123336.16255969447</v>
      </c>
      <c r="AD52" s="35" t="b">
        <f t="shared" si="9"/>
        <v>0</v>
      </c>
      <c r="AE52" s="35" t="b">
        <f t="shared" si="9"/>
        <v>0</v>
      </c>
      <c r="AF52" s="35" t="b">
        <f t="shared" si="9"/>
        <v>0</v>
      </c>
      <c r="AG52" s="35" t="b">
        <f t="shared" si="9"/>
        <v>0</v>
      </c>
    </row>
    <row r="53" spans="3:33" x14ac:dyDescent="0.3">
      <c r="C53" s="32" t="s">
        <v>290</v>
      </c>
      <c r="D53" s="35">
        <f>NPV($D$9,I53:AG53)</f>
        <v>62518.513049988025</v>
      </c>
      <c r="E53" s="35">
        <f>D53*(1+$D$9)^0.5</f>
        <v>64275.599172613474</v>
      </c>
      <c r="I53" s="35" t="b">
        <f>IF(I4,(1-$D$10/$D$12)/($D$9-$D$10)*I48*I5)</f>
        <v>0</v>
      </c>
      <c r="J53" s="35" t="b">
        <f t="shared" ref="J53:AG53" si="10">IF(J4,(1-$D$10/$D$12)/($D$9-$D$10)*J48*J5)</f>
        <v>0</v>
      </c>
      <c r="K53" s="35" t="b">
        <f t="shared" si="10"/>
        <v>0</v>
      </c>
      <c r="L53" s="35" t="b">
        <f t="shared" si="10"/>
        <v>0</v>
      </c>
      <c r="M53" s="35" t="b">
        <f t="shared" si="10"/>
        <v>0</v>
      </c>
      <c r="N53" s="35" t="b">
        <f t="shared" si="10"/>
        <v>0</v>
      </c>
      <c r="O53" s="35" t="b">
        <f t="shared" si="10"/>
        <v>0</v>
      </c>
      <c r="P53" s="35" t="b">
        <f t="shared" si="10"/>
        <v>0</v>
      </c>
      <c r="Q53" s="35" t="b">
        <f t="shared" si="10"/>
        <v>0</v>
      </c>
      <c r="R53" s="35" t="b">
        <f t="shared" si="10"/>
        <v>0</v>
      </c>
      <c r="S53" s="35" t="b">
        <f t="shared" si="10"/>
        <v>0</v>
      </c>
      <c r="T53" s="35" t="b">
        <f t="shared" si="10"/>
        <v>0</v>
      </c>
      <c r="U53" s="35" t="b">
        <f t="shared" si="10"/>
        <v>0</v>
      </c>
      <c r="V53" s="35" t="b">
        <f t="shared" si="10"/>
        <v>0</v>
      </c>
      <c r="W53" s="35" t="b">
        <f t="shared" si="10"/>
        <v>0</v>
      </c>
      <c r="X53" s="35">
        <f t="shared" si="10"/>
        <v>0</v>
      </c>
      <c r="Y53" s="35">
        <f t="shared" si="10"/>
        <v>0</v>
      </c>
      <c r="Z53" s="35">
        <f t="shared" si="10"/>
        <v>0</v>
      </c>
      <c r="AA53" s="35">
        <f t="shared" si="10"/>
        <v>0</v>
      </c>
      <c r="AB53" s="35">
        <f t="shared" si="10"/>
        <v>0</v>
      </c>
      <c r="AC53" s="35">
        <f t="shared" si="10"/>
        <v>87188.37109413369</v>
      </c>
      <c r="AD53" s="35" t="b">
        <f t="shared" si="10"/>
        <v>0</v>
      </c>
      <c r="AE53" s="35" t="b">
        <f t="shared" si="10"/>
        <v>0</v>
      </c>
      <c r="AF53" s="35" t="b">
        <f t="shared" si="10"/>
        <v>0</v>
      </c>
      <c r="AG53" s="35" t="b">
        <f t="shared" si="10"/>
        <v>0</v>
      </c>
    </row>
    <row r="54" spans="3:33" x14ac:dyDescent="0.3">
      <c r="D54" s="35"/>
      <c r="E54" s="35"/>
    </row>
    <row r="55" spans="3:33" x14ac:dyDescent="0.3">
      <c r="C55" s="26" t="s">
        <v>286</v>
      </c>
      <c r="D55" s="100" t="s">
        <v>384</v>
      </c>
      <c r="E55" s="100" t="s">
        <v>385</v>
      </c>
    </row>
    <row r="56" spans="3:33" x14ac:dyDescent="0.3">
      <c r="C56" s="32" t="s">
        <v>287</v>
      </c>
      <c r="D56" s="35">
        <f>D$34+D51</f>
        <v>97888.833954123475</v>
      </c>
      <c r="E56" s="35">
        <f>E$34+E51</f>
        <v>100640.00482031557</v>
      </c>
    </row>
    <row r="57" spans="3:33" x14ac:dyDescent="0.3">
      <c r="C57" s="32" t="s">
        <v>283</v>
      </c>
      <c r="D57" s="35">
        <f>D$34+D52</f>
        <v>107501.24658062174</v>
      </c>
      <c r="E57" s="35">
        <f>E$34+E52</f>
        <v>110522.5748131201</v>
      </c>
    </row>
    <row r="58" spans="3:33" x14ac:dyDescent="0.3">
      <c r="C58" s="32" t="s">
        <v>460</v>
      </c>
      <c r="D58" s="35">
        <f>D53+D34</f>
        <v>81581.434751266905</v>
      </c>
      <c r="E58" s="35">
        <f>E53+E34</f>
        <v>83874.285298603325</v>
      </c>
    </row>
    <row r="59" spans="3:33" x14ac:dyDescent="0.3">
      <c r="D59" s="35"/>
      <c r="E59" s="35"/>
    </row>
    <row r="60" spans="3:33" x14ac:dyDescent="0.3">
      <c r="C60" s="26" t="s">
        <v>461</v>
      </c>
      <c r="D60" s="35">
        <f>D34+D51</f>
        <v>97888.833954123475</v>
      </c>
      <c r="E60" s="35">
        <f>E34+E51</f>
        <v>100640.00482031557</v>
      </c>
    </row>
    <row r="61" spans="3:33" x14ac:dyDescent="0.3">
      <c r="C61" s="26" t="s">
        <v>272</v>
      </c>
      <c r="D61" s="35">
        <f>LOOKUP(D4,Valuation!3:3,27:27)</f>
        <v>11295.082800000006</v>
      </c>
      <c r="E61" s="35">
        <f>D61</f>
        <v>11295.082800000006</v>
      </c>
    </row>
    <row r="62" spans="3:33" x14ac:dyDescent="0.3">
      <c r="C62" s="26" t="s">
        <v>273</v>
      </c>
      <c r="D62" s="33">
        <f>D60/D61</f>
        <v>8.666499899772619</v>
      </c>
      <c r="E62" s="33">
        <f>E60/E61</f>
        <v>8.910072338762804</v>
      </c>
    </row>
    <row r="63" spans="3:33" x14ac:dyDescent="0.3">
      <c r="C63" s="26" t="s">
        <v>275</v>
      </c>
      <c r="D63" s="35">
        <f>LOOKUP(D5,Valuation!3:3,27:27)</f>
        <v>11063.325752280001</v>
      </c>
      <c r="E63" s="35">
        <f>D63</f>
        <v>11063.325752280001</v>
      </c>
    </row>
    <row r="64" spans="3:33" x14ac:dyDescent="0.3">
      <c r="C64" s="26" t="s">
        <v>276</v>
      </c>
      <c r="D64" s="35">
        <f>SUM(I51:AG51)</f>
        <v>109930.68379344561</v>
      </c>
      <c r="E64" s="35">
        <f>D64</f>
        <v>109930.68379344561</v>
      </c>
    </row>
    <row r="65" spans="2:18" x14ac:dyDescent="0.3">
      <c r="C65" s="26" t="s">
        <v>274</v>
      </c>
      <c r="D65" s="33">
        <f>D64/D63</f>
        <v>9.9364952506067521</v>
      </c>
      <c r="E65" s="33">
        <f>E64/E63</f>
        <v>9.9364952506067521</v>
      </c>
    </row>
    <row r="66" spans="2:18" x14ac:dyDescent="0.3">
      <c r="D66" s="33"/>
      <c r="E66" s="33"/>
    </row>
    <row r="67" spans="2:18" x14ac:dyDescent="0.3">
      <c r="C67" s="26" t="s">
        <v>462</v>
      </c>
      <c r="D67" s="35">
        <f>D57</f>
        <v>107501.24658062174</v>
      </c>
      <c r="E67" s="35">
        <f>E57</f>
        <v>110522.5748131201</v>
      </c>
    </row>
    <row r="68" spans="2:18" x14ac:dyDescent="0.3">
      <c r="C68" s="26" t="s">
        <v>273</v>
      </c>
      <c r="D68" s="33">
        <f>D67/D61</f>
        <v>9.5175262088934556</v>
      </c>
      <c r="E68" s="33">
        <f>E67/E61</f>
        <v>9.7850167874041656</v>
      </c>
    </row>
    <row r="69" spans="2:18" x14ac:dyDescent="0.3">
      <c r="C69" s="26" t="s">
        <v>283</v>
      </c>
      <c r="D69" s="33">
        <f>SUM(I52:AG52)/D63</f>
        <v>11.148199494557643</v>
      </c>
      <c r="E69" s="33">
        <f>SUM(I52:AG52)/E63</f>
        <v>11.148199494557643</v>
      </c>
    </row>
    <row r="70" spans="2:18" x14ac:dyDescent="0.3">
      <c r="D70" s="33"/>
      <c r="E70" s="33"/>
    </row>
    <row r="71" spans="2:18" x14ac:dyDescent="0.3">
      <c r="C71" s="26" t="s">
        <v>463</v>
      </c>
      <c r="D71" s="35">
        <f>D58</f>
        <v>81581.434751266905</v>
      </c>
      <c r="E71" s="35">
        <f>E58</f>
        <v>83874.285298603325</v>
      </c>
    </row>
    <row r="72" spans="2:18" x14ac:dyDescent="0.3">
      <c r="C72" s="26" t="s">
        <v>273</v>
      </c>
      <c r="D72" s="33">
        <f>D71/D61</f>
        <v>7.2227389737476617</v>
      </c>
      <c r="E72" s="33">
        <f>E71/E61</f>
        <v>7.4257344353954879</v>
      </c>
    </row>
    <row r="73" spans="2:18" x14ac:dyDescent="0.3">
      <c r="C73" s="26" t="s">
        <v>283</v>
      </c>
      <c r="D73" s="33">
        <f>SUM(I53:AG53)/D63</f>
        <v>7.8808464151175652</v>
      </c>
      <c r="E73" s="33">
        <f>D73</f>
        <v>7.8808464151175652</v>
      </c>
    </row>
    <row r="74" spans="2:18" x14ac:dyDescent="0.3">
      <c r="D74" s="33"/>
      <c r="E74" s="33"/>
    </row>
    <row r="75" spans="2:18" s="37" customFormat="1" x14ac:dyDescent="0.3">
      <c r="D75" s="38"/>
      <c r="E75" s="38"/>
    </row>
    <row r="76" spans="2:18" s="109" customFormat="1" x14ac:dyDescent="0.3">
      <c r="B76" s="109" t="s">
        <v>375</v>
      </c>
      <c r="D76" s="110"/>
      <c r="E76" s="110"/>
    </row>
    <row r="77" spans="2:18" x14ac:dyDescent="0.3">
      <c r="I77" s="26" t="s">
        <v>371</v>
      </c>
      <c r="K77" s="27">
        <v>100</v>
      </c>
    </row>
    <row r="79" spans="2:18" x14ac:dyDescent="0.3">
      <c r="H79" s="39" t="s">
        <v>372</v>
      </c>
      <c r="I79" s="33">
        <f>E51/1000</f>
        <v>81.04131869432571</v>
      </c>
      <c r="J79" s="34">
        <v>0.05</v>
      </c>
      <c r="K79" s="40">
        <f>J79+1%</f>
        <v>6.0000000000000005E-2</v>
      </c>
      <c r="L79" s="40">
        <f>K79+1%</f>
        <v>7.0000000000000007E-2</v>
      </c>
      <c r="M79" s="40">
        <f>L79+1%</f>
        <v>0.08</v>
      </c>
    </row>
    <row r="80" spans="2:18" x14ac:dyDescent="0.3">
      <c r="I80" s="34">
        <v>0</v>
      </c>
      <c r="J80" s="33">
        <f t="dataTable" ref="J80:M83" dt2D="1" dtr="1" r1="D9" r2="D10" ca="1"/>
        <v>111.47353064797349</v>
      </c>
      <c r="K80" s="33">
        <v>93.340607928803976</v>
      </c>
      <c r="L80" s="33">
        <v>79.713171238960228</v>
      </c>
      <c r="M80" s="33">
        <v>69.054017594971597</v>
      </c>
      <c r="O80" s="40">
        <f t="shared" ref="O80:R83" si="11">J80/$I$79</f>
        <v>1.3755147675771786</v>
      </c>
      <c r="P80" s="40">
        <f t="shared" si="11"/>
        <v>1.1517656601920452</v>
      </c>
      <c r="Q80" s="40">
        <f t="shared" si="11"/>
        <v>0.98361147774044699</v>
      </c>
      <c r="R80" s="40">
        <f t="shared" si="11"/>
        <v>0.85208408139842584</v>
      </c>
    </row>
    <row r="81" spans="8:18" x14ac:dyDescent="0.3">
      <c r="I81" s="40">
        <f>I80+1%</f>
        <v>0.01</v>
      </c>
      <c r="J81" s="33">
        <v>145.38845225010456</v>
      </c>
      <c r="K81" s="33">
        <v>117.04619455203429</v>
      </c>
      <c r="L81" s="33">
        <v>97.282713561316299</v>
      </c>
      <c r="M81" s="33">
        <v>82.612836129623332</v>
      </c>
      <c r="O81" s="40">
        <f t="shared" si="11"/>
        <v>1.7940040289631203</v>
      </c>
      <c r="P81" s="40">
        <f t="shared" si="11"/>
        <v>1.444278010745518</v>
      </c>
      <c r="Q81" s="40">
        <f t="shared" si="11"/>
        <v>1.2004088177322287</v>
      </c>
      <c r="R81" s="40">
        <f t="shared" si="11"/>
        <v>1.0193915580424491</v>
      </c>
    </row>
    <row r="82" spans="8:18" x14ac:dyDescent="0.3">
      <c r="I82" s="40">
        <f>I81+1%</f>
        <v>0.02</v>
      </c>
      <c r="J82" s="33">
        <v>202.80567167028465</v>
      </c>
      <c r="K82" s="33">
        <v>153.30130835879478</v>
      </c>
      <c r="L82" s="33">
        <v>122.44810643780545</v>
      </c>
      <c r="M82" s="33">
        <v>101.16637089279854</v>
      </c>
      <c r="O82" s="40">
        <f t="shared" si="11"/>
        <v>2.5024971821501785</v>
      </c>
      <c r="P82" s="40">
        <f t="shared" si="11"/>
        <v>1.8916438037863335</v>
      </c>
      <c r="Q82" s="40">
        <f t="shared" si="11"/>
        <v>1.5109342790886611</v>
      </c>
      <c r="R82" s="40">
        <f t="shared" si="11"/>
        <v>1.2483307592066852</v>
      </c>
    </row>
    <row r="83" spans="8:18" x14ac:dyDescent="0.3">
      <c r="I83" s="40">
        <f>I82+1%</f>
        <v>0.03</v>
      </c>
      <c r="J83" s="33">
        <v>319.07752440276465</v>
      </c>
      <c r="K83" s="33">
        <v>214.72426359874333</v>
      </c>
      <c r="L83" s="33">
        <v>160.95927960709557</v>
      </c>
      <c r="M83" s="33">
        <v>127.75452541913468</v>
      </c>
      <c r="O83" s="40">
        <f t="shared" si="11"/>
        <v>3.9372202913710188</v>
      </c>
      <c r="P83" s="40">
        <f t="shared" si="11"/>
        <v>2.6495652718664084</v>
      </c>
      <c r="Q83" s="40">
        <f t="shared" si="11"/>
        <v>1.9861384562880453</v>
      </c>
      <c r="R83" s="40">
        <f t="shared" si="11"/>
        <v>1.5764122237571598</v>
      </c>
    </row>
    <row r="85" spans="8:18" x14ac:dyDescent="0.3">
      <c r="H85" s="39" t="s">
        <v>373</v>
      </c>
      <c r="I85" s="33">
        <f>E52/1000</f>
        <v>90.923888687130258</v>
      </c>
      <c r="J85" s="34">
        <v>0.05</v>
      </c>
      <c r="K85" s="40">
        <f>J85+1%</f>
        <v>6.0000000000000005E-2</v>
      </c>
      <c r="L85" s="40">
        <f>K85+1%</f>
        <v>7.0000000000000007E-2</v>
      </c>
      <c r="M85" s="40">
        <f>L85+1%</f>
        <v>0.08</v>
      </c>
    </row>
    <row r="86" spans="8:18" x14ac:dyDescent="0.3">
      <c r="I86" s="29">
        <v>9</v>
      </c>
      <c r="J86" s="33">
        <f t="dataTable" ref="J86:M89" dt2D="1" dtr="1" r1="D9" r2="D13" ca="1"/>
        <v>106.40368810582419</v>
      </c>
      <c r="K86" s="33">
        <v>104.95869835481018</v>
      </c>
      <c r="L86" s="33">
        <v>103.00166464383156</v>
      </c>
      <c r="M86" s="33">
        <v>100.68556649133471</v>
      </c>
      <c r="O86" s="40">
        <f t="shared" ref="O86:R89" si="12">J86/$I$85</f>
        <v>1.1702500810536165</v>
      </c>
      <c r="P86" s="40">
        <f t="shared" si="12"/>
        <v>1.1543577806705321</v>
      </c>
      <c r="Q86" s="40">
        <f t="shared" si="12"/>
        <v>1.1328339134092804</v>
      </c>
      <c r="R86" s="40">
        <f t="shared" si="12"/>
        <v>1.1073609801027589</v>
      </c>
    </row>
    <row r="87" spans="8:18" x14ac:dyDescent="0.3">
      <c r="I87" s="29">
        <v>10</v>
      </c>
      <c r="J87" s="33">
        <v>118.22632011758245</v>
      </c>
      <c r="K87" s="33">
        <v>116.62077594978911</v>
      </c>
      <c r="L87" s="33">
        <v>114.44629404870173</v>
      </c>
      <c r="M87" s="33">
        <v>111.87285165703857</v>
      </c>
      <c r="O87" s="40">
        <f t="shared" si="12"/>
        <v>1.3002778678373519</v>
      </c>
      <c r="P87" s="40">
        <f t="shared" si="12"/>
        <v>1.2826197563005914</v>
      </c>
      <c r="Q87" s="40">
        <f t="shared" si="12"/>
        <v>1.2587043482325337</v>
      </c>
      <c r="R87" s="40">
        <f t="shared" si="12"/>
        <v>1.2304010890030654</v>
      </c>
    </row>
    <row r="88" spans="8:18" x14ac:dyDescent="0.3">
      <c r="I88" s="29">
        <v>11</v>
      </c>
      <c r="J88" s="33">
        <v>130.04895212934065</v>
      </c>
      <c r="K88" s="33">
        <v>128.28285354476802</v>
      </c>
      <c r="L88" s="33">
        <v>125.89092345357192</v>
      </c>
      <c r="M88" s="33">
        <v>123.06013682274244</v>
      </c>
      <c r="O88" s="40">
        <f t="shared" si="12"/>
        <v>1.4303056546210866</v>
      </c>
      <c r="P88" s="40">
        <f t="shared" si="12"/>
        <v>1.4108817319306506</v>
      </c>
      <c r="Q88" s="40">
        <f t="shared" si="12"/>
        <v>1.3845747830557871</v>
      </c>
      <c r="R88" s="40">
        <f t="shared" si="12"/>
        <v>1.353441197903372</v>
      </c>
    </row>
    <row r="89" spans="8:18" x14ac:dyDescent="0.3">
      <c r="I89" s="29">
        <v>12</v>
      </c>
      <c r="J89" s="33">
        <v>141.87158414109894</v>
      </c>
      <c r="K89" s="33">
        <v>139.94493113974687</v>
      </c>
      <c r="L89" s="33">
        <v>137.33555285844207</v>
      </c>
      <c r="M89" s="33">
        <v>134.24742198844629</v>
      </c>
      <c r="O89" s="40">
        <f t="shared" si="12"/>
        <v>1.5603334414048222</v>
      </c>
      <c r="P89" s="40">
        <f t="shared" si="12"/>
        <v>1.5391437075607091</v>
      </c>
      <c r="Q89" s="40">
        <f t="shared" si="12"/>
        <v>1.5104452178790404</v>
      </c>
      <c r="R89" s="40">
        <f t="shared" si="12"/>
        <v>1.4764813068036786</v>
      </c>
    </row>
    <row r="91" spans="8:18" x14ac:dyDescent="0.3">
      <c r="H91" s="39" t="s">
        <v>374</v>
      </c>
      <c r="I91" s="33">
        <f>E53/1000</f>
        <v>64.275599172613468</v>
      </c>
      <c r="J91" s="34">
        <v>0.05</v>
      </c>
      <c r="K91" s="40">
        <f>J91+1%</f>
        <v>6.0000000000000005E-2</v>
      </c>
      <c r="L91" s="40">
        <f>K91+1%</f>
        <v>7.0000000000000007E-2</v>
      </c>
      <c r="M91" s="40">
        <f>L91+1%</f>
        <v>0.08</v>
      </c>
    </row>
    <row r="92" spans="8:18" x14ac:dyDescent="0.3">
      <c r="I92" s="34">
        <v>0</v>
      </c>
      <c r="J92" s="33">
        <f t="dataTable" ref="J92:M95" dt2D="1" dtr="1" r1="D9" r2="D10" ca="1"/>
        <v>111.13047303476827</v>
      </c>
      <c r="K92" s="33">
        <v>93.017131706183477</v>
      </c>
      <c r="L92" s="33">
        <v>79.408080666690182</v>
      </c>
      <c r="M92" s="33">
        <v>68.766193716803244</v>
      </c>
      <c r="O92" s="40">
        <f t="shared" ref="O92:R95" si="13">J92/$I$91</f>
        <v>1.7289682938050108</v>
      </c>
      <c r="P92" s="40">
        <f t="shared" si="13"/>
        <v>1.4471608651423695</v>
      </c>
      <c r="Q92" s="40">
        <f t="shared" si="13"/>
        <v>1.2354312007802233</v>
      </c>
      <c r="R92" s="40">
        <f t="shared" si="13"/>
        <v>1.0698646858527168</v>
      </c>
    </row>
    <row r="93" spans="8:18" x14ac:dyDescent="0.3">
      <c r="I93" s="40">
        <f>I92+1%</f>
        <v>0.01</v>
      </c>
      <c r="J93" s="33">
        <v>116.83669026070417</v>
      </c>
      <c r="K93" s="33">
        <v>97.825884854058415</v>
      </c>
      <c r="L93" s="33">
        <v>83.526049751668509</v>
      </c>
      <c r="M93" s="33">
        <v>72.3339012998008</v>
      </c>
      <c r="O93" s="40">
        <f t="shared" si="13"/>
        <v>1.8177456416537914</v>
      </c>
      <c r="P93" s="40">
        <f t="shared" si="13"/>
        <v>1.5219754636801588</v>
      </c>
      <c r="Q93" s="40">
        <f t="shared" si="13"/>
        <v>1.2994985784163218</v>
      </c>
      <c r="R93" s="40">
        <f t="shared" si="13"/>
        <v>1.1253710930884766</v>
      </c>
    </row>
    <row r="94" spans="8:18" x14ac:dyDescent="0.3">
      <c r="I94" s="40">
        <f>I93+1%</f>
        <v>0.02</v>
      </c>
      <c r="J94" s="33">
        <v>122.88897366938268</v>
      </c>
      <c r="K94" s="33">
        <v>102.92771767813622</v>
      </c>
      <c r="L94" s="33">
        <v>87.895560971809658</v>
      </c>
      <c r="M94" s="33">
        <v>76.119609756360433</v>
      </c>
      <c r="O94" s="40">
        <f t="shared" si="13"/>
        <v>1.9119070884016462</v>
      </c>
      <c r="P94" s="40">
        <f t="shared" si="13"/>
        <v>1.6013497968602624</v>
      </c>
      <c r="Q94" s="40">
        <f t="shared" si="13"/>
        <v>1.3674794494838436</v>
      </c>
      <c r="R94" s="40">
        <f t="shared" si="13"/>
        <v>1.1842691586886591</v>
      </c>
    </row>
    <row r="95" spans="8:18" x14ac:dyDescent="0.3">
      <c r="I95" s="40">
        <f>I94+1%</f>
        <v>0.03</v>
      </c>
      <c r="J95" s="33">
        <v>129.30958812186205</v>
      </c>
      <c r="K95" s="33">
        <v>108.34154135967601</v>
      </c>
      <c r="L95" s="33">
        <v>92.532866898918641</v>
      </c>
      <c r="M95" s="33">
        <v>80.137407219926885</v>
      </c>
      <c r="O95" s="40">
        <f t="shared" si="13"/>
        <v>2.0117990308359235</v>
      </c>
      <c r="P95" s="40">
        <f t="shared" si="13"/>
        <v>1.685578084907813</v>
      </c>
      <c r="Q95" s="40">
        <f t="shared" si="13"/>
        <v>1.4396266715526009</v>
      </c>
      <c r="R95" s="40">
        <f t="shared" si="13"/>
        <v>1.2467780658833876</v>
      </c>
    </row>
    <row r="97" spans="1:6" x14ac:dyDescent="0.3">
      <c r="A97" s="26" t="s">
        <v>437</v>
      </c>
    </row>
    <row r="98" spans="1:6" x14ac:dyDescent="0.3">
      <c r="B98" s="26" t="s">
        <v>464</v>
      </c>
    </row>
    <row r="99" spans="1:6" x14ac:dyDescent="0.3">
      <c r="C99" s="73" t="s">
        <v>158</v>
      </c>
      <c r="D99" s="35">
        <f>'Historic Data from PDF'!V63</f>
        <v>38132</v>
      </c>
    </row>
    <row r="100" spans="1:6" x14ac:dyDescent="0.3">
      <c r="C100" s="73" t="s">
        <v>458</v>
      </c>
      <c r="D100" s="35">
        <f>'Historic Data from PDF'!V64</f>
        <v>-4676</v>
      </c>
    </row>
    <row r="101" spans="1:6" x14ac:dyDescent="0.3">
      <c r="C101" s="73" t="s">
        <v>192</v>
      </c>
      <c r="D101" s="35">
        <f>'Historic Data from PDF'!V65</f>
        <v>3742</v>
      </c>
    </row>
    <row r="102" spans="1:6" x14ac:dyDescent="0.3">
      <c r="C102" s="73" t="s">
        <v>194</v>
      </c>
      <c r="D102" s="35">
        <f>'Historic Data from PDF'!V66</f>
        <v>2547</v>
      </c>
    </row>
    <row r="103" spans="1:6" x14ac:dyDescent="0.3">
      <c r="C103" s="73" t="s">
        <v>459</v>
      </c>
      <c r="D103" s="35">
        <f>'Historic Data from PDF'!V67</f>
        <v>-381</v>
      </c>
    </row>
    <row r="104" spans="1:6" ht="12.5" thickBot="1" x14ac:dyDescent="0.35">
      <c r="C104" s="68" t="s">
        <v>260</v>
      </c>
      <c r="D104" s="66">
        <f>'Historic Data from PDF'!V68</f>
        <v>39364</v>
      </c>
    </row>
    <row r="106" spans="1:6" x14ac:dyDescent="0.3">
      <c r="A106" s="26" t="s">
        <v>470</v>
      </c>
    </row>
    <row r="107" spans="1:6" x14ac:dyDescent="0.3">
      <c r="C107" s="26" t="s">
        <v>409</v>
      </c>
      <c r="E107" s="35">
        <f>SUMIF(5:5,TRUE,38:38)</f>
        <v>87640.141516330885</v>
      </c>
    </row>
    <row r="108" spans="1:6" x14ac:dyDescent="0.3">
      <c r="C108" s="26" t="s">
        <v>471</v>
      </c>
      <c r="E108" s="40">
        <f>SUMIF(5:5,TRUE,40:40)</f>
        <v>5.0861460197710609E-2</v>
      </c>
    </row>
    <row r="109" spans="1:6" x14ac:dyDescent="0.3">
      <c r="C109" s="26" t="s">
        <v>472</v>
      </c>
      <c r="E109" s="40">
        <f>D12</f>
        <v>5.7000000000000002E-2</v>
      </c>
    </row>
    <row r="110" spans="1:6" x14ac:dyDescent="0.3">
      <c r="C110" s="26" t="s">
        <v>372</v>
      </c>
      <c r="E110" s="40">
        <f>D10</f>
        <v>1.2999999999999999E-2</v>
      </c>
    </row>
    <row r="111" spans="1:6" x14ac:dyDescent="0.3">
      <c r="C111" s="26" t="s">
        <v>267</v>
      </c>
      <c r="E111" s="40">
        <f>D9</f>
        <v>5.7000000000000002E-2</v>
      </c>
    </row>
    <row r="112" spans="1:6" x14ac:dyDescent="0.3">
      <c r="C112" s="26" t="s">
        <v>473</v>
      </c>
      <c r="E112" s="26">
        <v>1</v>
      </c>
      <c r="F112" s="33">
        <f>D16</f>
        <v>15</v>
      </c>
    </row>
    <row r="113" spans="3:55" x14ac:dyDescent="0.3">
      <c r="E113" s="40">
        <f>E108</f>
        <v>5.0861460197710609E-2</v>
      </c>
      <c r="F113" s="40">
        <f>E109</f>
        <v>5.7000000000000002E-2</v>
      </c>
    </row>
    <row r="114" spans="3:55" x14ac:dyDescent="0.3">
      <c r="C114" s="26" t="s">
        <v>474</v>
      </c>
      <c r="E114" s="26">
        <v>11</v>
      </c>
    </row>
    <row r="116" spans="3:55" x14ac:dyDescent="0.3">
      <c r="C116" s="26" t="s">
        <v>309</v>
      </c>
      <c r="F116" s="26">
        <v>1</v>
      </c>
      <c r="G116" s="26">
        <v>2</v>
      </c>
      <c r="H116" s="26">
        <v>3</v>
      </c>
      <c r="I116" s="26">
        <v>4</v>
      </c>
      <c r="J116" s="26">
        <v>5</v>
      </c>
      <c r="K116" s="26">
        <v>6</v>
      </c>
      <c r="L116" s="26">
        <v>7</v>
      </c>
      <c r="M116" s="26">
        <v>8</v>
      </c>
      <c r="N116" s="26">
        <v>9</v>
      </c>
      <c r="O116" s="26">
        <v>10</v>
      </c>
      <c r="P116" s="26">
        <v>11</v>
      </c>
      <c r="Q116" s="26">
        <v>12</v>
      </c>
      <c r="R116" s="26">
        <v>13</v>
      </c>
      <c r="S116" s="26">
        <v>14</v>
      </c>
      <c r="T116" s="26">
        <v>15</v>
      </c>
      <c r="U116" s="26">
        <v>16</v>
      </c>
      <c r="V116" s="26">
        <v>17</v>
      </c>
      <c r="W116" s="26">
        <v>18</v>
      </c>
      <c r="X116" s="26">
        <v>19</v>
      </c>
      <c r="Y116" s="26">
        <v>20</v>
      </c>
      <c r="Z116" s="26">
        <v>21</v>
      </c>
      <c r="AA116" s="26">
        <v>22</v>
      </c>
      <c r="AB116" s="26">
        <v>23</v>
      </c>
      <c r="AC116" s="26">
        <v>24</v>
      </c>
      <c r="AD116" s="26">
        <v>25</v>
      </c>
      <c r="AE116" s="26">
        <v>26</v>
      </c>
      <c r="AF116" s="26">
        <v>27</v>
      </c>
      <c r="AG116" s="26">
        <v>28</v>
      </c>
      <c r="AH116" s="26">
        <v>29</v>
      </c>
      <c r="AI116" s="26">
        <v>30</v>
      </c>
      <c r="AJ116" s="26">
        <v>31</v>
      </c>
      <c r="AK116" s="26">
        <v>32</v>
      </c>
      <c r="AL116" s="26">
        <v>33</v>
      </c>
      <c r="AM116" s="26">
        <v>34</v>
      </c>
      <c r="AN116" s="26">
        <v>35</v>
      </c>
      <c r="AO116" s="26">
        <v>36</v>
      </c>
      <c r="AP116" s="26">
        <v>37</v>
      </c>
      <c r="AQ116" s="26">
        <v>38</v>
      </c>
      <c r="AR116" s="26">
        <v>39</v>
      </c>
      <c r="AS116" s="26">
        <v>40</v>
      </c>
      <c r="AT116" s="26">
        <v>41</v>
      </c>
      <c r="AU116" s="26">
        <v>42</v>
      </c>
      <c r="AV116" s="26">
        <v>43</v>
      </c>
      <c r="AW116" s="26">
        <v>44</v>
      </c>
      <c r="AX116" s="26">
        <v>45</v>
      </c>
      <c r="AY116" s="26">
        <v>46</v>
      </c>
      <c r="AZ116" s="26">
        <v>47</v>
      </c>
      <c r="BA116" s="26">
        <v>48</v>
      </c>
      <c r="BB116" s="26">
        <v>49</v>
      </c>
      <c r="BC116" s="26">
        <v>50</v>
      </c>
    </row>
    <row r="117" spans="3:55" x14ac:dyDescent="0.3">
      <c r="E117" s="26">
        <f>E114</f>
        <v>11</v>
      </c>
      <c r="F117" s="26" t="b">
        <f>F116&lt;=$E$117</f>
        <v>1</v>
      </c>
      <c r="G117" s="26" t="b">
        <f t="shared" ref="G117:BC117" si="14">G116&lt;=$E$117</f>
        <v>1</v>
      </c>
      <c r="H117" s="26" t="b">
        <f t="shared" si="14"/>
        <v>1</v>
      </c>
      <c r="I117" s="26" t="b">
        <f t="shared" si="14"/>
        <v>1</v>
      </c>
      <c r="J117" s="26" t="b">
        <f t="shared" si="14"/>
        <v>1</v>
      </c>
      <c r="K117" s="26" t="b">
        <f t="shared" si="14"/>
        <v>1</v>
      </c>
      <c r="L117" s="26" t="b">
        <f t="shared" si="14"/>
        <v>1</v>
      </c>
      <c r="M117" s="26" t="b">
        <f t="shared" si="14"/>
        <v>1</v>
      </c>
      <c r="N117" s="26" t="b">
        <f t="shared" si="14"/>
        <v>1</v>
      </c>
      <c r="O117" s="26" t="b">
        <f t="shared" si="14"/>
        <v>1</v>
      </c>
      <c r="P117" s="26" t="b">
        <f t="shared" si="14"/>
        <v>1</v>
      </c>
      <c r="Q117" s="26" t="b">
        <f t="shared" si="14"/>
        <v>0</v>
      </c>
      <c r="R117" s="26" t="b">
        <f t="shared" si="14"/>
        <v>0</v>
      </c>
      <c r="S117" s="26" t="b">
        <f t="shared" si="14"/>
        <v>0</v>
      </c>
      <c r="T117" s="26" t="b">
        <f t="shared" si="14"/>
        <v>0</v>
      </c>
      <c r="U117" s="26" t="b">
        <f t="shared" si="14"/>
        <v>0</v>
      </c>
      <c r="V117" s="26" t="b">
        <f t="shared" si="14"/>
        <v>0</v>
      </c>
      <c r="W117" s="26" t="b">
        <f t="shared" si="14"/>
        <v>0</v>
      </c>
      <c r="X117" s="26" t="b">
        <f t="shared" si="14"/>
        <v>0</v>
      </c>
      <c r="Y117" s="26" t="b">
        <f t="shared" si="14"/>
        <v>0</v>
      </c>
      <c r="Z117" s="26" t="b">
        <f t="shared" si="14"/>
        <v>0</v>
      </c>
      <c r="AA117" s="26" t="b">
        <f t="shared" si="14"/>
        <v>0</v>
      </c>
      <c r="AB117" s="26" t="b">
        <f t="shared" si="14"/>
        <v>0</v>
      </c>
      <c r="AC117" s="26" t="b">
        <f t="shared" si="14"/>
        <v>0</v>
      </c>
      <c r="AD117" s="26" t="b">
        <f t="shared" si="14"/>
        <v>0</v>
      </c>
      <c r="AE117" s="26" t="b">
        <f t="shared" si="14"/>
        <v>0</v>
      </c>
      <c r="AF117" s="26" t="b">
        <f t="shared" si="14"/>
        <v>0</v>
      </c>
      <c r="AG117" s="26" t="b">
        <f t="shared" si="14"/>
        <v>0</v>
      </c>
      <c r="AH117" s="26" t="b">
        <f t="shared" si="14"/>
        <v>0</v>
      </c>
      <c r="AI117" s="26" t="b">
        <f t="shared" si="14"/>
        <v>0</v>
      </c>
      <c r="AJ117" s="26" t="b">
        <f t="shared" si="14"/>
        <v>0</v>
      </c>
      <c r="AK117" s="26" t="b">
        <f t="shared" si="14"/>
        <v>0</v>
      </c>
      <c r="AL117" s="26" t="b">
        <f t="shared" si="14"/>
        <v>0</v>
      </c>
      <c r="AM117" s="26" t="b">
        <f t="shared" si="14"/>
        <v>0</v>
      </c>
      <c r="AN117" s="26" t="b">
        <f t="shared" si="14"/>
        <v>0</v>
      </c>
      <c r="AO117" s="26" t="b">
        <f t="shared" si="14"/>
        <v>0</v>
      </c>
      <c r="AP117" s="26" t="b">
        <f t="shared" si="14"/>
        <v>0</v>
      </c>
      <c r="AQ117" s="26" t="b">
        <f t="shared" si="14"/>
        <v>0</v>
      </c>
      <c r="AR117" s="26" t="b">
        <f t="shared" si="14"/>
        <v>0</v>
      </c>
      <c r="AS117" s="26" t="b">
        <f t="shared" si="14"/>
        <v>0</v>
      </c>
      <c r="AT117" s="26" t="b">
        <f t="shared" si="14"/>
        <v>0</v>
      </c>
      <c r="AU117" s="26" t="b">
        <f t="shared" si="14"/>
        <v>0</v>
      </c>
      <c r="AV117" s="26" t="b">
        <f t="shared" si="14"/>
        <v>0</v>
      </c>
      <c r="AW117" s="26" t="b">
        <f t="shared" si="14"/>
        <v>0</v>
      </c>
      <c r="AX117" s="26" t="b">
        <f t="shared" si="14"/>
        <v>0</v>
      </c>
      <c r="AY117" s="26" t="b">
        <f t="shared" si="14"/>
        <v>0</v>
      </c>
      <c r="AZ117" s="26" t="b">
        <f t="shared" si="14"/>
        <v>0</v>
      </c>
      <c r="BA117" s="26" t="b">
        <f t="shared" si="14"/>
        <v>0</v>
      </c>
      <c r="BB117" s="26" t="b">
        <f t="shared" si="14"/>
        <v>0</v>
      </c>
      <c r="BC117" s="26" t="b">
        <f t="shared" si="14"/>
        <v>0</v>
      </c>
    </row>
    <row r="118" spans="3:55" x14ac:dyDescent="0.3">
      <c r="C118" s="26" t="s">
        <v>409</v>
      </c>
      <c r="E118" s="89">
        <f>E107</f>
        <v>87640.141516330885</v>
      </c>
      <c r="F118" s="33">
        <f>E118*(1+$E$110)</f>
        <v>88779.463356043183</v>
      </c>
      <c r="G118" s="33">
        <f t="shared" ref="G118:BC118" si="15">F118*(1+$E$110)</f>
        <v>89933.596379671741</v>
      </c>
      <c r="H118" s="33">
        <f t="shared" si="15"/>
        <v>91102.733132607464</v>
      </c>
      <c r="I118" s="33">
        <f t="shared" si="15"/>
        <v>92287.068663331345</v>
      </c>
      <c r="J118" s="33">
        <f t="shared" si="15"/>
        <v>93486.800555954644</v>
      </c>
      <c r="K118" s="33">
        <f t="shared" si="15"/>
        <v>94702.12896318204</v>
      </c>
      <c r="L118" s="33">
        <f t="shared" si="15"/>
        <v>95933.256639703395</v>
      </c>
      <c r="M118" s="33">
        <f t="shared" si="15"/>
        <v>97180.388976019531</v>
      </c>
      <c r="N118" s="33">
        <f t="shared" si="15"/>
        <v>98443.734032707769</v>
      </c>
      <c r="O118" s="33">
        <f t="shared" si="15"/>
        <v>99723.502575132967</v>
      </c>
      <c r="P118" s="33">
        <f t="shared" si="15"/>
        <v>101019.90810860968</v>
      </c>
      <c r="Q118" s="33">
        <f t="shared" si="15"/>
        <v>102333.1669140216</v>
      </c>
      <c r="R118" s="33">
        <f t="shared" si="15"/>
        <v>103663.49808390386</v>
      </c>
      <c r="S118" s="33">
        <f t="shared" si="15"/>
        <v>105011.1235589946</v>
      </c>
      <c r="T118" s="33">
        <f t="shared" si="15"/>
        <v>106376.26816526151</v>
      </c>
      <c r="U118" s="33">
        <f t="shared" si="15"/>
        <v>107759.15965140991</v>
      </c>
      <c r="V118" s="33">
        <f t="shared" si="15"/>
        <v>109160.02872687823</v>
      </c>
      <c r="W118" s="33">
        <f t="shared" si="15"/>
        <v>110579.10910032764</v>
      </c>
      <c r="X118" s="33">
        <f t="shared" si="15"/>
        <v>112016.63751863189</v>
      </c>
      <c r="Y118" s="33">
        <f t="shared" si="15"/>
        <v>113472.8538063741</v>
      </c>
      <c r="Z118" s="33">
        <f t="shared" si="15"/>
        <v>114948.00090585696</v>
      </c>
      <c r="AA118" s="33">
        <f t="shared" si="15"/>
        <v>116442.32491763309</v>
      </c>
      <c r="AB118" s="33">
        <f t="shared" si="15"/>
        <v>117956.07514156231</v>
      </c>
      <c r="AC118" s="33">
        <f t="shared" si="15"/>
        <v>119489.5041184026</v>
      </c>
      <c r="AD118" s="33">
        <f t="shared" si="15"/>
        <v>121042.86767194183</v>
      </c>
      <c r="AE118" s="33">
        <f t="shared" si="15"/>
        <v>122616.42495167707</v>
      </c>
      <c r="AF118" s="33">
        <f t="shared" si="15"/>
        <v>124210.43847604886</v>
      </c>
      <c r="AG118" s="33">
        <f t="shared" si="15"/>
        <v>125825.17417623749</v>
      </c>
      <c r="AH118" s="33">
        <f t="shared" si="15"/>
        <v>127460.90144052856</v>
      </c>
      <c r="AI118" s="33">
        <f t="shared" si="15"/>
        <v>129117.89315925541</v>
      </c>
      <c r="AJ118" s="33">
        <f t="shared" si="15"/>
        <v>130796.42577032572</v>
      </c>
      <c r="AK118" s="33">
        <f t="shared" si="15"/>
        <v>132496.77930533994</v>
      </c>
      <c r="AL118" s="33">
        <f t="shared" si="15"/>
        <v>134219.23743630934</v>
      </c>
      <c r="AM118" s="33">
        <f t="shared" si="15"/>
        <v>135964.08752298134</v>
      </c>
      <c r="AN118" s="33">
        <f t="shared" si="15"/>
        <v>137731.62066078009</v>
      </c>
      <c r="AO118" s="33">
        <f t="shared" si="15"/>
        <v>139522.13172937022</v>
      </c>
      <c r="AP118" s="33">
        <f t="shared" si="15"/>
        <v>141335.91944185202</v>
      </c>
      <c r="AQ118" s="33">
        <f t="shared" si="15"/>
        <v>143173.28639459607</v>
      </c>
      <c r="AR118" s="33">
        <f t="shared" si="15"/>
        <v>145034.5391177258</v>
      </c>
      <c r="AS118" s="33">
        <f t="shared" si="15"/>
        <v>146919.98812625621</v>
      </c>
      <c r="AT118" s="33">
        <f t="shared" si="15"/>
        <v>148829.94797189752</v>
      </c>
      <c r="AU118" s="33">
        <f t="shared" si="15"/>
        <v>150764.73729553216</v>
      </c>
      <c r="AV118" s="33">
        <f t="shared" si="15"/>
        <v>152724.67888037406</v>
      </c>
      <c r="AW118" s="33">
        <f t="shared" si="15"/>
        <v>154710.09970581892</v>
      </c>
      <c r="AX118" s="33">
        <f t="shared" si="15"/>
        <v>156721.33100199455</v>
      </c>
      <c r="AY118" s="33">
        <f t="shared" si="15"/>
        <v>158758.70830502047</v>
      </c>
      <c r="AZ118" s="33">
        <f t="shared" si="15"/>
        <v>160822.57151298571</v>
      </c>
      <c r="BA118" s="33">
        <f t="shared" si="15"/>
        <v>162913.26494265452</v>
      </c>
      <c r="BB118" s="33">
        <f t="shared" si="15"/>
        <v>165031.13738690902</v>
      </c>
      <c r="BC118" s="33">
        <f t="shared" si="15"/>
        <v>167176.54217293882</v>
      </c>
    </row>
    <row r="119" spans="3:55" x14ac:dyDescent="0.3">
      <c r="C119" s="26" t="s">
        <v>153</v>
      </c>
      <c r="F119" s="40">
        <f>interpolate_look_up(F116,112:112,113:113)</f>
        <v>5.0861460197710609E-2</v>
      </c>
      <c r="G119" s="40">
        <f t="shared" ref="G119:BC119" si="16">interpolate_look_up(G116,112:112,113:113)</f>
        <v>5.1277110078512995E-2</v>
      </c>
      <c r="H119" s="40">
        <f t="shared" si="16"/>
        <v>5.169615673209263E-2</v>
      </c>
      <c r="I119" s="40">
        <f t="shared" si="16"/>
        <v>5.211862791754638E-2</v>
      </c>
      <c r="J119" s="40">
        <f t="shared" si="16"/>
        <v>5.2544551620823915E-2</v>
      </c>
      <c r="K119" s="40">
        <f t="shared" si="16"/>
        <v>5.2973956056581596E-2</v>
      </c>
      <c r="L119" s="40">
        <f t="shared" si="16"/>
        <v>5.3406869670051545E-2</v>
      </c>
      <c r="M119" s="40">
        <f t="shared" si="16"/>
        <v>5.3843321138925905E-2</v>
      </c>
      <c r="N119" s="40">
        <f t="shared" si="16"/>
        <v>5.4283339375256562E-2</v>
      </c>
      <c r="O119" s="40">
        <f t="shared" si="16"/>
        <v>5.4726953527370434E-2</v>
      </c>
      <c r="P119" s="40">
        <f t="shared" si="16"/>
        <v>5.5174192981800277E-2</v>
      </c>
      <c r="Q119" s="40">
        <f t="shared" si="16"/>
        <v>5.5625087365231383E-2</v>
      </c>
      <c r="R119" s="40">
        <f t="shared" si="16"/>
        <v>5.6079666546464194E-2</v>
      </c>
      <c r="S119" s="40">
        <f t="shared" si="16"/>
        <v>5.6537960638392844E-2</v>
      </c>
      <c r="T119" s="40">
        <f t="shared" si="16"/>
        <v>5.7000000000000002E-2</v>
      </c>
      <c r="U119" s="40">
        <f t="shared" si="16"/>
        <v>5.7000000000000002E-2</v>
      </c>
      <c r="V119" s="40">
        <f t="shared" si="16"/>
        <v>5.7000000000000002E-2</v>
      </c>
      <c r="W119" s="40">
        <f t="shared" si="16"/>
        <v>5.7000000000000002E-2</v>
      </c>
      <c r="X119" s="40">
        <f t="shared" si="16"/>
        <v>5.7000000000000002E-2</v>
      </c>
      <c r="Y119" s="40">
        <f t="shared" si="16"/>
        <v>5.7000000000000002E-2</v>
      </c>
      <c r="Z119" s="40">
        <f t="shared" si="16"/>
        <v>5.7000000000000002E-2</v>
      </c>
      <c r="AA119" s="40">
        <f t="shared" si="16"/>
        <v>5.7000000000000002E-2</v>
      </c>
      <c r="AB119" s="40">
        <f t="shared" si="16"/>
        <v>5.7000000000000002E-2</v>
      </c>
      <c r="AC119" s="40">
        <f t="shared" si="16"/>
        <v>5.7000000000000002E-2</v>
      </c>
      <c r="AD119" s="40">
        <f t="shared" si="16"/>
        <v>5.7000000000000002E-2</v>
      </c>
      <c r="AE119" s="40">
        <f t="shared" si="16"/>
        <v>5.7000000000000002E-2</v>
      </c>
      <c r="AF119" s="40">
        <f t="shared" si="16"/>
        <v>5.7000000000000002E-2</v>
      </c>
      <c r="AG119" s="40">
        <f t="shared" si="16"/>
        <v>5.7000000000000002E-2</v>
      </c>
      <c r="AH119" s="40">
        <f t="shared" si="16"/>
        <v>5.7000000000000002E-2</v>
      </c>
      <c r="AI119" s="40">
        <f t="shared" si="16"/>
        <v>5.7000000000000002E-2</v>
      </c>
      <c r="AJ119" s="40">
        <f t="shared" si="16"/>
        <v>5.7000000000000002E-2</v>
      </c>
      <c r="AK119" s="40">
        <f t="shared" si="16"/>
        <v>5.7000000000000002E-2</v>
      </c>
      <c r="AL119" s="40">
        <f t="shared" si="16"/>
        <v>5.7000000000000002E-2</v>
      </c>
      <c r="AM119" s="40">
        <f t="shared" si="16"/>
        <v>5.7000000000000002E-2</v>
      </c>
      <c r="AN119" s="40">
        <f t="shared" si="16"/>
        <v>5.7000000000000002E-2</v>
      </c>
      <c r="AO119" s="40">
        <f t="shared" si="16"/>
        <v>5.7000000000000002E-2</v>
      </c>
      <c r="AP119" s="40">
        <f t="shared" si="16"/>
        <v>5.7000000000000002E-2</v>
      </c>
      <c r="AQ119" s="40">
        <f t="shared" si="16"/>
        <v>5.7000000000000002E-2</v>
      </c>
      <c r="AR119" s="40">
        <f t="shared" si="16"/>
        <v>5.7000000000000002E-2</v>
      </c>
      <c r="AS119" s="40">
        <f t="shared" si="16"/>
        <v>5.7000000000000002E-2</v>
      </c>
      <c r="AT119" s="40">
        <f t="shared" si="16"/>
        <v>5.7000000000000002E-2</v>
      </c>
      <c r="AU119" s="40">
        <f t="shared" si="16"/>
        <v>5.7000000000000002E-2</v>
      </c>
      <c r="AV119" s="40">
        <f t="shared" si="16"/>
        <v>5.7000000000000002E-2</v>
      </c>
      <c r="AW119" s="40">
        <f t="shared" si="16"/>
        <v>5.7000000000000002E-2</v>
      </c>
      <c r="AX119" s="40">
        <f t="shared" si="16"/>
        <v>5.7000000000000002E-2</v>
      </c>
      <c r="AY119" s="40">
        <f t="shared" si="16"/>
        <v>5.7000000000000002E-2</v>
      </c>
      <c r="AZ119" s="40">
        <f t="shared" si="16"/>
        <v>5.7000000000000002E-2</v>
      </c>
      <c r="BA119" s="40">
        <f t="shared" si="16"/>
        <v>5.7000000000000002E-2</v>
      </c>
      <c r="BB119" s="40">
        <f t="shared" si="16"/>
        <v>5.7000000000000002E-2</v>
      </c>
      <c r="BC119" s="40">
        <f t="shared" si="16"/>
        <v>5.7000000000000002E-2</v>
      </c>
    </row>
    <row r="120" spans="3:55" x14ac:dyDescent="0.3">
      <c r="C120" s="26" t="s">
        <v>196</v>
      </c>
      <c r="F120" s="35">
        <f>F118*F119</f>
        <v>4515.4531418574979</v>
      </c>
      <c r="G120" s="35">
        <f t="shared" ref="G120:BC120" si="17">G118*G119</f>
        <v>4611.5349213169857</v>
      </c>
      <c r="H120" s="35">
        <f t="shared" si="17"/>
        <v>4709.6611707452839</v>
      </c>
      <c r="I120" s="35">
        <f t="shared" si="17"/>
        <v>4809.8753932652207</v>
      </c>
      <c r="J120" s="35">
        <f t="shared" si="17"/>
        <v>4912.2220176780284</v>
      </c>
      <c r="K120" s="35">
        <f t="shared" si="17"/>
        <v>5016.7464181603282</v>
      </c>
      <c r="L120" s="35">
        <f t="shared" si="17"/>
        <v>5123.4949343802464</v>
      </c>
      <c r="M120" s="35">
        <f t="shared" si="17"/>
        <v>5232.514892041554</v>
      </c>
      <c r="N120" s="35">
        <f t="shared" si="17"/>
        <v>5343.8546238649697</v>
      </c>
      <c r="O120" s="35">
        <f t="shared" si="17"/>
        <v>5457.5634910159079</v>
      </c>
      <c r="P120" s="35">
        <f t="shared" si="17"/>
        <v>5573.6919049881617</v>
      </c>
      <c r="Q120" s="35">
        <f t="shared" si="17"/>
        <v>5692.2913499532569</v>
      </c>
      <c r="R120" s="35">
        <f t="shared" si="17"/>
        <v>5813.4144055853585</v>
      </c>
      <c r="S120" s="35">
        <f t="shared" si="17"/>
        <v>5937.1147703718443</v>
      </c>
      <c r="T120" s="35">
        <f t="shared" si="17"/>
        <v>6063.4472854199066</v>
      </c>
      <c r="U120" s="35">
        <f t="shared" si="17"/>
        <v>6142.2721001303653</v>
      </c>
      <c r="V120" s="35">
        <f t="shared" si="17"/>
        <v>6222.1216374320593</v>
      </c>
      <c r="W120" s="35">
        <f t="shared" si="17"/>
        <v>6303.0092187186756</v>
      </c>
      <c r="X120" s="35">
        <f t="shared" si="17"/>
        <v>6384.9483385620179</v>
      </c>
      <c r="Y120" s="35">
        <f t="shared" si="17"/>
        <v>6467.9526669633242</v>
      </c>
      <c r="Z120" s="35">
        <f t="shared" si="17"/>
        <v>6552.0360516338469</v>
      </c>
      <c r="AA120" s="35">
        <f t="shared" si="17"/>
        <v>6637.2125203050864</v>
      </c>
      <c r="AB120" s="35">
        <f t="shared" si="17"/>
        <v>6723.496283069052</v>
      </c>
      <c r="AC120" s="35">
        <f t="shared" si="17"/>
        <v>6810.9017347489489</v>
      </c>
      <c r="AD120" s="35">
        <f t="shared" si="17"/>
        <v>6899.4434573006847</v>
      </c>
      <c r="AE120" s="35">
        <f t="shared" si="17"/>
        <v>6989.1362222455928</v>
      </c>
      <c r="AF120" s="35">
        <f t="shared" si="17"/>
        <v>7079.9949931347855</v>
      </c>
      <c r="AG120" s="35">
        <f t="shared" si="17"/>
        <v>7172.0349280455366</v>
      </c>
      <c r="AH120" s="35">
        <f t="shared" si="17"/>
        <v>7265.2713821101279</v>
      </c>
      <c r="AI120" s="35">
        <f t="shared" si="17"/>
        <v>7359.7199100775588</v>
      </c>
      <c r="AJ120" s="35">
        <f t="shared" si="17"/>
        <v>7455.3962689085665</v>
      </c>
      <c r="AK120" s="35">
        <f t="shared" si="17"/>
        <v>7552.3164204043769</v>
      </c>
      <c r="AL120" s="35">
        <f t="shared" si="17"/>
        <v>7650.4965338696329</v>
      </c>
      <c r="AM120" s="35">
        <f t="shared" si="17"/>
        <v>7749.9529888099369</v>
      </c>
      <c r="AN120" s="35">
        <f t="shared" si="17"/>
        <v>7850.7023776644655</v>
      </c>
      <c r="AO120" s="35">
        <f t="shared" si="17"/>
        <v>7952.7615085741027</v>
      </c>
      <c r="AP120" s="35">
        <f t="shared" si="17"/>
        <v>8056.1474081855658</v>
      </c>
      <c r="AQ120" s="35">
        <f t="shared" si="17"/>
        <v>8160.8773244919767</v>
      </c>
      <c r="AR120" s="35">
        <f t="shared" si="17"/>
        <v>8266.9687297103701</v>
      </c>
      <c r="AS120" s="35">
        <f t="shared" si="17"/>
        <v>8374.4393231966042</v>
      </c>
      <c r="AT120" s="35">
        <f t="shared" si="17"/>
        <v>8483.3070343981581</v>
      </c>
      <c r="AU120" s="35">
        <f t="shared" si="17"/>
        <v>8593.590025845333</v>
      </c>
      <c r="AV120" s="35">
        <f t="shared" si="17"/>
        <v>8705.306696181322</v>
      </c>
      <c r="AW120" s="35">
        <f t="shared" si="17"/>
        <v>8818.4756832316798</v>
      </c>
      <c r="AX120" s="35">
        <f t="shared" si="17"/>
        <v>8933.1158671136891</v>
      </c>
      <c r="AY120" s="35">
        <f t="shared" si="17"/>
        <v>9049.2463733861678</v>
      </c>
      <c r="AZ120" s="35">
        <f t="shared" si="17"/>
        <v>9166.8865762401856</v>
      </c>
      <c r="BA120" s="35">
        <f t="shared" si="17"/>
        <v>9286.0561017313084</v>
      </c>
      <c r="BB120" s="35">
        <f t="shared" si="17"/>
        <v>9406.7748310538136</v>
      </c>
      <c r="BC120" s="35">
        <f t="shared" si="17"/>
        <v>9529.0629038575134</v>
      </c>
    </row>
    <row r="122" spans="3:55" x14ac:dyDescent="0.3">
      <c r="C122" s="26" t="s">
        <v>478</v>
      </c>
      <c r="E122" s="26">
        <v>1</v>
      </c>
      <c r="F122" s="26">
        <v>1</v>
      </c>
      <c r="G122" s="26">
        <v>1</v>
      </c>
      <c r="H122" s="26">
        <v>1</v>
      </c>
      <c r="I122" s="26">
        <v>1</v>
      </c>
      <c r="J122" s="26">
        <v>1</v>
      </c>
      <c r="K122" s="26">
        <v>1</v>
      </c>
      <c r="L122" s="26">
        <v>1</v>
      </c>
      <c r="M122" s="26">
        <v>1</v>
      </c>
      <c r="N122" s="26">
        <v>1</v>
      </c>
      <c r="O122" s="26">
        <v>1</v>
      </c>
      <c r="P122" s="26">
        <v>1</v>
      </c>
      <c r="Q122" s="26">
        <v>1</v>
      </c>
      <c r="R122" s="26">
        <v>1</v>
      </c>
      <c r="S122" s="26">
        <v>1</v>
      </c>
      <c r="T122" s="26">
        <v>1</v>
      </c>
      <c r="U122" s="26">
        <v>1</v>
      </c>
      <c r="V122" s="26">
        <v>1</v>
      </c>
      <c r="W122" s="26">
        <v>1</v>
      </c>
      <c r="X122" s="26">
        <v>1</v>
      </c>
      <c r="Y122" s="26">
        <v>1</v>
      </c>
      <c r="Z122" s="26">
        <v>1</v>
      </c>
      <c r="AA122" s="26">
        <v>1</v>
      </c>
      <c r="AB122" s="26">
        <v>1</v>
      </c>
      <c r="AC122" s="26">
        <v>1</v>
      </c>
      <c r="AD122" s="26">
        <v>1</v>
      </c>
      <c r="AE122" s="26">
        <v>1</v>
      </c>
      <c r="AF122" s="26">
        <v>1</v>
      </c>
      <c r="AG122" s="26">
        <v>1</v>
      </c>
      <c r="AH122" s="26">
        <v>1</v>
      </c>
      <c r="AI122" s="26">
        <v>1</v>
      </c>
      <c r="AJ122" s="26">
        <v>1</v>
      </c>
      <c r="AK122" s="26">
        <v>1</v>
      </c>
      <c r="AL122" s="26">
        <v>1</v>
      </c>
      <c r="AM122" s="26">
        <v>1</v>
      </c>
      <c r="AN122" s="26">
        <v>1</v>
      </c>
      <c r="AO122" s="26">
        <v>1</v>
      </c>
      <c r="AP122" s="26">
        <v>1</v>
      </c>
      <c r="AQ122" s="26">
        <v>1</v>
      </c>
      <c r="AR122" s="26">
        <v>1</v>
      </c>
      <c r="AS122" s="26">
        <v>1</v>
      </c>
      <c r="AT122" s="26">
        <v>1</v>
      </c>
      <c r="AU122" s="26">
        <v>1</v>
      </c>
      <c r="AV122" s="26">
        <v>1</v>
      </c>
      <c r="AW122" s="26">
        <v>1</v>
      </c>
      <c r="AX122" s="26">
        <v>1</v>
      </c>
      <c r="AY122" s="26">
        <v>1</v>
      </c>
      <c r="AZ122" s="26">
        <v>1</v>
      </c>
      <c r="BA122" s="26">
        <v>1</v>
      </c>
      <c r="BB122" s="26">
        <v>1</v>
      </c>
      <c r="BC122" s="26">
        <v>1</v>
      </c>
    </row>
    <row r="123" spans="3:55" x14ac:dyDescent="0.3">
      <c r="C123" s="26" t="s">
        <v>475</v>
      </c>
      <c r="E123" s="26">
        <v>1</v>
      </c>
      <c r="F123" s="33">
        <f>E123*(1+$E$111)</f>
        <v>1.0569999999999999</v>
      </c>
      <c r="G123" s="33">
        <f t="shared" ref="G123:BC123" si="18">F123*(1+$E$111)</f>
        <v>1.1172489999999999</v>
      </c>
      <c r="H123" s="33">
        <f t="shared" si="18"/>
        <v>1.1809321929999999</v>
      </c>
      <c r="I123" s="33">
        <f t="shared" si="18"/>
        <v>1.2482453280009997</v>
      </c>
      <c r="J123" s="33">
        <f t="shared" si="18"/>
        <v>1.3193953116970567</v>
      </c>
      <c r="K123" s="33">
        <f t="shared" si="18"/>
        <v>1.394600844463789</v>
      </c>
      <c r="L123" s="33">
        <f t="shared" si="18"/>
        <v>1.4740930925982247</v>
      </c>
      <c r="M123" s="33">
        <f t="shared" si="18"/>
        <v>1.5581163988763234</v>
      </c>
      <c r="N123" s="33">
        <f t="shared" si="18"/>
        <v>1.6469290336122737</v>
      </c>
      <c r="O123" s="33">
        <f t="shared" si="18"/>
        <v>1.7408039885281732</v>
      </c>
      <c r="P123" s="33">
        <f t="shared" si="18"/>
        <v>1.8400298158742789</v>
      </c>
      <c r="Q123" s="33">
        <f t="shared" si="18"/>
        <v>1.9449115153791128</v>
      </c>
      <c r="R123" s="33">
        <f t="shared" si="18"/>
        <v>2.0557714717557221</v>
      </c>
      <c r="S123" s="33">
        <f t="shared" si="18"/>
        <v>2.1729504456457982</v>
      </c>
      <c r="T123" s="33">
        <f t="shared" si="18"/>
        <v>2.2968086210476084</v>
      </c>
      <c r="U123" s="33">
        <f t="shared" si="18"/>
        <v>2.4277267124473219</v>
      </c>
      <c r="V123" s="33">
        <f t="shared" si="18"/>
        <v>2.5661071350568192</v>
      </c>
      <c r="W123" s="33">
        <f t="shared" si="18"/>
        <v>2.712375241755058</v>
      </c>
      <c r="X123" s="33">
        <f t="shared" si="18"/>
        <v>2.866980630535096</v>
      </c>
      <c r="Y123" s="33">
        <f t="shared" si="18"/>
        <v>3.0303985264755964</v>
      </c>
      <c r="Z123" s="33">
        <f t="shared" si="18"/>
        <v>3.2031312424847052</v>
      </c>
      <c r="AA123" s="33">
        <f t="shared" si="18"/>
        <v>3.3857097233063334</v>
      </c>
      <c r="AB123" s="33">
        <f t="shared" si="18"/>
        <v>3.5786951775347942</v>
      </c>
      <c r="AC123" s="33">
        <f t="shared" si="18"/>
        <v>3.7826808026542773</v>
      </c>
      <c r="AD123" s="33">
        <f t="shared" si="18"/>
        <v>3.9982936084055707</v>
      </c>
      <c r="AE123" s="33">
        <f t="shared" si="18"/>
        <v>4.2261963440846877</v>
      </c>
      <c r="AF123" s="33">
        <f t="shared" si="18"/>
        <v>4.4670895356975144</v>
      </c>
      <c r="AG123" s="33">
        <f t="shared" si="18"/>
        <v>4.7217136392322727</v>
      </c>
      <c r="AH123" s="33">
        <f t="shared" si="18"/>
        <v>4.990851316668512</v>
      </c>
      <c r="AI123" s="33">
        <f t="shared" si="18"/>
        <v>5.2753298417186167</v>
      </c>
      <c r="AJ123" s="33">
        <f t="shared" si="18"/>
        <v>5.5760236426965779</v>
      </c>
      <c r="AK123" s="33">
        <f t="shared" si="18"/>
        <v>5.8938569903302822</v>
      </c>
      <c r="AL123" s="33">
        <f t="shared" si="18"/>
        <v>6.2298068387791083</v>
      </c>
      <c r="AM123" s="33">
        <f t="shared" si="18"/>
        <v>6.584905828589517</v>
      </c>
      <c r="AN123" s="33">
        <f t="shared" si="18"/>
        <v>6.9602454608191193</v>
      </c>
      <c r="AO123" s="33">
        <f t="shared" si="18"/>
        <v>7.3569794520858087</v>
      </c>
      <c r="AP123" s="33">
        <f t="shared" si="18"/>
        <v>7.7763272808546997</v>
      </c>
      <c r="AQ123" s="33">
        <f t="shared" si="18"/>
        <v>8.219577935863418</v>
      </c>
      <c r="AR123" s="33">
        <f t="shared" si="18"/>
        <v>8.6880938782076331</v>
      </c>
      <c r="AS123" s="33">
        <f t="shared" si="18"/>
        <v>9.1833152292654674</v>
      </c>
      <c r="AT123" s="33">
        <f t="shared" si="18"/>
        <v>9.7067641973335981</v>
      </c>
      <c r="AU123" s="33">
        <f t="shared" si="18"/>
        <v>10.260049756581612</v>
      </c>
      <c r="AV123" s="33">
        <f t="shared" si="18"/>
        <v>10.844872592706762</v>
      </c>
      <c r="AW123" s="33">
        <f t="shared" si="18"/>
        <v>11.463030330491048</v>
      </c>
      <c r="AX123" s="33">
        <f t="shared" si="18"/>
        <v>12.116423059329037</v>
      </c>
      <c r="AY123" s="33">
        <f t="shared" si="18"/>
        <v>12.807059173710792</v>
      </c>
      <c r="AZ123" s="33">
        <f t="shared" si="18"/>
        <v>13.537061546612307</v>
      </c>
      <c r="BA123" s="33">
        <f t="shared" si="18"/>
        <v>14.308674054769208</v>
      </c>
      <c r="BB123" s="33">
        <f t="shared" si="18"/>
        <v>15.124268475891052</v>
      </c>
      <c r="BC123" s="33">
        <f t="shared" si="18"/>
        <v>15.986351779016841</v>
      </c>
    </row>
    <row r="125" spans="3:55" x14ac:dyDescent="0.3">
      <c r="C125" s="26" t="s">
        <v>476</v>
      </c>
      <c r="D125" s="33">
        <f>SUMPRODUCT(F120:BC120/F123:BC123*F117:BC117)</f>
        <v>39804.154630931109</v>
      </c>
    </row>
    <row r="126" spans="3:55" x14ac:dyDescent="0.3">
      <c r="C126" s="26" t="s">
        <v>475</v>
      </c>
      <c r="D126" s="33">
        <f>SUMPRODUCT(F122:BC122/F123:BC123*F117:BC117)</f>
        <v>8.0093078186205737</v>
      </c>
    </row>
    <row r="127" spans="3:55" x14ac:dyDescent="0.3">
      <c r="C127" s="26" t="s">
        <v>477</v>
      </c>
      <c r="D127" s="33">
        <f>D125/D126</f>
        <v>4969.7371523656202</v>
      </c>
    </row>
    <row r="129" spans="1:4" x14ac:dyDescent="0.3">
      <c r="C129" s="26" t="s">
        <v>479</v>
      </c>
      <c r="D129" s="33">
        <f>SUMIF(5:5,TRUE,39:39)</f>
        <v>4457.5055694545881</v>
      </c>
    </row>
    <row r="130" spans="1:4" x14ac:dyDescent="0.3">
      <c r="C130" s="26" t="s">
        <v>480</v>
      </c>
      <c r="D130" s="33">
        <f>D127-D129</f>
        <v>512.23158291103209</v>
      </c>
    </row>
    <row r="132" spans="1:4" x14ac:dyDescent="0.3">
      <c r="C132" s="26" t="s">
        <v>481</v>
      </c>
      <c r="D132" s="40">
        <f>D130/D129</f>
        <v>0.11491440109938164</v>
      </c>
    </row>
    <row r="133" spans="1:4" x14ac:dyDescent="0.3">
      <c r="C133" s="26" t="s">
        <v>149</v>
      </c>
      <c r="D133" s="40">
        <f>SUMIF(5:5,TRUE,23:23)</f>
        <v>0.25</v>
      </c>
    </row>
    <row r="135" spans="1:4" x14ac:dyDescent="0.3">
      <c r="C135" s="26" t="s">
        <v>482</v>
      </c>
      <c r="D135" s="33">
        <f>D130/(1-D133)</f>
        <v>682.97544388137612</v>
      </c>
    </row>
    <row r="136" spans="1:4" x14ac:dyDescent="0.3">
      <c r="C136" s="26" t="s">
        <v>487</v>
      </c>
      <c r="D136" s="111">
        <f>SUMIF(5:5,TRUE,27:27)</f>
        <v>11063.325752280001</v>
      </c>
    </row>
    <row r="137" spans="1:4" x14ac:dyDescent="0.3">
      <c r="C137" s="26" t="s">
        <v>488</v>
      </c>
      <c r="D137" s="33">
        <f>D136+D135</f>
        <v>11746.301196161377</v>
      </c>
    </row>
    <row r="139" spans="1:4" x14ac:dyDescent="0.3">
      <c r="A139" s="26" t="s">
        <v>483</v>
      </c>
    </row>
    <row r="140" spans="1:4" x14ac:dyDescent="0.3">
      <c r="C140" s="26" t="s">
        <v>484</v>
      </c>
      <c r="D140" s="111">
        <f>SUMIF(5:5,TRUE,24:24)</f>
        <v>5119.9849930072169</v>
      </c>
    </row>
    <row r="141" spans="1:4" x14ac:dyDescent="0.3">
      <c r="C141" s="26" t="s">
        <v>486</v>
      </c>
      <c r="D141" s="40">
        <f>D18</f>
        <v>1.0999999999999999E-2</v>
      </c>
    </row>
    <row r="142" spans="1:4" x14ac:dyDescent="0.3">
      <c r="C142" s="26" t="s">
        <v>489</v>
      </c>
      <c r="D142" s="40">
        <f>E110</f>
        <v>1.2999999999999999E-2</v>
      </c>
    </row>
    <row r="143" spans="1:4" x14ac:dyDescent="0.3">
      <c r="C143" s="26" t="s">
        <v>490</v>
      </c>
      <c r="D143" s="33">
        <f>D17</f>
        <v>10</v>
      </c>
    </row>
    <row r="144" spans="1:4" x14ac:dyDescent="0.3">
      <c r="C144" s="26" t="s">
        <v>267</v>
      </c>
      <c r="D144" s="40">
        <f>E111</f>
        <v>5.7000000000000002E-2</v>
      </c>
    </row>
    <row r="145" spans="1:4" x14ac:dyDescent="0.3">
      <c r="C145" s="26" t="s">
        <v>491</v>
      </c>
      <c r="D145" s="33">
        <v>2</v>
      </c>
    </row>
    <row r="147" spans="1:4" x14ac:dyDescent="0.3">
      <c r="C147" s="26" t="s">
        <v>164</v>
      </c>
      <c r="D147" s="33">
        <f>stable_capexp(D141,D142,D143,D144,D145)</f>
        <v>1.0667057985123363</v>
      </c>
    </row>
    <row r="148" spans="1:4" x14ac:dyDescent="0.3">
      <c r="C148" s="26" t="s">
        <v>410</v>
      </c>
      <c r="D148" s="33">
        <f>D147*D140</f>
        <v>5461.5176803369413</v>
      </c>
    </row>
    <row r="150" spans="1:4" x14ac:dyDescent="0.3">
      <c r="C150" s="26" t="s">
        <v>492</v>
      </c>
      <c r="D150" s="33">
        <f>SUMIF(5:5,TRUE,29:29)</f>
        <v>5500</v>
      </c>
    </row>
    <row r="152" spans="1:4" x14ac:dyDescent="0.3">
      <c r="A152" s="26" t="s">
        <v>411</v>
      </c>
    </row>
    <row r="153" spans="1:4" x14ac:dyDescent="0.3">
      <c r="C153" s="26" t="s">
        <v>443</v>
      </c>
      <c r="D153" s="40">
        <f>D19</f>
        <v>-0.97299999999999998</v>
      </c>
    </row>
    <row r="154" spans="1:4" x14ac:dyDescent="0.3">
      <c r="C154" s="26" t="s">
        <v>372</v>
      </c>
      <c r="D154" s="40">
        <f>E110</f>
        <v>1.2999999999999999E-2</v>
      </c>
    </row>
    <row r="155" spans="1:4" x14ac:dyDescent="0.3">
      <c r="C155" s="26" t="s">
        <v>279</v>
      </c>
      <c r="D155" s="33">
        <f>D137</f>
        <v>11746.301196161377</v>
      </c>
    </row>
    <row r="156" spans="1:4" x14ac:dyDescent="0.3">
      <c r="C156" s="26" t="s">
        <v>495</v>
      </c>
      <c r="D156" s="33">
        <f>D155*D153*D154/(1+D154)</f>
        <v>-146.67222490646125</v>
      </c>
    </row>
    <row r="158" spans="1:4" x14ac:dyDescent="0.3">
      <c r="C158" s="26" t="s">
        <v>496</v>
      </c>
      <c r="D158" s="33">
        <f>SUMIF(5:5,TRUE,28:28)</f>
        <v>0</v>
      </c>
    </row>
    <row r="159" spans="1:4" x14ac:dyDescent="0.3">
      <c r="C159" s="26" t="s">
        <v>497</v>
      </c>
      <c r="D159" s="33">
        <f>D156-D158</f>
        <v>-146.67222490646125</v>
      </c>
    </row>
    <row r="161" spans="1:4" x14ac:dyDescent="0.3">
      <c r="A161" s="26" t="s">
        <v>498</v>
      </c>
    </row>
    <row r="162" spans="1:4" x14ac:dyDescent="0.3">
      <c r="C162" s="26" t="s">
        <v>499</v>
      </c>
      <c r="D162" s="33">
        <f>SUMIF(5:5,TRUE,30:30)</f>
        <v>1485.8351898181961</v>
      </c>
    </row>
    <row r="163" spans="1:4" x14ac:dyDescent="0.3">
      <c r="C163" s="26" t="s">
        <v>500</v>
      </c>
      <c r="D163" s="33">
        <f>D135*D133</f>
        <v>170.74386097034403</v>
      </c>
    </row>
    <row r="164" spans="1:4" x14ac:dyDescent="0.3">
      <c r="C164" s="26" t="s">
        <v>501</v>
      </c>
      <c r="D164" s="33">
        <f>SUM(D162:D163)</f>
        <v>1656.5790507885401</v>
      </c>
    </row>
  </sheetData>
  <conditionalFormatting sqref="A114:XFD115 J112:XFD113 A112:H113 BG116:XFD118 A116:BC118 A119:XFD1048576 A1:XFD111">
    <cfRule type="containsText" dxfId="49" priority="6" operator="containsText" text="FALSE">
      <formula>NOT(ISERROR(SEARCH("FALSE",A1)))</formula>
    </cfRule>
    <cfRule type="cellIs" dxfId="48" priority="7" operator="equal">
      <formula>TRUE</formula>
    </cfRule>
  </conditionalFormatting>
  <conditionalFormatting sqref="C99:C103">
    <cfRule type="containsText" dxfId="47" priority="4" operator="containsText" text="FALSE">
      <formula>NOT(ISERROR(SEARCH("FALSE",C99)))</formula>
    </cfRule>
    <cfRule type="cellIs" dxfId="46" priority="5" operator="equal">
      <formula>TRUE</formula>
    </cfRule>
  </conditionalFormatting>
  <conditionalFormatting sqref="I3:AG53">
    <cfRule type="expression" dxfId="45" priority="3">
      <formula>I$5</formula>
    </cfRule>
  </conditionalFormatting>
  <conditionalFormatting sqref="A116:B117 D116:E117 A118:E118 A119:XFD1048576">
    <cfRule type="containsText" dxfId="44" priority="1" operator="containsText" text="FALSE">
      <formula>NOT(ISERROR(SEARCH("FALSE",A116)))</formula>
    </cfRule>
    <cfRule type="cellIs" dxfId="43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Spinner 1">
              <controlPr defaultSize="0" autoPict="0">
                <anchor moveWithCells="1" sizeWithCells="1">
                  <from>
                    <xdr:col>4</xdr:col>
                    <xdr:colOff>76200</xdr:colOff>
                    <xdr:row>8</xdr:row>
                    <xdr:rowOff>12700</xdr:rowOff>
                  </from>
                  <to>
                    <xdr:col>4</xdr:col>
                    <xdr:colOff>273050</xdr:colOff>
                    <xdr:row>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Spinner 2">
              <controlPr defaultSize="0" autoPict="0">
                <anchor moveWithCells="1" sizeWithCells="1">
                  <from>
                    <xdr:col>4</xdr:col>
                    <xdr:colOff>76200</xdr:colOff>
                    <xdr:row>9</xdr:row>
                    <xdr:rowOff>12700</xdr:rowOff>
                  </from>
                  <to>
                    <xdr:col>4</xdr:col>
                    <xdr:colOff>273050</xdr:colOff>
                    <xdr:row>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Spinner 3">
              <controlPr defaultSize="0" autoPict="0">
                <anchor moveWithCells="1" sizeWithCells="1">
                  <from>
                    <xdr:col>4</xdr:col>
                    <xdr:colOff>76200</xdr:colOff>
                    <xdr:row>10</xdr:row>
                    <xdr:rowOff>12700</xdr:rowOff>
                  </from>
                  <to>
                    <xdr:col>4</xdr:col>
                    <xdr:colOff>273050</xdr:colOff>
                    <xdr:row>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6" name="Spinner 5">
              <controlPr defaultSize="0" autoPict="0">
                <anchor moveWithCells="1" sizeWithCells="1">
                  <from>
                    <xdr:col>4</xdr:col>
                    <xdr:colOff>76200</xdr:colOff>
                    <xdr:row>12</xdr:row>
                    <xdr:rowOff>12700</xdr:rowOff>
                  </from>
                  <to>
                    <xdr:col>4</xdr:col>
                    <xdr:colOff>273050</xdr:colOff>
                    <xdr:row>12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7" name="Spinner 6">
              <controlPr defaultSize="0" autoPict="0">
                <anchor moveWithCells="1" sizeWithCells="1">
                  <from>
                    <xdr:col>4</xdr:col>
                    <xdr:colOff>76200</xdr:colOff>
                    <xdr:row>15</xdr:row>
                    <xdr:rowOff>12700</xdr:rowOff>
                  </from>
                  <to>
                    <xdr:col>4</xdr:col>
                    <xdr:colOff>273050</xdr:colOff>
                    <xdr:row>15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8" name="Spinner 7">
              <controlPr defaultSize="0" autoPict="0">
                <anchor moveWithCells="1" sizeWithCells="1">
                  <from>
                    <xdr:col>4</xdr:col>
                    <xdr:colOff>76200</xdr:colOff>
                    <xdr:row>16</xdr:row>
                    <xdr:rowOff>12700</xdr:rowOff>
                  </from>
                  <to>
                    <xdr:col>4</xdr:col>
                    <xdr:colOff>273050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9" name="Spinner 8">
              <controlPr defaultSize="0" autoPict="0">
                <anchor moveWithCells="1" sizeWithCells="1">
                  <from>
                    <xdr:col>4</xdr:col>
                    <xdr:colOff>76200</xdr:colOff>
                    <xdr:row>18</xdr:row>
                    <xdr:rowOff>12700</xdr:rowOff>
                  </from>
                  <to>
                    <xdr:col>4</xdr:col>
                    <xdr:colOff>273050</xdr:colOff>
                    <xdr:row>18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0" name="Spinner 9">
              <controlPr defaultSize="0" autoPict="0">
                <anchor moveWithCells="1" sizeWithCells="1">
                  <from>
                    <xdr:col>4</xdr:col>
                    <xdr:colOff>76200</xdr:colOff>
                    <xdr:row>19</xdr:row>
                    <xdr:rowOff>12700</xdr:rowOff>
                  </from>
                  <to>
                    <xdr:col>4</xdr:col>
                    <xdr:colOff>273050</xdr:colOff>
                    <xdr:row>19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1" name="Spinner 10">
              <controlPr defaultSize="0" autoPict="0">
                <anchor moveWithCells="1" sizeWithCells="1">
                  <from>
                    <xdr:col>3</xdr:col>
                    <xdr:colOff>76200</xdr:colOff>
                    <xdr:row>108</xdr:row>
                    <xdr:rowOff>12700</xdr:rowOff>
                  </from>
                  <to>
                    <xdr:col>3</xdr:col>
                    <xdr:colOff>273050</xdr:colOff>
                    <xdr:row>108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2" name="Spinner 11">
              <controlPr defaultSize="0" autoPict="0">
                <anchor moveWithCells="1" sizeWithCells="1">
                  <from>
                    <xdr:col>3</xdr:col>
                    <xdr:colOff>76200</xdr:colOff>
                    <xdr:row>109</xdr:row>
                    <xdr:rowOff>12700</xdr:rowOff>
                  </from>
                  <to>
                    <xdr:col>3</xdr:col>
                    <xdr:colOff>273050</xdr:colOff>
                    <xdr:row>109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3" name="Spinner 12">
              <controlPr defaultSize="0" autoPict="0">
                <anchor moveWithCells="1" sizeWithCells="1">
                  <from>
                    <xdr:col>3</xdr:col>
                    <xdr:colOff>76200</xdr:colOff>
                    <xdr:row>111</xdr:row>
                    <xdr:rowOff>12700</xdr:rowOff>
                  </from>
                  <to>
                    <xdr:col>3</xdr:col>
                    <xdr:colOff>273050</xdr:colOff>
                    <xdr:row>111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4" name="Spinner 13">
              <controlPr defaultSize="0" autoPict="0">
                <anchor moveWithCells="1" sizeWithCells="1">
                  <from>
                    <xdr:col>3</xdr:col>
                    <xdr:colOff>76200</xdr:colOff>
                    <xdr:row>110</xdr:row>
                    <xdr:rowOff>12700</xdr:rowOff>
                  </from>
                  <to>
                    <xdr:col>3</xdr:col>
                    <xdr:colOff>273050</xdr:colOff>
                    <xdr:row>110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5" name="Spinner 14">
              <controlPr defaultSize="0" autoPict="0">
                <anchor moveWithCells="1" sizeWithCells="1">
                  <from>
                    <xdr:col>4</xdr:col>
                    <xdr:colOff>76200</xdr:colOff>
                    <xdr:row>17</xdr:row>
                    <xdr:rowOff>12700</xdr:rowOff>
                  </from>
                  <to>
                    <xdr:col>4</xdr:col>
                    <xdr:colOff>273050</xdr:colOff>
                    <xdr:row>17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6" name="Spinner 15">
              <controlPr defaultSize="0" autoPict="0">
                <anchor moveWithCells="1" sizeWithCells="1">
                  <from>
                    <xdr:col>4</xdr:col>
                    <xdr:colOff>76200</xdr:colOff>
                    <xdr:row>152</xdr:row>
                    <xdr:rowOff>12700</xdr:rowOff>
                  </from>
                  <to>
                    <xdr:col>4</xdr:col>
                    <xdr:colOff>273050</xdr:colOff>
                    <xdr:row>152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C00000"/>
  </sheetPr>
  <dimension ref="A4:O44"/>
  <sheetViews>
    <sheetView showGridLines="0" topLeftCell="A22" zoomScale="80" zoomScaleNormal="80" workbookViewId="0">
      <selection activeCell="D35" sqref="D35"/>
    </sheetView>
  </sheetViews>
  <sheetFormatPr defaultColWidth="10.7265625" defaultRowHeight="17.5" customHeight="1" x14ac:dyDescent="0.35"/>
  <cols>
    <col min="1" max="3" width="3" style="119" customWidth="1"/>
    <col min="4" max="4" width="27.453125" style="119" bestFit="1" customWidth="1"/>
    <col min="5" max="10" width="10.7265625" style="119"/>
    <col min="11" max="14" width="13.54296875" style="119" customWidth="1"/>
    <col min="15" max="16384" width="10.7265625" style="119"/>
  </cols>
  <sheetData>
    <row r="4" spans="1:14" ht="17.5" customHeight="1" x14ac:dyDescent="0.35">
      <c r="D4" s="119" t="s">
        <v>221</v>
      </c>
      <c r="E4" s="120">
        <v>2</v>
      </c>
    </row>
    <row r="5" spans="1:14" ht="17.5" customHeight="1" x14ac:dyDescent="0.35">
      <c r="E5" s="120">
        <v>1</v>
      </c>
      <c r="F5" s="120">
        <v>2</v>
      </c>
      <c r="G5" s="120">
        <v>3</v>
      </c>
      <c r="H5" s="120">
        <v>4</v>
      </c>
      <c r="I5" s="120">
        <v>5</v>
      </c>
    </row>
    <row r="6" spans="1:14" s="121" customFormat="1" ht="17.5" customHeight="1" x14ac:dyDescent="0.35">
      <c r="A6" s="121" t="s">
        <v>467</v>
      </c>
    </row>
    <row r="7" spans="1:14" ht="43.5" x14ac:dyDescent="0.35">
      <c r="D7" s="119" t="s">
        <v>370</v>
      </c>
      <c r="E7" s="122" t="s">
        <v>210</v>
      </c>
      <c r="F7" s="122" t="s">
        <v>218</v>
      </c>
      <c r="G7" s="122" t="s">
        <v>219</v>
      </c>
      <c r="H7" s="122" t="s">
        <v>217</v>
      </c>
      <c r="I7" s="122" t="s">
        <v>220</v>
      </c>
      <c r="K7" s="122" t="s">
        <v>222</v>
      </c>
      <c r="L7" s="122" t="s">
        <v>223</v>
      </c>
      <c r="M7" s="122" t="s">
        <v>224</v>
      </c>
      <c r="N7" s="122" t="s">
        <v>225</v>
      </c>
    </row>
    <row r="8" spans="1:14" ht="14.5" x14ac:dyDescent="0.35">
      <c r="E8" s="122"/>
      <c r="F8" s="122"/>
      <c r="G8" s="122"/>
      <c r="H8" s="122"/>
      <c r="I8" s="122"/>
      <c r="K8" s="123">
        <f>Valuation!E56</f>
        <v>100640.00482031557</v>
      </c>
      <c r="L8" s="123">
        <f>Valuation!E53</f>
        <v>64275.599172613474</v>
      </c>
      <c r="M8" s="123">
        <f>Valuation!E57</f>
        <v>110522.5748131201</v>
      </c>
      <c r="N8" s="124">
        <f>LBO!D34</f>
        <v>1.7943301796913148E-2</v>
      </c>
    </row>
    <row r="9" spans="1:14" ht="17.5" customHeight="1" x14ac:dyDescent="0.35">
      <c r="C9" s="125">
        <v>1</v>
      </c>
      <c r="D9" s="119" t="s">
        <v>206</v>
      </c>
      <c r="E9" s="120">
        <v>1</v>
      </c>
      <c r="F9" s="120">
        <v>1</v>
      </c>
      <c r="G9" s="126">
        <v>0.44</v>
      </c>
      <c r="H9" s="126">
        <v>0.28999999999999998</v>
      </c>
      <c r="I9" s="126">
        <v>7.0000000000000007E-2</v>
      </c>
      <c r="J9" s="120">
        <v>1</v>
      </c>
      <c r="K9" s="119">
        <f t="dataTable" ref="K9:N21" dt2D="0" dtr="0" r1="E4" ca="1"/>
        <v>129062.2387150493</v>
      </c>
      <c r="L9" s="119">
        <v>79668.412107314856</v>
      </c>
      <c r="M9" s="119">
        <v>130692.04860783118</v>
      </c>
      <c r="N9" s="127">
        <v>3.8537636399269118E-2</v>
      </c>
    </row>
    <row r="10" spans="1:14" ht="17.5" customHeight="1" x14ac:dyDescent="0.35">
      <c r="C10" s="125">
        <v>2</v>
      </c>
      <c r="D10" s="119" t="s">
        <v>208</v>
      </c>
      <c r="E10" s="120">
        <v>2</v>
      </c>
      <c r="F10" s="120">
        <v>3</v>
      </c>
      <c r="G10" s="126">
        <v>0.44500000000000001</v>
      </c>
      <c r="H10" s="126">
        <v>0.3</v>
      </c>
      <c r="I10" s="126">
        <v>7.4999999999999997E-2</v>
      </c>
      <c r="J10" s="120">
        <v>2</v>
      </c>
      <c r="K10" s="119">
        <v>100640.00482031557</v>
      </c>
      <c r="L10" s="119">
        <v>64275.599172613474</v>
      </c>
      <c r="M10" s="119">
        <v>110522.5748131201</v>
      </c>
      <c r="N10" s="127">
        <v>1.7943301796913148E-2</v>
      </c>
    </row>
    <row r="11" spans="1:14" ht="17.5" customHeight="1" x14ac:dyDescent="0.35">
      <c r="C11" s="125">
        <v>3</v>
      </c>
      <c r="D11" s="119" t="s">
        <v>207</v>
      </c>
      <c r="E11" s="120">
        <v>3</v>
      </c>
      <c r="F11" s="120">
        <v>2</v>
      </c>
      <c r="G11" s="126">
        <v>0.435</v>
      </c>
      <c r="H11" s="126">
        <v>0.28000000000000003</v>
      </c>
      <c r="I11" s="126">
        <v>6.5000000000000002E-2</v>
      </c>
      <c r="J11" s="120">
        <v>3</v>
      </c>
      <c r="K11" s="119">
        <v>173820.15750304679</v>
      </c>
      <c r="L11" s="119">
        <v>104509.12925664948</v>
      </c>
      <c r="M11" s="119">
        <v>162131.77271525681</v>
      </c>
      <c r="N11" s="127">
        <v>8.1149837374687214E-2</v>
      </c>
    </row>
    <row r="12" spans="1:14" ht="17.5" customHeight="1" x14ac:dyDescent="0.35">
      <c r="C12" s="125">
        <v>1</v>
      </c>
      <c r="D12" s="119" t="str">
        <f t="array" ref="D12:D16">TRANSPOSE(E7:I7)&amp;" Bear case"</f>
        <v>Volume Bear case</v>
      </c>
      <c r="E12" s="119">
        <f t="shared" ref="E12:I16" si="0">IF(E$5=$C12,E$10,E$9)</f>
        <v>2</v>
      </c>
      <c r="F12" s="119">
        <f t="shared" si="0"/>
        <v>1</v>
      </c>
      <c r="G12" s="127">
        <f t="shared" si="0"/>
        <v>0.44</v>
      </c>
      <c r="H12" s="127">
        <f t="shared" si="0"/>
        <v>0.28999999999999998</v>
      </c>
      <c r="I12" s="127">
        <f t="shared" si="0"/>
        <v>7.0000000000000007E-2</v>
      </c>
      <c r="J12" s="120">
        <v>4</v>
      </c>
      <c r="K12" s="119">
        <v>121527.54542330057</v>
      </c>
      <c r="L12" s="119">
        <v>75771.983702818616</v>
      </c>
      <c r="M12" s="119">
        <v>125246.4009639204</v>
      </c>
      <c r="N12" s="127">
        <v>3.290270864963532E-2</v>
      </c>
    </row>
    <row r="13" spans="1:14" ht="17.5" customHeight="1" x14ac:dyDescent="0.35">
      <c r="C13" s="125">
        <v>2</v>
      </c>
      <c r="D13" s="119" t="str">
        <v>Price Bear case</v>
      </c>
      <c r="E13" s="119">
        <f t="shared" si="0"/>
        <v>1</v>
      </c>
      <c r="F13" s="119">
        <f t="shared" si="0"/>
        <v>3</v>
      </c>
      <c r="G13" s="127">
        <f t="shared" si="0"/>
        <v>0.44</v>
      </c>
      <c r="H13" s="127">
        <f t="shared" si="0"/>
        <v>0.28999999999999998</v>
      </c>
      <c r="I13" s="127">
        <f t="shared" si="0"/>
        <v>7.0000000000000007E-2</v>
      </c>
      <c r="J13" s="120">
        <v>5</v>
      </c>
      <c r="K13" s="119">
        <v>124799.02905411451</v>
      </c>
      <c r="L13" s="119">
        <v>77061.862098538622</v>
      </c>
      <c r="M13" s="119">
        <v>127826.32438392442</v>
      </c>
      <c r="N13" s="127">
        <v>2.9679891467094422E-2</v>
      </c>
    </row>
    <row r="14" spans="1:14" ht="17.5" customHeight="1" x14ac:dyDescent="0.35">
      <c r="C14" s="125">
        <v>3</v>
      </c>
      <c r="D14" s="119" t="str">
        <v>COGS pct of sales Bear case</v>
      </c>
      <c r="E14" s="119">
        <f t="shared" si="0"/>
        <v>1</v>
      </c>
      <c r="F14" s="119">
        <f t="shared" si="0"/>
        <v>1</v>
      </c>
      <c r="G14" s="127">
        <f t="shared" si="0"/>
        <v>0.44500000000000001</v>
      </c>
      <c r="H14" s="127">
        <f t="shared" si="0"/>
        <v>0.28999999999999998</v>
      </c>
      <c r="I14" s="127">
        <f t="shared" si="0"/>
        <v>7.0000000000000007E-2</v>
      </c>
      <c r="J14" s="120">
        <v>6</v>
      </c>
      <c r="K14" s="119">
        <v>124792.16413615993</v>
      </c>
      <c r="L14" s="119">
        <v>77359.381178421347</v>
      </c>
      <c r="M14" s="119">
        <v>127659.94647754676</v>
      </c>
      <c r="N14" s="127">
        <v>3.7179186940193176E-2</v>
      </c>
    </row>
    <row r="15" spans="1:14" ht="17.5" customHeight="1" x14ac:dyDescent="0.35">
      <c r="C15" s="125">
        <v>4</v>
      </c>
      <c r="D15" s="119" t="str">
        <v>SG&amp;A in pct of sales Bear case</v>
      </c>
      <c r="E15" s="119">
        <f t="shared" si="0"/>
        <v>1</v>
      </c>
      <c r="F15" s="119">
        <f t="shared" si="0"/>
        <v>1</v>
      </c>
      <c r="G15" s="127">
        <f t="shared" si="0"/>
        <v>0.44</v>
      </c>
      <c r="H15" s="127">
        <f t="shared" si="0"/>
        <v>0.3</v>
      </c>
      <c r="I15" s="127">
        <f t="shared" si="0"/>
        <v>7.0000000000000007E-2</v>
      </c>
      <c r="J15" s="120">
        <v>7</v>
      </c>
      <c r="K15" s="119">
        <v>120380.55142146793</v>
      </c>
      <c r="L15" s="119">
        <v>75077.949655460383</v>
      </c>
      <c r="M15" s="119">
        <v>124471.50896309255</v>
      </c>
      <c r="N15" s="127">
        <v>3.574843108654023E-2</v>
      </c>
    </row>
    <row r="16" spans="1:14" ht="17.5" customHeight="1" x14ac:dyDescent="0.35">
      <c r="C16" s="125">
        <v>5</v>
      </c>
      <c r="D16" s="119" t="str">
        <v>Admin in pct of sales Bear case</v>
      </c>
      <c r="E16" s="119">
        <f t="shared" si="0"/>
        <v>1</v>
      </c>
      <c r="F16" s="119">
        <f t="shared" si="0"/>
        <v>1</v>
      </c>
      <c r="G16" s="127">
        <f t="shared" si="0"/>
        <v>0.44</v>
      </c>
      <c r="H16" s="127">
        <f t="shared" si="0"/>
        <v>0.28999999999999998</v>
      </c>
      <c r="I16" s="127">
        <f t="shared" si="0"/>
        <v>7.4999999999999997E-2</v>
      </c>
      <c r="J16" s="120">
        <v>8</v>
      </c>
      <c r="K16" s="119">
        <v>124737.69639041854</v>
      </c>
      <c r="L16" s="119">
        <v>77385.399446619151</v>
      </c>
      <c r="M16" s="119">
        <v>127591.52920051666</v>
      </c>
      <c r="N16" s="127">
        <v>3.7174829840660104E-2</v>
      </c>
    </row>
    <row r="17" spans="3:14" ht="17.5" customHeight="1" x14ac:dyDescent="0.35">
      <c r="C17" s="125">
        <v>1</v>
      </c>
      <c r="D17" s="119" t="str">
        <f t="array" ref="D17:D21">TRANSPOSE(E7:I7)&amp;" Bull case"</f>
        <v>Volume Bull case</v>
      </c>
      <c r="E17" s="119">
        <f t="shared" ref="E17:I21" si="1">IF(E$5=$C17,E$11,E$9)</f>
        <v>3</v>
      </c>
      <c r="F17" s="119">
        <f t="shared" si="1"/>
        <v>1</v>
      </c>
      <c r="G17" s="127">
        <f t="shared" si="1"/>
        <v>0.44</v>
      </c>
      <c r="H17" s="127">
        <f t="shared" si="1"/>
        <v>0.28999999999999998</v>
      </c>
      <c r="I17" s="127">
        <f t="shared" si="1"/>
        <v>7.0000000000000007E-2</v>
      </c>
      <c r="J17" s="120">
        <v>9</v>
      </c>
      <c r="K17" s="119">
        <v>141927.19257657928</v>
      </c>
      <c r="L17" s="119">
        <v>87220.034027494912</v>
      </c>
      <c r="M17" s="119">
        <v>139508.2477461214</v>
      </c>
      <c r="N17" s="127">
        <v>5.951965153217316E-2</v>
      </c>
    </row>
    <row r="18" spans="3:14" ht="17.5" customHeight="1" x14ac:dyDescent="0.35">
      <c r="C18" s="125">
        <v>2</v>
      </c>
      <c r="D18" s="119" t="str">
        <v>Price Bull case</v>
      </c>
      <c r="E18" s="119">
        <f t="shared" si="1"/>
        <v>1</v>
      </c>
      <c r="F18" s="119">
        <f t="shared" si="1"/>
        <v>2</v>
      </c>
      <c r="G18" s="127">
        <f t="shared" si="1"/>
        <v>0.44</v>
      </c>
      <c r="H18" s="127">
        <f t="shared" si="1"/>
        <v>0.28999999999999998</v>
      </c>
      <c r="I18" s="127">
        <f t="shared" si="1"/>
        <v>7.0000000000000007E-2</v>
      </c>
      <c r="J18" s="120">
        <v>10</v>
      </c>
      <c r="K18" s="119">
        <v>141691.66834790559</v>
      </c>
      <c r="L18" s="119">
        <v>86746.266071727907</v>
      </c>
      <c r="M18" s="119">
        <v>139526.73123511503</v>
      </c>
      <c r="N18" s="127">
        <v>5.5701622366905207E-2</v>
      </c>
    </row>
    <row r="19" spans="3:14" ht="17.5" customHeight="1" x14ac:dyDescent="0.35">
      <c r="C19" s="125">
        <v>3</v>
      </c>
      <c r="D19" s="119" t="str">
        <v>COGS pct of sales Bull case</v>
      </c>
      <c r="E19" s="119">
        <f t="shared" si="1"/>
        <v>1</v>
      </c>
      <c r="F19" s="119">
        <f t="shared" si="1"/>
        <v>1</v>
      </c>
      <c r="G19" s="127">
        <f t="shared" si="1"/>
        <v>0.435</v>
      </c>
      <c r="H19" s="127">
        <f t="shared" si="1"/>
        <v>0.28999999999999998</v>
      </c>
      <c r="I19" s="127">
        <f t="shared" si="1"/>
        <v>7.0000000000000007E-2</v>
      </c>
      <c r="J19" s="120">
        <v>11</v>
      </c>
      <c r="K19" s="119">
        <v>133303.15078354406</v>
      </c>
      <c r="L19" s="119">
        <v>81955.584438968479</v>
      </c>
      <c r="M19" s="119">
        <v>133706.70757751813</v>
      </c>
      <c r="N19" s="127">
        <v>3.983688652515413E-2</v>
      </c>
    </row>
    <row r="20" spans="3:14" ht="17.5" customHeight="1" x14ac:dyDescent="0.35">
      <c r="C20" s="125">
        <v>4</v>
      </c>
      <c r="D20" s="119" t="str">
        <v>SG&amp;A in pct of sales Bull case</v>
      </c>
      <c r="E20" s="119">
        <f t="shared" si="1"/>
        <v>1</v>
      </c>
      <c r="F20" s="119">
        <f t="shared" si="1"/>
        <v>1</v>
      </c>
      <c r="G20" s="127">
        <f t="shared" si="1"/>
        <v>0.44</v>
      </c>
      <c r="H20" s="127">
        <f t="shared" si="1"/>
        <v>0.28000000000000003</v>
      </c>
      <c r="I20" s="127">
        <f t="shared" si="1"/>
        <v>7.0000000000000007E-2</v>
      </c>
      <c r="J20" s="120">
        <v>12</v>
      </c>
      <c r="K20" s="119">
        <v>137620.94783398311</v>
      </c>
      <c r="L20" s="119">
        <v>84166.696953313512</v>
      </c>
      <c r="M20" s="119">
        <v>136839.03052309685</v>
      </c>
      <c r="N20" s="127">
        <v>4.1088917851448067E-2</v>
      </c>
    </row>
    <row r="21" spans="3:14" ht="17.5" customHeight="1" x14ac:dyDescent="0.35">
      <c r="C21" s="125">
        <v>5</v>
      </c>
      <c r="D21" s="119" t="str">
        <v>Admin in pct of sales Bull case</v>
      </c>
      <c r="E21" s="119">
        <f t="shared" si="1"/>
        <v>1</v>
      </c>
      <c r="F21" s="119">
        <f t="shared" si="1"/>
        <v>1</v>
      </c>
      <c r="G21" s="127">
        <f t="shared" si="1"/>
        <v>0.44</v>
      </c>
      <c r="H21" s="127">
        <f t="shared" si="1"/>
        <v>0.28999999999999998</v>
      </c>
      <c r="I21" s="127">
        <f t="shared" si="1"/>
        <v>6.5000000000000002E-2</v>
      </c>
      <c r="J21" s="120">
        <v>13</v>
      </c>
      <c r="K21" s="119">
        <v>133356.08252157024</v>
      </c>
      <c r="L21" s="119">
        <v>81928.414864742808</v>
      </c>
      <c r="M21" s="119">
        <v>133774.20611233803</v>
      </c>
      <c r="N21" s="127">
        <v>3.9841058850288408E-2</v>
      </c>
    </row>
    <row r="24" spans="3:14" ht="17.5" customHeight="1" x14ac:dyDescent="0.35">
      <c r="D24" s="119" t="str">
        <f t="shared" ref="D24:I24" si="2">INDEX(D9:D22,$E$4)</f>
        <v>Bear case</v>
      </c>
      <c r="E24" s="128">
        <f t="shared" si="2"/>
        <v>2</v>
      </c>
      <c r="F24" s="128">
        <f t="shared" si="2"/>
        <v>3</v>
      </c>
      <c r="G24" s="127">
        <f>INDEX(G9:G22,$E$4)</f>
        <v>0.44500000000000001</v>
      </c>
      <c r="H24" s="127">
        <f t="shared" si="2"/>
        <v>0.3</v>
      </c>
      <c r="I24" s="127">
        <f t="shared" si="2"/>
        <v>7.4999999999999997E-2</v>
      </c>
    </row>
    <row r="26" spans="3:14" ht="17.5" customHeight="1" x14ac:dyDescent="0.35">
      <c r="E26" s="119" t="s">
        <v>288</v>
      </c>
      <c r="F26" s="119" t="s">
        <v>289</v>
      </c>
    </row>
    <row r="27" spans="3:14" ht="17.5" customHeight="1" x14ac:dyDescent="0.35">
      <c r="D27" s="119" t="str">
        <f t="array" ref="D27:D31">TRANSPOSE(E7:I7)</f>
        <v>Volume</v>
      </c>
      <c r="E27" s="119">
        <f>K17-$K$9</f>
        <v>12864.953861529983</v>
      </c>
      <c r="F27" s="119">
        <f>K12-$K$9</f>
        <v>-7534.6932917487284</v>
      </c>
    </row>
    <row r="28" spans="3:14" ht="17.5" customHeight="1" x14ac:dyDescent="0.35">
      <c r="D28" s="119" t="str">
        <v>Price</v>
      </c>
      <c r="E28" s="119">
        <f>K18-$K$9</f>
        <v>12629.429632856292</v>
      </c>
      <c r="F28" s="119">
        <f>K13-$K$9</f>
        <v>-4263.2096609347936</v>
      </c>
    </row>
    <row r="29" spans="3:14" ht="17.5" customHeight="1" x14ac:dyDescent="0.35">
      <c r="D29" s="119" t="str">
        <v>COGS pct of sales</v>
      </c>
      <c r="E29" s="119">
        <f>K19-$K$9</f>
        <v>4240.9120684947557</v>
      </c>
      <c r="F29" s="119">
        <f>K14-$K$9</f>
        <v>-4270.0745788893691</v>
      </c>
    </row>
    <row r="30" spans="3:14" ht="17.5" customHeight="1" x14ac:dyDescent="0.35">
      <c r="D30" s="119" t="str">
        <v>SG&amp;A in pct of sales</v>
      </c>
      <c r="E30" s="119">
        <f>K20-$K$9</f>
        <v>8558.7091189338098</v>
      </c>
      <c r="F30" s="119">
        <f>K15-$K$9</f>
        <v>-8681.6872935813735</v>
      </c>
    </row>
    <row r="31" spans="3:14" ht="17.5" customHeight="1" x14ac:dyDescent="0.35">
      <c r="D31" s="119" t="str">
        <v>Admin in pct of sales</v>
      </c>
      <c r="E31" s="119">
        <f>K21-$K$9</f>
        <v>4293.8438065209339</v>
      </c>
      <c r="F31" s="119">
        <f>K16-$K$9</f>
        <v>-4324.5423246307619</v>
      </c>
    </row>
    <row r="33" spans="1:15" s="121" customFormat="1" ht="17.5" customHeight="1" x14ac:dyDescent="0.35">
      <c r="A33" s="121" t="s">
        <v>466</v>
      </c>
    </row>
    <row r="34" spans="1:15" ht="17.5" customHeight="1" x14ac:dyDescent="0.35">
      <c r="F34" s="129">
        <f>'Historic Data from PDF'!W1</f>
        <v>2016</v>
      </c>
      <c r="G34" s="129">
        <f>'Historic Data from PDF'!X1</f>
        <v>2017</v>
      </c>
      <c r="H34" s="129">
        <f>'Historic Data from PDF'!Y1</f>
        <v>2018</v>
      </c>
      <c r="I34" s="129">
        <f>'Historic Data from PDF'!Z1</f>
        <v>2019</v>
      </c>
      <c r="J34" s="129">
        <f>'Historic Data from PDF'!AA1</f>
        <v>2020</v>
      </c>
      <c r="K34" s="129">
        <f>'Historic Data from PDF'!AB1</f>
        <v>2021</v>
      </c>
      <c r="L34" s="129">
        <f>'Historic Data from PDF'!AC1</f>
        <v>2022</v>
      </c>
      <c r="M34" s="129">
        <f>'Historic Data from PDF'!AD1</f>
        <v>2023</v>
      </c>
      <c r="N34" s="129">
        <f>'Historic Data from PDF'!AE1</f>
        <v>2024</v>
      </c>
      <c r="O34" s="129">
        <f>'Historic Data from PDF'!AF1</f>
        <v>2025</v>
      </c>
    </row>
    <row r="35" spans="1:15" s="113" customFormat="1" ht="14.5" x14ac:dyDescent="0.35"/>
    <row r="36" spans="1:15" s="113" customFormat="1" ht="14.5" x14ac:dyDescent="0.35">
      <c r="B36" s="114">
        <v>1</v>
      </c>
      <c r="C36" s="113" t="s">
        <v>392</v>
      </c>
      <c r="F36" s="115">
        <v>5.0000000000000001E-3</v>
      </c>
      <c r="G36" s="115">
        <v>5.0000000000000001E-3</v>
      </c>
      <c r="H36" s="115">
        <v>5.0000000000000001E-3</v>
      </c>
      <c r="I36" s="116">
        <v>0</v>
      </c>
      <c r="J36" s="116">
        <v>0</v>
      </c>
      <c r="K36" s="116">
        <v>0</v>
      </c>
      <c r="L36" s="116">
        <v>0</v>
      </c>
      <c r="M36" s="116">
        <v>0</v>
      </c>
      <c r="N36" s="116">
        <v>0</v>
      </c>
      <c r="O36" s="116">
        <v>0</v>
      </c>
    </row>
    <row r="37" spans="1:15" s="113" customFormat="1" ht="14.5" x14ac:dyDescent="0.35">
      <c r="B37" s="114">
        <v>2</v>
      </c>
      <c r="C37" s="113" t="s">
        <v>393</v>
      </c>
      <c r="F37" s="116">
        <v>-0.01</v>
      </c>
      <c r="G37" s="117">
        <f>F37</f>
        <v>-0.01</v>
      </c>
      <c r="H37" s="117">
        <f>G37</f>
        <v>-0.01</v>
      </c>
      <c r="I37" s="116">
        <v>0</v>
      </c>
      <c r="J37" s="116">
        <v>0</v>
      </c>
      <c r="K37" s="116">
        <v>0</v>
      </c>
      <c r="L37" s="116">
        <v>0</v>
      </c>
      <c r="M37" s="116">
        <v>0</v>
      </c>
      <c r="N37" s="116">
        <v>0</v>
      </c>
      <c r="O37" s="116">
        <v>0</v>
      </c>
    </row>
    <row r="38" spans="1:15" s="113" customFormat="1" ht="14.5" x14ac:dyDescent="0.35">
      <c r="B38" s="114">
        <v>3</v>
      </c>
      <c r="C38" s="113" t="s">
        <v>394</v>
      </c>
      <c r="F38" s="116">
        <v>0.01</v>
      </c>
      <c r="G38" s="116">
        <v>0.01</v>
      </c>
      <c r="H38" s="116">
        <v>0.02</v>
      </c>
      <c r="I38" s="116">
        <v>0.02</v>
      </c>
      <c r="J38" s="116">
        <v>0.02</v>
      </c>
      <c r="K38" s="116">
        <v>0.02</v>
      </c>
      <c r="L38" s="116">
        <v>0.02</v>
      </c>
      <c r="M38" s="116">
        <v>0.02</v>
      </c>
      <c r="N38" s="116">
        <v>0.02</v>
      </c>
      <c r="O38" s="116">
        <v>0.02</v>
      </c>
    </row>
    <row r="39" spans="1:15" s="113" customFormat="1" ht="14.5" x14ac:dyDescent="0.35"/>
    <row r="41" spans="1:15" s="113" customFormat="1" ht="14.5" x14ac:dyDescent="0.35">
      <c r="B41" s="114">
        <v>1</v>
      </c>
      <c r="C41" s="113" t="s">
        <v>395</v>
      </c>
      <c r="F41" s="115">
        <v>0</v>
      </c>
      <c r="G41" s="115">
        <v>0</v>
      </c>
      <c r="H41" s="115">
        <v>5.0000000000000001E-3</v>
      </c>
      <c r="I41" s="115">
        <v>5.0000000000000001E-3</v>
      </c>
      <c r="J41" s="115">
        <v>0.01</v>
      </c>
      <c r="K41" s="118">
        <f>J41</f>
        <v>0.01</v>
      </c>
      <c r="L41" s="118">
        <f>K41</f>
        <v>0.01</v>
      </c>
      <c r="M41" s="118">
        <f>L41</f>
        <v>0.01</v>
      </c>
      <c r="N41" s="118">
        <f>M41</f>
        <v>0.01</v>
      </c>
      <c r="O41" s="118">
        <f>N41</f>
        <v>0.01</v>
      </c>
    </row>
    <row r="42" spans="1:15" s="113" customFormat="1" ht="14.5" x14ac:dyDescent="0.35">
      <c r="B42" s="114">
        <v>2</v>
      </c>
      <c r="C42" s="113" t="s">
        <v>396</v>
      </c>
      <c r="F42" s="115">
        <v>1.4999999999999999E-2</v>
      </c>
      <c r="G42" s="115">
        <v>1.4999999999999999E-2</v>
      </c>
      <c r="H42" s="115">
        <v>1.4999999999999999E-2</v>
      </c>
      <c r="I42" s="115">
        <v>1.4999999999999999E-2</v>
      </c>
      <c r="J42" s="115">
        <v>2.5000000000000001E-2</v>
      </c>
      <c r="K42" s="115">
        <v>2.5000000000000001E-2</v>
      </c>
      <c r="L42" s="115">
        <v>2.5000000000000001E-2</v>
      </c>
      <c r="M42" s="115">
        <v>2.5000000000000001E-2</v>
      </c>
      <c r="N42" s="115">
        <v>2.5000000000000001E-2</v>
      </c>
      <c r="O42" s="115">
        <v>2.5000000000000001E-2</v>
      </c>
    </row>
    <row r="43" spans="1:15" s="113" customFormat="1" ht="14.5" x14ac:dyDescent="0.35">
      <c r="B43" s="114">
        <v>3</v>
      </c>
      <c r="C43" s="113" t="s">
        <v>397</v>
      </c>
      <c r="F43" s="116">
        <v>0</v>
      </c>
      <c r="G43" s="116">
        <v>0</v>
      </c>
      <c r="H43" s="116">
        <v>0</v>
      </c>
      <c r="I43" s="116">
        <v>0</v>
      </c>
      <c r="J43" s="116">
        <v>0</v>
      </c>
      <c r="K43" s="116">
        <v>0</v>
      </c>
      <c r="L43" s="116">
        <v>0</v>
      </c>
      <c r="M43" s="116">
        <v>0</v>
      </c>
      <c r="N43" s="116">
        <v>0</v>
      </c>
      <c r="O43" s="116">
        <v>0</v>
      </c>
    </row>
    <row r="44" spans="1:15" s="113" customFormat="1" ht="14.5" x14ac:dyDescent="0.35"/>
  </sheetData>
  <conditionalFormatting sqref="D9:I10 D22:I22">
    <cfRule type="expression" dxfId="42" priority="22">
      <formula>$E$4=$C9</formula>
    </cfRule>
  </conditionalFormatting>
  <conditionalFormatting sqref="D11:I11">
    <cfRule type="expression" dxfId="41" priority="21">
      <formula>$E$4=$C11</formula>
    </cfRule>
  </conditionalFormatting>
  <conditionalFormatting sqref="P36:V38 P41:V43 P39:AF39 P35:AF35">
    <cfRule type="expression" dxfId="40" priority="20">
      <formula>P$2</formula>
    </cfRule>
  </conditionalFormatting>
  <conditionalFormatting sqref="AG36:XFD38 AG41:XFD43 B35:O39 P36:V38 F41:V43 P39:XFD39 P35:XFD35">
    <cfRule type="containsText" dxfId="39" priority="12" operator="containsText" text="FALSE">
      <formula>NOT(ISERROR(SEARCH("FALSE",B35)))</formula>
    </cfRule>
    <cfRule type="cellIs" dxfId="38" priority="13" operator="equal">
      <formula>TRUE</formula>
    </cfRule>
    <cfRule type="containsText" dxfId="37" priority="14" operator="containsText" text="FALSE">
      <formula>NOT(ISERROR(SEARCH("FALSE",B35)))</formula>
    </cfRule>
    <cfRule type="cellIs" dxfId="36" priority="15" operator="equal">
      <formula>TRUE</formula>
    </cfRule>
    <cfRule type="containsText" dxfId="35" priority="16" operator="containsText" text="FALSE">
      <formula>NOT(ISERROR(SEARCH("FALSE",B35)))</formula>
    </cfRule>
    <cfRule type="cellIs" dxfId="34" priority="17" operator="equal">
      <formula>TRUE</formula>
    </cfRule>
    <cfRule type="containsText" dxfId="33" priority="18" operator="containsText" text="FALSE">
      <formula>NOT(ISERROR(SEARCH("FALSE",B35)))</formula>
    </cfRule>
    <cfRule type="cellIs" dxfId="32" priority="19" operator="equal">
      <formula>TRUE</formula>
    </cfRule>
  </conditionalFormatting>
  <conditionalFormatting sqref="F41:O43 F36:O38">
    <cfRule type="expression" dxfId="31" priority="45">
      <formula>W$2</formula>
    </cfRule>
  </conditionalFormatting>
  <conditionalFormatting sqref="P44:AF44">
    <cfRule type="expression" dxfId="30" priority="11">
      <formula>P$2</formula>
    </cfRule>
  </conditionalFormatting>
  <conditionalFormatting sqref="B41:E43 B44:XFD44">
    <cfRule type="containsText" dxfId="29" priority="3" operator="containsText" text="FALSE">
      <formula>NOT(ISERROR(SEARCH("FALSE",B41)))</formula>
    </cfRule>
    <cfRule type="cellIs" dxfId="28" priority="4" operator="equal">
      <formula>TRUE</formula>
    </cfRule>
    <cfRule type="containsText" dxfId="27" priority="5" operator="containsText" text="FALSE">
      <formula>NOT(ISERROR(SEARCH("FALSE",B41)))</formula>
    </cfRule>
    <cfRule type="cellIs" dxfId="26" priority="6" operator="equal">
      <formula>TRUE</formula>
    </cfRule>
    <cfRule type="containsText" dxfId="25" priority="7" operator="containsText" text="FALSE">
      <formula>NOT(ISERROR(SEARCH("FALSE",B41)))</formula>
    </cfRule>
    <cfRule type="cellIs" dxfId="24" priority="8" operator="equal">
      <formula>TRUE</formula>
    </cfRule>
    <cfRule type="containsText" dxfId="23" priority="9" operator="containsText" text="FALSE">
      <formula>NOT(ISERROR(SEARCH("FALSE",B41)))</formula>
    </cfRule>
    <cfRule type="cellIs" dxfId="22" priority="10" operator="equal">
      <formula>TRUE</formula>
    </cfRule>
  </conditionalFormatting>
  <conditionalFormatting sqref="H39:O39 H35:O35 H44:O44">
    <cfRule type="expression" dxfId="21" priority="46">
      <formula>G$2</formula>
    </cfRule>
  </conditionalFormatting>
  <conditionalFormatting sqref="A1:XFD11 A22:XFD1048576 A12:C21 J12:XFD21">
    <cfRule type="containsText" dxfId="20" priority="1" operator="containsText" text="FALSE">
      <formula>NOT(ISERROR(SEARCH("FALSE",A1)))</formula>
    </cfRule>
    <cfRule type="cellIs" dxfId="19" priority="2" operator="equal">
      <formula>TRUE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Drop Down 1">
              <controlPr defaultSize="0" autoLine="0" autoPict="0">
                <anchor moveWithCells="1">
                  <from>
                    <xdr:col>3</xdr:col>
                    <xdr:colOff>12700</xdr:colOff>
                    <xdr:row>1</xdr:row>
                    <xdr:rowOff>114300</xdr:rowOff>
                  </from>
                  <to>
                    <xdr:col>3</xdr:col>
                    <xdr:colOff>1447800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3333FF"/>
  </sheetPr>
  <dimension ref="A1:AF188"/>
  <sheetViews>
    <sheetView workbookViewId="0">
      <pane xSplit="3" ySplit="5" topLeftCell="K112" activePane="bottomRight" state="frozen"/>
      <selection pane="topRight" activeCell="D1" sqref="D1"/>
      <selection pane="bottomLeft" activeCell="A6" sqref="A6"/>
      <selection pane="bottomRight" activeCell="M130" sqref="M130"/>
    </sheetView>
  </sheetViews>
  <sheetFormatPr defaultColWidth="9.1796875" defaultRowHeight="12" outlineLevelRow="1" outlineLevelCol="1" x14ac:dyDescent="0.3"/>
  <cols>
    <col min="1" max="1" width="1.81640625" style="41" customWidth="1"/>
    <col min="2" max="2" width="49.7265625" style="41" customWidth="1"/>
    <col min="3" max="3" width="8.08984375" style="41" customWidth="1"/>
    <col min="4" max="6" width="8.08984375" style="41" hidden="1" customWidth="1" outlineLevel="1"/>
    <col min="7" max="7" width="8.08984375" style="41" customWidth="1" collapsed="1"/>
    <col min="8" max="32" width="8.08984375" style="41" customWidth="1"/>
    <col min="33" max="16384" width="9.1796875" style="41"/>
  </cols>
  <sheetData>
    <row r="1" spans="1:32" s="26" customFormat="1" x14ac:dyDescent="0.3">
      <c r="H1" s="27">
        <v>2001</v>
      </c>
      <c r="I1" s="27">
        <v>2002</v>
      </c>
      <c r="J1" s="27">
        <v>2003</v>
      </c>
      <c r="K1" s="27">
        <v>2004</v>
      </c>
      <c r="L1" s="27">
        <v>2005</v>
      </c>
      <c r="M1" s="27">
        <v>2006</v>
      </c>
      <c r="N1" s="27">
        <v>2007</v>
      </c>
      <c r="O1" s="27">
        <v>2008</v>
      </c>
      <c r="P1" s="27">
        <v>2009</v>
      </c>
      <c r="Q1" s="27">
        <v>2010</v>
      </c>
      <c r="R1" s="27">
        <v>2011</v>
      </c>
      <c r="S1" s="27">
        <v>2012</v>
      </c>
      <c r="T1" s="27">
        <v>2013</v>
      </c>
      <c r="U1" s="27">
        <v>2014</v>
      </c>
      <c r="V1" s="27">
        <v>2015</v>
      </c>
      <c r="W1" s="27">
        <v>2016</v>
      </c>
      <c r="X1" s="27">
        <v>2017</v>
      </c>
      <c r="Y1" s="27">
        <v>2018</v>
      </c>
      <c r="Z1" s="27">
        <v>2019</v>
      </c>
      <c r="AA1" s="27">
        <v>2020</v>
      </c>
      <c r="AB1" s="27">
        <v>2021</v>
      </c>
      <c r="AC1" s="27">
        <v>2022</v>
      </c>
      <c r="AD1" s="27">
        <v>2023</v>
      </c>
      <c r="AE1" s="27">
        <v>2024</v>
      </c>
      <c r="AF1" s="27">
        <v>2025</v>
      </c>
    </row>
    <row r="2" spans="1:32" s="26" customFormat="1" x14ac:dyDescent="0.3">
      <c r="B2" s="26" t="s">
        <v>200</v>
      </c>
      <c r="C2" s="27">
        <v>2015</v>
      </c>
      <c r="G2" s="26" t="b">
        <f>Valuation!H3&lt;=$C$2</f>
        <v>1</v>
      </c>
      <c r="H2" s="26" t="b">
        <f>Valuation!I3&lt;=$C$2</f>
        <v>1</v>
      </c>
      <c r="I2" s="26" t="b">
        <f>Valuation!J3&lt;=$C$2</f>
        <v>1</v>
      </c>
      <c r="J2" s="26" t="b">
        <f>Valuation!K3&lt;=$C$2</f>
        <v>1</v>
      </c>
      <c r="K2" s="26" t="b">
        <f>Valuation!L3&lt;=$C$2</f>
        <v>1</v>
      </c>
      <c r="L2" s="26" t="b">
        <f>Valuation!M3&lt;=$C$2</f>
        <v>1</v>
      </c>
      <c r="M2" s="26" t="b">
        <f>Valuation!N3&lt;=$C$2</f>
        <v>1</v>
      </c>
      <c r="N2" s="26" t="b">
        <f>Valuation!O3&lt;=$C$2</f>
        <v>1</v>
      </c>
      <c r="O2" s="26" t="b">
        <f>Valuation!P3&lt;=$C$2</f>
        <v>1</v>
      </c>
      <c r="P2" s="26" t="b">
        <f>Valuation!Q3&lt;=$C$2</f>
        <v>1</v>
      </c>
      <c r="Q2" s="26" t="b">
        <f>Valuation!R3&lt;=$C$2</f>
        <v>1</v>
      </c>
      <c r="R2" s="26" t="b">
        <f>Valuation!S3&lt;=$C$2</f>
        <v>1</v>
      </c>
      <c r="S2" s="26" t="b">
        <f>Valuation!T3&lt;=$C$2</f>
        <v>1</v>
      </c>
      <c r="T2" s="26" t="b">
        <f>Valuation!U3&lt;=$C$2</f>
        <v>1</v>
      </c>
      <c r="U2" s="26" t="b">
        <f>Valuation!V3&lt;=$C$2</f>
        <v>1</v>
      </c>
      <c r="V2" s="26" t="b">
        <f>Valuation!W3&lt;=$C$2</f>
        <v>1</v>
      </c>
      <c r="W2" s="26" t="b">
        <f>Valuation!X3&lt;=$C$2</f>
        <v>0</v>
      </c>
      <c r="X2" s="26" t="b">
        <f>Valuation!Y3&lt;=$C$2</f>
        <v>0</v>
      </c>
      <c r="Y2" s="26" t="b">
        <f>Valuation!Z3&lt;=$C$2</f>
        <v>0</v>
      </c>
      <c r="Z2" s="26" t="b">
        <f>Valuation!AA3&lt;=$C$2</f>
        <v>0</v>
      </c>
      <c r="AA2" s="26" t="b">
        <f>Valuation!AB3&lt;=$C$2</f>
        <v>0</v>
      </c>
      <c r="AB2" s="26" t="b">
        <f>Valuation!AC3&lt;=$C$2</f>
        <v>0</v>
      </c>
      <c r="AC2" s="26" t="b">
        <f>Valuation!AD3&lt;=$C$2</f>
        <v>0</v>
      </c>
      <c r="AD2" s="26" t="b">
        <f>Valuation!AE3&lt;=$C$2</f>
        <v>0</v>
      </c>
      <c r="AE2" s="26" t="b">
        <f>Valuation!AF3&lt;=$C$2</f>
        <v>0</v>
      </c>
      <c r="AF2" s="26" t="b">
        <f>Valuation!AG3&lt;=$C$2</f>
        <v>0</v>
      </c>
    </row>
    <row r="3" spans="1:32" s="26" customFormat="1" x14ac:dyDescent="0.3">
      <c r="B3" s="26" t="s">
        <v>215</v>
      </c>
      <c r="C3" s="27">
        <v>2005</v>
      </c>
      <c r="G3" s="26" t="b">
        <f>AND(Valuation!H3&gt;=$C$3,Valuation!H3&lt;=$C$2)</f>
        <v>0</v>
      </c>
      <c r="H3" s="26" t="b">
        <f>AND(Valuation!I3&gt;=$C$3,Valuation!I3&lt;=$C$2)</f>
        <v>0</v>
      </c>
      <c r="I3" s="26" t="b">
        <f>AND(Valuation!J3&gt;=$C$3,Valuation!J3&lt;=$C$2)</f>
        <v>0</v>
      </c>
      <c r="J3" s="26" t="b">
        <f>AND(Valuation!K3&gt;=$C$3,Valuation!K3&lt;=$C$2)</f>
        <v>0</v>
      </c>
      <c r="K3" s="26" t="b">
        <f>AND(Valuation!L3&gt;=$C$3,Valuation!L3&lt;=$C$2)</f>
        <v>0</v>
      </c>
      <c r="L3" s="26" t="b">
        <f>AND(Valuation!M3&gt;=$C$3,Valuation!M3&lt;=$C$2)</f>
        <v>1</v>
      </c>
      <c r="M3" s="26" t="b">
        <f>AND(Valuation!N3&gt;=$C$3,Valuation!N3&lt;=$C$2)</f>
        <v>1</v>
      </c>
      <c r="N3" s="26" t="b">
        <f>AND(Valuation!O3&gt;=$C$3,Valuation!O3&lt;=$C$2)</f>
        <v>1</v>
      </c>
      <c r="O3" s="26" t="b">
        <f>AND(Valuation!P3&gt;=$C$3,Valuation!P3&lt;=$C$2)</f>
        <v>1</v>
      </c>
      <c r="P3" s="26" t="b">
        <f>AND(Valuation!Q3&gt;=$C$3,Valuation!Q3&lt;=$C$2)</f>
        <v>1</v>
      </c>
      <c r="Q3" s="26" t="b">
        <f>AND(Valuation!R3&gt;=$C$3,Valuation!R3&lt;=$C$2)</f>
        <v>1</v>
      </c>
      <c r="R3" s="26" t="b">
        <f>AND(Valuation!S3&gt;=$C$3,Valuation!S3&lt;=$C$2)</f>
        <v>1</v>
      </c>
      <c r="S3" s="26" t="b">
        <f>AND(Valuation!T3&gt;=$C$3,Valuation!T3&lt;=$C$2)</f>
        <v>1</v>
      </c>
      <c r="T3" s="26" t="b">
        <f>AND(Valuation!U3&gt;=$C$3,Valuation!U3&lt;=$C$2)</f>
        <v>1</v>
      </c>
      <c r="U3" s="26" t="b">
        <f>AND(Valuation!V3&gt;=$C$3,Valuation!V3&lt;=$C$2)</f>
        <v>1</v>
      </c>
      <c r="V3" s="26" t="b">
        <f>AND(Valuation!W3&gt;=$C$3,Valuation!W3&lt;=$C$2)</f>
        <v>1</v>
      </c>
      <c r="W3" s="26" t="b">
        <f>AND(Valuation!X3&gt;=$C$3,Valuation!X3&lt;=$C$2)</f>
        <v>0</v>
      </c>
      <c r="X3" s="26" t="b">
        <f>AND(Valuation!Y3&gt;=$C$3,Valuation!Y3&lt;=$C$2)</f>
        <v>0</v>
      </c>
      <c r="Y3" s="26" t="b">
        <f>AND(Valuation!Z3&gt;=$C$3,Valuation!Z3&lt;=$C$2)</f>
        <v>0</v>
      </c>
      <c r="Z3" s="26" t="b">
        <f>AND(Valuation!AA3&gt;=$C$3,Valuation!AA3&lt;=$C$2)</f>
        <v>0</v>
      </c>
      <c r="AA3" s="26" t="b">
        <f>AND(Valuation!AB3&gt;=$C$3,Valuation!AB3&lt;=$C$2)</f>
        <v>0</v>
      </c>
      <c r="AB3" s="26" t="b">
        <f>AND(Valuation!AC3&gt;=$C$3,Valuation!AC3&lt;=$C$2)</f>
        <v>0</v>
      </c>
      <c r="AC3" s="26" t="b">
        <f>AND(Valuation!AD3&gt;=$C$3,Valuation!AD3&lt;=$C$2)</f>
        <v>0</v>
      </c>
      <c r="AD3" s="26" t="b">
        <f>AND(Valuation!AE3&gt;=$C$3,Valuation!AE3&lt;=$C$2)</f>
        <v>0</v>
      </c>
      <c r="AE3" s="26" t="b">
        <f>AND(Valuation!AF3&gt;=$C$3,Valuation!AF3&lt;=$C$2)</f>
        <v>0</v>
      </c>
      <c r="AF3" s="26" t="b">
        <f>AND(Valuation!AG3&gt;=$C$3,Valuation!AG3&lt;=$C$2)</f>
        <v>0</v>
      </c>
    </row>
    <row r="4" spans="1:32" s="26" customFormat="1" x14ac:dyDescent="0.3">
      <c r="B4" s="26" t="s">
        <v>201</v>
      </c>
      <c r="G4" s="26" t="b">
        <f>Valuation!H3=$C$2</f>
        <v>0</v>
      </c>
      <c r="H4" s="26" t="b">
        <f>Valuation!I3=$C$2</f>
        <v>0</v>
      </c>
      <c r="I4" s="26" t="b">
        <f>Valuation!J3=$C$2</f>
        <v>0</v>
      </c>
      <c r="J4" s="26" t="b">
        <f>Valuation!K3=$C$2</f>
        <v>0</v>
      </c>
      <c r="K4" s="26" t="b">
        <f>Valuation!L3=$C$2</f>
        <v>0</v>
      </c>
      <c r="L4" s="26" t="b">
        <f>Valuation!M3=$C$2</f>
        <v>0</v>
      </c>
      <c r="M4" s="26" t="b">
        <f>Valuation!N3=$C$2</f>
        <v>0</v>
      </c>
      <c r="N4" s="26" t="b">
        <f>Valuation!O3=$C$2</f>
        <v>0</v>
      </c>
      <c r="O4" s="26" t="b">
        <f>Valuation!P3=$C$2</f>
        <v>0</v>
      </c>
      <c r="P4" s="26" t="b">
        <f>Valuation!Q3=$C$2</f>
        <v>0</v>
      </c>
      <c r="Q4" s="26" t="b">
        <f>Valuation!R3=$C$2</f>
        <v>0</v>
      </c>
      <c r="R4" s="26" t="b">
        <f>Valuation!S3=$C$2</f>
        <v>0</v>
      </c>
      <c r="S4" s="26" t="b">
        <f>Valuation!T3=$C$2</f>
        <v>0</v>
      </c>
      <c r="T4" s="26" t="b">
        <f>Valuation!U3=$C$2</f>
        <v>0</v>
      </c>
      <c r="U4" s="26" t="b">
        <f>Valuation!V3=$C$2</f>
        <v>0</v>
      </c>
      <c r="V4" s="26" t="b">
        <f>Valuation!W3=$C$2</f>
        <v>1</v>
      </c>
      <c r="W4" s="26" t="b">
        <f>Valuation!X3=$C$2</f>
        <v>0</v>
      </c>
      <c r="X4" s="26" t="b">
        <f>Valuation!Y3=$C$2</f>
        <v>0</v>
      </c>
      <c r="Y4" s="26" t="b">
        <f>Valuation!Z3=$C$2</f>
        <v>0</v>
      </c>
      <c r="Z4" s="26" t="b">
        <f>Valuation!AA3=$C$2</f>
        <v>0</v>
      </c>
      <c r="AA4" s="26" t="b">
        <f>Valuation!AB3=$C$2</f>
        <v>0</v>
      </c>
      <c r="AB4" s="26" t="b">
        <f>Valuation!AC3=$C$2</f>
        <v>0</v>
      </c>
      <c r="AC4" s="26" t="b">
        <f>Valuation!AD3=$C$2</f>
        <v>0</v>
      </c>
      <c r="AD4" s="26" t="b">
        <f>Valuation!AE3=$C$2</f>
        <v>0</v>
      </c>
      <c r="AE4" s="26" t="b">
        <f>Valuation!AF3=$C$2</f>
        <v>0</v>
      </c>
      <c r="AF4" s="26" t="b">
        <f>Valuation!AG3=$C$2</f>
        <v>0</v>
      </c>
    </row>
    <row r="5" spans="1:32" s="56" customFormat="1" x14ac:dyDescent="0.3">
      <c r="A5" s="56" t="s">
        <v>136</v>
      </c>
      <c r="B5" s="56" t="s">
        <v>134</v>
      </c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56" t="s">
        <v>199</v>
      </c>
      <c r="X5" s="56" t="s">
        <v>203</v>
      </c>
      <c r="Y5" s="56" t="s">
        <v>158</v>
      </c>
      <c r="Z5" s="56" t="s">
        <v>234</v>
      </c>
      <c r="AA5" s="56" t="s">
        <v>235</v>
      </c>
    </row>
    <row r="6" spans="1:32" s="57" customFormat="1" x14ac:dyDescent="0.3">
      <c r="B6" s="57" t="s">
        <v>67</v>
      </c>
      <c r="L6" s="58">
        <v>20672</v>
      </c>
      <c r="M6" s="58">
        <v>21279</v>
      </c>
      <c r="N6" s="58">
        <v>21205</v>
      </c>
      <c r="O6" s="58">
        <v>84678</v>
      </c>
      <c r="P6" s="58">
        <v>81611</v>
      </c>
      <c r="Q6" s="58">
        <v>87813</v>
      </c>
      <c r="R6" s="58">
        <v>89041</v>
      </c>
      <c r="S6" s="58">
        <v>91216</v>
      </c>
      <c r="T6" s="58">
        <v>94236</v>
      </c>
      <c r="U6" s="58">
        <v>81754</v>
      </c>
      <c r="V6" s="58">
        <v>72920</v>
      </c>
      <c r="W6" s="89"/>
      <c r="X6" s="60">
        <v>1</v>
      </c>
    </row>
    <row r="7" spans="1:32" s="57" customFormat="1" x14ac:dyDescent="0.3">
      <c r="B7" s="57" t="s">
        <v>68</v>
      </c>
      <c r="L7" s="58">
        <v>20355</v>
      </c>
      <c r="M7" s="58">
        <v>20367</v>
      </c>
      <c r="N7" s="58">
        <v>22109</v>
      </c>
      <c r="O7" s="58">
        <v>34043</v>
      </c>
      <c r="P7" s="58">
        <v>31825</v>
      </c>
      <c r="Q7" s="58">
        <v>32420</v>
      </c>
      <c r="R7" s="58">
        <v>31848</v>
      </c>
      <c r="S7" s="58">
        <v>31991</v>
      </c>
      <c r="T7" s="58">
        <v>31738</v>
      </c>
      <c r="U7" s="58">
        <v>28748</v>
      </c>
      <c r="V7" s="58">
        <v>26678</v>
      </c>
      <c r="W7" s="59"/>
      <c r="X7" s="60">
        <v>1</v>
      </c>
    </row>
    <row r="8" spans="1:32" s="61" customFormat="1" x14ac:dyDescent="0.3">
      <c r="B8" s="61" t="s">
        <v>69</v>
      </c>
      <c r="L8" s="58">
        <v>1105</v>
      </c>
      <c r="M8" s="58">
        <v>579</v>
      </c>
      <c r="N8" s="58">
        <v>622</v>
      </c>
      <c r="O8" s="58">
        <v>2224</v>
      </c>
      <c r="P8" s="58">
        <v>2667</v>
      </c>
      <c r="Q8" s="58">
        <v>4877</v>
      </c>
      <c r="R8" s="58">
        <v>5051</v>
      </c>
      <c r="S8" s="58">
        <v>6241</v>
      </c>
      <c r="T8" s="58">
        <v>3771</v>
      </c>
      <c r="U8" s="58">
        <v>4277</v>
      </c>
      <c r="V8" s="58">
        <v>4676</v>
      </c>
      <c r="W8" s="60">
        <v>-1</v>
      </c>
      <c r="X8" s="59"/>
      <c r="Y8" s="62"/>
    </row>
    <row r="9" spans="1:32" s="57" customFormat="1" x14ac:dyDescent="0.3">
      <c r="B9" s="57" t="s">
        <v>65</v>
      </c>
      <c r="L9" s="58">
        <v>1235</v>
      </c>
      <c r="M9" s="58">
        <v>1139</v>
      </c>
      <c r="N9" s="58">
        <v>1476</v>
      </c>
      <c r="O9" s="58">
        <v>1707</v>
      </c>
      <c r="P9" s="58">
        <v>1604</v>
      </c>
      <c r="Q9" s="58">
        <v>1747</v>
      </c>
      <c r="R9" s="58">
        <v>1650</v>
      </c>
      <c r="S9" s="58">
        <v>2208</v>
      </c>
      <c r="T9" s="58">
        <v>2049</v>
      </c>
      <c r="U9" s="58">
        <v>2131</v>
      </c>
      <c r="V9" s="58">
        <v>1854</v>
      </c>
      <c r="W9" s="59"/>
      <c r="X9" s="60">
        <v>1</v>
      </c>
      <c r="Z9" s="63">
        <v>1</v>
      </c>
    </row>
    <row r="10" spans="1:32" s="57" customFormat="1" x14ac:dyDescent="0.3">
      <c r="B10" s="57" t="s">
        <v>70</v>
      </c>
      <c r="L10" s="58">
        <v>1005</v>
      </c>
      <c r="M10" s="58">
        <v>822</v>
      </c>
      <c r="N10" s="58">
        <v>733</v>
      </c>
      <c r="O10" s="58">
        <v>1254</v>
      </c>
      <c r="P10" s="58">
        <v>1483</v>
      </c>
      <c r="Q10" s="58">
        <v>1301</v>
      </c>
      <c r="R10" s="58">
        <v>1199</v>
      </c>
      <c r="S10" s="58">
        <v>1170</v>
      </c>
      <c r="T10" s="58">
        <v>1130</v>
      </c>
      <c r="U10" s="58">
        <v>1430</v>
      </c>
      <c r="V10" s="58">
        <v>1697</v>
      </c>
      <c r="W10" s="59"/>
      <c r="X10" s="60">
        <v>1</v>
      </c>
    </row>
    <row r="11" spans="1:32" s="61" customFormat="1" x14ac:dyDescent="0.3">
      <c r="B11" s="61" t="s">
        <v>131</v>
      </c>
      <c r="L11" s="58">
        <v>21</v>
      </c>
      <c r="M11" s="58">
        <v>14</v>
      </c>
      <c r="N11" s="58">
        <v>11</v>
      </c>
      <c r="O11" s="58">
        <v>2</v>
      </c>
      <c r="P11" s="58">
        <v>2</v>
      </c>
      <c r="Q11" s="58">
        <v>8</v>
      </c>
      <c r="R11" s="58">
        <v>5</v>
      </c>
      <c r="S11" s="58">
        <v>0</v>
      </c>
      <c r="T11" s="58">
        <v>0</v>
      </c>
      <c r="U11" s="58">
        <v>0</v>
      </c>
      <c r="V11" s="58">
        <v>0</v>
      </c>
      <c r="W11" s="60">
        <v>-1</v>
      </c>
      <c r="X11" s="59"/>
      <c r="Y11" s="64">
        <v>-1</v>
      </c>
    </row>
    <row r="12" spans="1:32" s="57" customFormat="1" ht="12.5" thickBot="1" x14ac:dyDescent="0.35">
      <c r="B12" s="65" t="s">
        <v>71</v>
      </c>
      <c r="C12" s="65"/>
      <c r="D12" s="65"/>
      <c r="E12" s="65"/>
      <c r="F12" s="65"/>
      <c r="G12" s="65"/>
      <c r="H12" s="65"/>
      <c r="I12" s="65"/>
      <c r="J12" s="65"/>
      <c r="K12" s="65"/>
      <c r="L12" s="66">
        <f t="shared" ref="L12:V12" si="0">SUM(L6:L11)</f>
        <v>44393</v>
      </c>
      <c r="M12" s="66">
        <f t="shared" si="0"/>
        <v>44200</v>
      </c>
      <c r="N12" s="66">
        <f t="shared" si="0"/>
        <v>46156</v>
      </c>
      <c r="O12" s="66">
        <f t="shared" si="0"/>
        <v>123908</v>
      </c>
      <c r="P12" s="66">
        <f t="shared" si="0"/>
        <v>119192</v>
      </c>
      <c r="Q12" s="66">
        <f t="shared" si="0"/>
        <v>128166</v>
      </c>
      <c r="R12" s="66">
        <f t="shared" si="0"/>
        <v>128794</v>
      </c>
      <c r="S12" s="66">
        <f t="shared" si="0"/>
        <v>132826</v>
      </c>
      <c r="T12" s="66">
        <f t="shared" si="0"/>
        <v>132924</v>
      </c>
      <c r="U12" s="66">
        <f t="shared" si="0"/>
        <v>118340</v>
      </c>
      <c r="V12" s="66">
        <f t="shared" si="0"/>
        <v>107825</v>
      </c>
      <c r="W12" s="59"/>
      <c r="X12" s="59"/>
    </row>
    <row r="13" spans="1:32" s="57" customFormat="1" x14ac:dyDescent="0.3">
      <c r="B13" s="57" t="s">
        <v>102</v>
      </c>
      <c r="L13" s="58">
        <v>2866</v>
      </c>
      <c r="M13" s="58">
        <v>3220</v>
      </c>
      <c r="N13" s="58">
        <v>3818</v>
      </c>
      <c r="O13" s="58">
        <v>5317</v>
      </c>
      <c r="P13" s="58">
        <v>3601</v>
      </c>
      <c r="Q13" s="58">
        <v>4191</v>
      </c>
      <c r="R13" s="58">
        <v>4350</v>
      </c>
      <c r="S13" s="58">
        <v>4541</v>
      </c>
      <c r="T13" s="58">
        <v>4592</v>
      </c>
      <c r="U13" s="58">
        <v>4498</v>
      </c>
      <c r="V13" s="58">
        <v>3817</v>
      </c>
      <c r="W13" s="59"/>
      <c r="X13" s="60">
        <v>1</v>
      </c>
    </row>
    <row r="14" spans="1:32" s="57" customFormat="1" x14ac:dyDescent="0.3">
      <c r="B14" s="57" t="s">
        <v>73</v>
      </c>
      <c r="L14" s="58">
        <v>132</v>
      </c>
      <c r="M14" s="58">
        <v>84</v>
      </c>
      <c r="N14" s="58">
        <v>62</v>
      </c>
      <c r="O14" s="58">
        <v>262</v>
      </c>
      <c r="P14" s="58">
        <v>175</v>
      </c>
      <c r="Q14" s="58">
        <v>172</v>
      </c>
      <c r="R14" s="58">
        <v>129</v>
      </c>
      <c r="S14" s="58">
        <v>60</v>
      </c>
      <c r="T14" s="58">
        <v>203</v>
      </c>
      <c r="U14" s="58">
        <v>196</v>
      </c>
      <c r="V14" s="58">
        <v>324</v>
      </c>
      <c r="W14" s="59"/>
      <c r="X14" s="60">
        <v>1</v>
      </c>
      <c r="Z14" s="57">
        <v>1</v>
      </c>
    </row>
    <row r="15" spans="1:32" s="61" customFormat="1" x14ac:dyDescent="0.3">
      <c r="B15" s="61" t="s">
        <v>72</v>
      </c>
      <c r="L15" s="58">
        <v>5979</v>
      </c>
      <c r="M15" s="58">
        <v>6108</v>
      </c>
      <c r="N15" s="58">
        <v>6341</v>
      </c>
      <c r="O15" s="58">
        <v>6369</v>
      </c>
      <c r="P15" s="58">
        <v>5898</v>
      </c>
      <c r="Q15" s="58">
        <v>5687</v>
      </c>
      <c r="R15" s="58">
        <v>7855</v>
      </c>
      <c r="S15" s="58">
        <v>7828</v>
      </c>
      <c r="T15" s="58">
        <v>7681</v>
      </c>
      <c r="U15" s="58">
        <v>6872</v>
      </c>
      <c r="V15" s="58">
        <v>5729</v>
      </c>
      <c r="W15" s="59"/>
      <c r="X15" s="60">
        <v>1</v>
      </c>
      <c r="Z15" s="64">
        <v>1</v>
      </c>
    </row>
    <row r="16" spans="1:32" s="57" customFormat="1" x14ac:dyDescent="0.3">
      <c r="B16" s="57" t="s">
        <v>74</v>
      </c>
      <c r="L16" s="58">
        <v>3015</v>
      </c>
      <c r="M16" s="58">
        <v>1145</v>
      </c>
      <c r="N16" s="58">
        <v>1453</v>
      </c>
      <c r="O16" s="58">
        <v>3095</v>
      </c>
      <c r="P16" s="58">
        <v>1750</v>
      </c>
      <c r="Q16" s="58">
        <v>1766</v>
      </c>
      <c r="R16" s="58">
        <v>1846</v>
      </c>
      <c r="S16" s="58">
        <v>2093</v>
      </c>
      <c r="T16" s="58">
        <v>1795</v>
      </c>
      <c r="U16" s="58">
        <v>2614</v>
      </c>
      <c r="V16" s="58">
        <v>2532</v>
      </c>
      <c r="W16" s="59"/>
      <c r="X16" s="60">
        <v>1</v>
      </c>
      <c r="Z16" s="63">
        <v>1</v>
      </c>
    </row>
    <row r="17" spans="2:26" s="57" customFormat="1" x14ac:dyDescent="0.3">
      <c r="B17" s="57" t="s">
        <v>75</v>
      </c>
      <c r="L17" s="58">
        <v>2240</v>
      </c>
      <c r="M17" s="58">
        <v>2490</v>
      </c>
      <c r="N17" s="58">
        <v>2249</v>
      </c>
      <c r="O17" s="58">
        <v>2857</v>
      </c>
      <c r="P17" s="58">
        <v>2734</v>
      </c>
      <c r="Q17" s="58">
        <v>2735</v>
      </c>
      <c r="R17" s="58">
        <v>3145</v>
      </c>
      <c r="S17" s="58">
        <v>5760</v>
      </c>
      <c r="T17" s="58">
        <v>3612</v>
      </c>
      <c r="U17" s="58">
        <v>2418</v>
      </c>
      <c r="V17" s="58">
        <v>3131</v>
      </c>
      <c r="W17" s="60">
        <v>-1</v>
      </c>
      <c r="X17" s="59"/>
      <c r="Y17" s="63">
        <v>-1</v>
      </c>
    </row>
    <row r="18" spans="2:26" s="61" customFormat="1" x14ac:dyDescent="0.3">
      <c r="B18" s="61" t="s">
        <v>66</v>
      </c>
      <c r="L18" s="58">
        <v>587</v>
      </c>
      <c r="M18" s="58">
        <v>917</v>
      </c>
      <c r="N18" s="58">
        <v>950</v>
      </c>
      <c r="O18" s="58">
        <v>1211</v>
      </c>
      <c r="P18" s="58">
        <v>666</v>
      </c>
      <c r="Q18" s="58">
        <v>938</v>
      </c>
      <c r="R18" s="58">
        <v>867</v>
      </c>
      <c r="S18" s="58">
        <v>853</v>
      </c>
      <c r="T18" s="58">
        <v>1501</v>
      </c>
      <c r="U18" s="58">
        <v>977</v>
      </c>
      <c r="V18" s="58">
        <v>1074</v>
      </c>
      <c r="W18" s="59"/>
      <c r="X18" s="60">
        <v>1</v>
      </c>
      <c r="Z18" s="64">
        <v>1</v>
      </c>
    </row>
    <row r="19" spans="2:26" s="57" customFormat="1" x14ac:dyDescent="0.3">
      <c r="B19" s="57" t="s">
        <v>77</v>
      </c>
      <c r="L19" s="58">
        <v>328</v>
      </c>
      <c r="M19" s="58">
        <v>109</v>
      </c>
      <c r="N19" s="58">
        <v>34</v>
      </c>
      <c r="O19" s="58">
        <v>162</v>
      </c>
      <c r="P19" s="58">
        <v>388</v>
      </c>
      <c r="Q19" s="58">
        <v>419</v>
      </c>
      <c r="R19" s="58">
        <v>570</v>
      </c>
      <c r="S19" s="58">
        <v>0</v>
      </c>
      <c r="T19" s="58">
        <v>0</v>
      </c>
      <c r="U19" s="58">
        <v>0</v>
      </c>
      <c r="V19" s="58">
        <v>469</v>
      </c>
      <c r="W19" s="60">
        <v>-1</v>
      </c>
      <c r="X19" s="59"/>
    </row>
    <row r="20" spans="2:26" s="57" customFormat="1" x14ac:dyDescent="0.3">
      <c r="B20" s="57" t="s">
        <v>51</v>
      </c>
      <c r="L20" s="58">
        <v>2710</v>
      </c>
      <c r="M20" s="58">
        <v>170</v>
      </c>
      <c r="N20" s="58">
        <v>123</v>
      </c>
      <c r="O20" s="58">
        <v>118</v>
      </c>
      <c r="P20" s="58">
        <v>94</v>
      </c>
      <c r="Q20" s="58">
        <v>124</v>
      </c>
      <c r="R20" s="58">
        <v>134</v>
      </c>
      <c r="S20" s="58">
        <v>0</v>
      </c>
      <c r="T20" s="58">
        <v>0</v>
      </c>
      <c r="U20" s="58">
        <v>0</v>
      </c>
      <c r="V20" s="58">
        <v>0</v>
      </c>
      <c r="W20" s="60">
        <v>-1</v>
      </c>
      <c r="X20" s="59"/>
      <c r="Y20" s="63">
        <v>-1</v>
      </c>
    </row>
    <row r="21" spans="2:26" s="61" customFormat="1" ht="12.5" thickBot="1" x14ac:dyDescent="0.35">
      <c r="B21" s="67" t="s">
        <v>76</v>
      </c>
      <c r="C21" s="67"/>
      <c r="D21" s="67"/>
      <c r="E21" s="67"/>
      <c r="F21" s="67"/>
      <c r="G21" s="67"/>
      <c r="H21" s="67"/>
      <c r="I21" s="67"/>
      <c r="J21" s="67"/>
      <c r="K21" s="67"/>
      <c r="L21" s="66">
        <f t="shared" ref="L21:V21" si="1">SUM(L13:L20)</f>
        <v>17857</v>
      </c>
      <c r="M21" s="66">
        <f t="shared" si="1"/>
        <v>14243</v>
      </c>
      <c r="N21" s="66">
        <f t="shared" si="1"/>
        <v>15030</v>
      </c>
      <c r="O21" s="66">
        <f t="shared" si="1"/>
        <v>19391</v>
      </c>
      <c r="P21" s="66">
        <f t="shared" si="1"/>
        <v>15306</v>
      </c>
      <c r="Q21" s="66">
        <f t="shared" si="1"/>
        <v>16032</v>
      </c>
      <c r="R21" s="66">
        <f t="shared" si="1"/>
        <v>18896</v>
      </c>
      <c r="S21" s="66">
        <f t="shared" si="1"/>
        <v>21135</v>
      </c>
      <c r="T21" s="66">
        <f t="shared" si="1"/>
        <v>19384</v>
      </c>
      <c r="U21" s="66">
        <f t="shared" si="1"/>
        <v>17575</v>
      </c>
      <c r="V21" s="66">
        <f t="shared" si="1"/>
        <v>17076</v>
      </c>
      <c r="W21" s="59"/>
      <c r="X21" s="59"/>
    </row>
    <row r="22" spans="2:26" s="57" customFormat="1" x14ac:dyDescent="0.3">
      <c r="B22" s="57" t="s">
        <v>113</v>
      </c>
      <c r="L22" s="58">
        <v>0</v>
      </c>
      <c r="M22" s="58">
        <v>0</v>
      </c>
      <c r="N22" s="58">
        <v>0</v>
      </c>
      <c r="O22" s="58">
        <v>0</v>
      </c>
      <c r="P22" s="58">
        <v>0</v>
      </c>
      <c r="Q22" s="58">
        <v>0</v>
      </c>
      <c r="R22" s="58">
        <v>0</v>
      </c>
      <c r="S22" s="58">
        <v>0</v>
      </c>
      <c r="T22" s="58">
        <v>0</v>
      </c>
      <c r="U22" s="58">
        <v>1068</v>
      </c>
      <c r="V22" s="58">
        <v>0</v>
      </c>
      <c r="W22" s="60">
        <v>-1</v>
      </c>
      <c r="X22" s="59"/>
    </row>
    <row r="23" spans="2:26" s="26" customFormat="1" ht="12.5" thickBot="1" x14ac:dyDescent="0.35">
      <c r="B23" s="68" t="s">
        <v>53</v>
      </c>
      <c r="C23" s="68"/>
      <c r="D23" s="68"/>
      <c r="E23" s="68"/>
      <c r="F23" s="68"/>
      <c r="G23" s="68"/>
      <c r="H23" s="68"/>
      <c r="I23" s="68"/>
      <c r="J23" s="68"/>
      <c r="K23" s="68"/>
      <c r="L23" s="66">
        <f t="shared" ref="L23:V23" si="2">L22+L21+L12</f>
        <v>62250</v>
      </c>
      <c r="M23" s="66">
        <f t="shared" si="2"/>
        <v>58443</v>
      </c>
      <c r="N23" s="66">
        <f t="shared" si="2"/>
        <v>61186</v>
      </c>
      <c r="O23" s="66">
        <f t="shared" si="2"/>
        <v>143299</v>
      </c>
      <c r="P23" s="66">
        <f t="shared" si="2"/>
        <v>134498</v>
      </c>
      <c r="Q23" s="66">
        <f t="shared" si="2"/>
        <v>144198</v>
      </c>
      <c r="R23" s="66">
        <f t="shared" si="2"/>
        <v>147690</v>
      </c>
      <c r="S23" s="66">
        <f t="shared" si="2"/>
        <v>153961</v>
      </c>
      <c r="T23" s="66">
        <f t="shared" si="2"/>
        <v>152308</v>
      </c>
      <c r="U23" s="66">
        <f t="shared" si="2"/>
        <v>136983</v>
      </c>
      <c r="V23" s="66">
        <f t="shared" si="2"/>
        <v>124901</v>
      </c>
      <c r="W23" s="59"/>
      <c r="X23" s="59"/>
    </row>
    <row r="24" spans="2:26" s="26" customFormat="1" hidden="1" outlineLevel="1" x14ac:dyDescent="0.3">
      <c r="B24" s="26" t="s">
        <v>0</v>
      </c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59"/>
      <c r="X24" s="59"/>
    </row>
    <row r="25" spans="2:26" s="26" customFormat="1" hidden="1" outlineLevel="1" x14ac:dyDescent="0.3">
      <c r="B25" s="26" t="s">
        <v>1</v>
      </c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59"/>
      <c r="X25" s="59"/>
    </row>
    <row r="26" spans="2:26" s="26" customFormat="1" collapsed="1" x14ac:dyDescent="0.3">
      <c r="B26" s="57" t="s">
        <v>37</v>
      </c>
      <c r="C26" s="57"/>
      <c r="D26" s="57"/>
      <c r="E26" s="57"/>
      <c r="F26" s="57"/>
      <c r="G26" s="57"/>
      <c r="H26" s="57"/>
      <c r="I26" s="57"/>
      <c r="J26" s="57"/>
      <c r="K26" s="57"/>
      <c r="L26" s="58">
        <v>1526</v>
      </c>
      <c r="M26" s="58">
        <v>1526</v>
      </c>
      <c r="N26" s="58">
        <v>1.5260000228881836</v>
      </c>
      <c r="O26" s="58">
        <v>3051</v>
      </c>
      <c r="P26" s="58">
        <v>3051</v>
      </c>
      <c r="Q26" s="58">
        <v>3051</v>
      </c>
      <c r="R26" s="58">
        <v>3051</v>
      </c>
      <c r="S26" s="58">
        <v>3051</v>
      </c>
      <c r="T26" s="58">
        <v>3051</v>
      </c>
      <c r="U26" s="58">
        <v>3051</v>
      </c>
      <c r="V26" s="58">
        <v>3051</v>
      </c>
      <c r="W26" s="59"/>
      <c r="X26" s="59"/>
    </row>
    <row r="27" spans="2:26" s="26" customFormat="1" x14ac:dyDescent="0.3">
      <c r="B27" s="57" t="s">
        <v>35</v>
      </c>
      <c r="C27" s="57"/>
      <c r="D27" s="57"/>
      <c r="E27" s="57"/>
      <c r="F27" s="57"/>
      <c r="G27" s="57"/>
      <c r="H27" s="57"/>
      <c r="I27" s="57"/>
      <c r="J27" s="57"/>
      <c r="K27" s="57"/>
      <c r="L27" s="58">
        <v>16442</v>
      </c>
      <c r="M27" s="58">
        <v>16071</v>
      </c>
      <c r="N27" s="58">
        <v>17.094999313354492</v>
      </c>
      <c r="O27" s="58">
        <v>52470</v>
      </c>
      <c r="P27" s="58">
        <v>-11816</v>
      </c>
      <c r="Q27" s="58">
        <v>-7056</v>
      </c>
      <c r="R27" s="58">
        <v>-8740</v>
      </c>
      <c r="S27" s="58">
        <v>-6476</v>
      </c>
      <c r="T27" s="58">
        <v>-13755</v>
      </c>
      <c r="U27" s="58">
        <v>-31006</v>
      </c>
      <c r="V27" s="58">
        <v>-35447</v>
      </c>
      <c r="W27" s="59"/>
      <c r="X27" s="59"/>
    </row>
    <row r="28" spans="2:26" s="26" customFormat="1" x14ac:dyDescent="0.3">
      <c r="B28" s="57" t="s">
        <v>103</v>
      </c>
      <c r="C28" s="57"/>
      <c r="D28" s="57"/>
      <c r="E28" s="57"/>
      <c r="F28" s="57"/>
      <c r="G28" s="57"/>
      <c r="H28" s="57"/>
      <c r="I28" s="57"/>
      <c r="J28" s="57"/>
      <c r="K28" s="57"/>
      <c r="L28" s="58">
        <v>0</v>
      </c>
      <c r="M28" s="58">
        <v>0</v>
      </c>
      <c r="N28" s="58">
        <v>0</v>
      </c>
      <c r="O28" s="58">
        <v>0</v>
      </c>
      <c r="P28" s="58">
        <v>63594</v>
      </c>
      <c r="Q28" s="58">
        <v>68253</v>
      </c>
      <c r="R28" s="58">
        <v>71555</v>
      </c>
      <c r="S28" s="58">
        <v>73686</v>
      </c>
      <c r="T28" s="58">
        <v>78515</v>
      </c>
      <c r="U28" s="58">
        <v>80392</v>
      </c>
      <c r="V28" s="58">
        <v>75885</v>
      </c>
      <c r="W28" s="59"/>
      <c r="X28" s="59"/>
    </row>
    <row r="29" spans="2:26" s="26" customFormat="1" x14ac:dyDescent="0.3">
      <c r="B29" s="57" t="s">
        <v>38</v>
      </c>
      <c r="C29" s="57"/>
      <c r="D29" s="57"/>
      <c r="E29" s="57"/>
      <c r="F29" s="57"/>
      <c r="G29" s="57"/>
      <c r="H29" s="57"/>
      <c r="I29" s="57"/>
      <c r="J29" s="57"/>
      <c r="K29" s="57"/>
      <c r="L29" s="58">
        <v>17968</v>
      </c>
      <c r="M29" s="58">
        <v>17597</v>
      </c>
      <c r="N29" s="58">
        <v>18.621000289916992</v>
      </c>
      <c r="O29" s="58">
        <v>55521</v>
      </c>
      <c r="P29" s="58">
        <v>54829</v>
      </c>
      <c r="Q29" s="58">
        <v>64248</v>
      </c>
      <c r="R29" s="58">
        <v>65866</v>
      </c>
      <c r="S29" s="58">
        <v>70261</v>
      </c>
      <c r="T29" s="58">
        <v>67811</v>
      </c>
      <c r="U29" s="58">
        <v>52437</v>
      </c>
      <c r="V29" s="58">
        <v>43489</v>
      </c>
      <c r="W29" s="59"/>
      <c r="X29" s="59"/>
    </row>
    <row r="30" spans="2:26" s="26" customFormat="1" x14ac:dyDescent="0.3">
      <c r="B30" s="57" t="s">
        <v>5</v>
      </c>
      <c r="C30" s="57"/>
      <c r="D30" s="57"/>
      <c r="E30" s="57"/>
      <c r="F30" s="57"/>
      <c r="G30" s="57"/>
      <c r="H30" s="57"/>
      <c r="I30" s="57"/>
      <c r="J30" s="57"/>
      <c r="K30" s="57"/>
      <c r="L30" s="58">
        <v>1528</v>
      </c>
      <c r="M30" s="58">
        <v>1390</v>
      </c>
      <c r="N30" s="58">
        <v>1.3229999542236328</v>
      </c>
      <c r="O30" s="58">
        <v>5230</v>
      </c>
      <c r="P30" s="58">
        <v>4660</v>
      </c>
      <c r="Q30" s="58">
        <v>5381</v>
      </c>
      <c r="R30" s="58">
        <v>5763</v>
      </c>
      <c r="S30" s="58">
        <v>3389</v>
      </c>
      <c r="T30" s="58">
        <v>3688</v>
      </c>
      <c r="U30" s="58">
        <v>3560</v>
      </c>
      <c r="V30" s="58">
        <v>3742</v>
      </c>
      <c r="W30" s="59"/>
      <c r="X30" s="59"/>
    </row>
    <row r="31" spans="2:26" s="26" customFormat="1" ht="12.5" thickBot="1" x14ac:dyDescent="0.35">
      <c r="B31" s="65" t="s">
        <v>39</v>
      </c>
      <c r="C31" s="65"/>
      <c r="D31" s="65"/>
      <c r="E31" s="65"/>
      <c r="F31" s="65"/>
      <c r="G31" s="65"/>
      <c r="H31" s="65"/>
      <c r="I31" s="65"/>
      <c r="J31" s="65"/>
      <c r="K31" s="65"/>
      <c r="L31" s="66">
        <f>L29+L30</f>
        <v>19496</v>
      </c>
      <c r="M31" s="66">
        <f>M29+M30</f>
        <v>18987</v>
      </c>
      <c r="N31" s="69">
        <v>19944</v>
      </c>
      <c r="O31" s="66">
        <f t="shared" ref="O31:V31" si="3">O29+O30</f>
        <v>60751</v>
      </c>
      <c r="P31" s="66">
        <f t="shared" si="3"/>
        <v>59489</v>
      </c>
      <c r="Q31" s="66">
        <f t="shared" si="3"/>
        <v>69629</v>
      </c>
      <c r="R31" s="66">
        <f t="shared" si="3"/>
        <v>71629</v>
      </c>
      <c r="S31" s="66">
        <f t="shared" si="3"/>
        <v>73650</v>
      </c>
      <c r="T31" s="66">
        <f t="shared" si="3"/>
        <v>71499</v>
      </c>
      <c r="U31" s="66">
        <f t="shared" si="3"/>
        <v>55997</v>
      </c>
      <c r="V31" s="66">
        <f t="shared" si="3"/>
        <v>47231</v>
      </c>
      <c r="W31" s="60">
        <v>1</v>
      </c>
      <c r="X31" s="59"/>
    </row>
    <row r="32" spans="2:26" s="26" customFormat="1" x14ac:dyDescent="0.3">
      <c r="B32" s="57" t="s">
        <v>63</v>
      </c>
      <c r="C32" s="57"/>
      <c r="D32" s="57"/>
      <c r="E32" s="57"/>
      <c r="F32" s="57"/>
      <c r="G32" s="57"/>
      <c r="H32" s="57"/>
      <c r="I32" s="57"/>
      <c r="J32" s="57"/>
      <c r="K32" s="57"/>
      <c r="L32" s="58">
        <v>17765</v>
      </c>
      <c r="M32" s="58">
        <v>16241</v>
      </c>
      <c r="N32" s="58">
        <v>19385</v>
      </c>
      <c r="O32" s="58">
        <v>43230</v>
      </c>
      <c r="P32" s="58">
        <v>36075</v>
      </c>
      <c r="Q32" s="58">
        <v>32587</v>
      </c>
      <c r="R32" s="58">
        <v>34364</v>
      </c>
      <c r="S32" s="58">
        <v>36706</v>
      </c>
      <c r="T32" s="58">
        <v>30686</v>
      </c>
      <c r="U32" s="58">
        <v>38690</v>
      </c>
      <c r="V32" s="58">
        <v>31479</v>
      </c>
      <c r="W32" s="60">
        <v>1</v>
      </c>
      <c r="X32" s="59"/>
      <c r="Y32" s="27">
        <v>1</v>
      </c>
    </row>
    <row r="33" spans="2:27" s="26" customFormat="1" x14ac:dyDescent="0.3">
      <c r="B33" s="57" t="s">
        <v>104</v>
      </c>
      <c r="C33" s="57"/>
      <c r="D33" s="57"/>
      <c r="E33" s="57"/>
      <c r="F33" s="57"/>
      <c r="G33" s="57"/>
      <c r="H33" s="57"/>
      <c r="I33" s="57"/>
      <c r="J33" s="57"/>
      <c r="K33" s="57"/>
      <c r="L33" s="58">
        <v>2061</v>
      </c>
      <c r="M33" s="58">
        <v>2006</v>
      </c>
      <c r="N33" s="58">
        <v>2220</v>
      </c>
      <c r="O33" s="58">
        <v>1793</v>
      </c>
      <c r="P33" s="58">
        <v>2153</v>
      </c>
      <c r="Q33" s="58">
        <v>2434</v>
      </c>
      <c r="R33" s="58">
        <v>3263</v>
      </c>
      <c r="S33" s="58">
        <v>3957</v>
      </c>
      <c r="T33" s="58">
        <v>3093</v>
      </c>
      <c r="U33" s="58">
        <v>4626</v>
      </c>
      <c r="V33" s="58">
        <v>5235</v>
      </c>
      <c r="W33" s="60">
        <v>1</v>
      </c>
      <c r="X33" s="59"/>
      <c r="Y33" s="27">
        <v>1</v>
      </c>
    </row>
    <row r="34" spans="2:27" s="26" customFormat="1" x14ac:dyDescent="0.3">
      <c r="B34" s="61" t="s">
        <v>40</v>
      </c>
      <c r="C34" s="61"/>
      <c r="D34" s="61"/>
      <c r="E34" s="61"/>
      <c r="F34" s="61"/>
      <c r="G34" s="61"/>
      <c r="H34" s="61"/>
      <c r="I34" s="61"/>
      <c r="J34" s="61"/>
      <c r="K34" s="61"/>
      <c r="L34" s="58">
        <v>2362</v>
      </c>
      <c r="M34" s="58">
        <v>2425</v>
      </c>
      <c r="N34" s="58">
        <v>2191</v>
      </c>
      <c r="O34" s="58">
        <v>9803</v>
      </c>
      <c r="P34" s="58">
        <v>9688</v>
      </c>
      <c r="Q34" s="58">
        <v>9947</v>
      </c>
      <c r="R34" s="58">
        <v>9652</v>
      </c>
      <c r="S34" s="58">
        <v>9682</v>
      </c>
      <c r="T34" s="58">
        <v>8837</v>
      </c>
      <c r="U34" s="58">
        <v>7147</v>
      </c>
      <c r="V34" s="58">
        <v>5924</v>
      </c>
      <c r="W34" s="59"/>
      <c r="X34" s="60">
        <v>-1</v>
      </c>
    </row>
    <row r="35" spans="2:27" s="26" customFormat="1" x14ac:dyDescent="0.3">
      <c r="B35" s="61" t="s">
        <v>41</v>
      </c>
      <c r="C35" s="61"/>
      <c r="D35" s="61"/>
      <c r="E35" s="61"/>
      <c r="F35" s="61"/>
      <c r="G35" s="61"/>
      <c r="H35" s="61"/>
      <c r="I35" s="61"/>
      <c r="J35" s="61"/>
      <c r="K35" s="61"/>
      <c r="L35" s="58">
        <v>517</v>
      </c>
      <c r="M35" s="58">
        <v>512</v>
      </c>
      <c r="N35" s="58">
        <v>480</v>
      </c>
      <c r="O35" s="58">
        <v>933</v>
      </c>
      <c r="P35" s="58">
        <v>1821</v>
      </c>
      <c r="Q35" s="58">
        <v>1382</v>
      </c>
      <c r="R35" s="58">
        <v>1749</v>
      </c>
      <c r="S35" s="58">
        <v>1820</v>
      </c>
      <c r="T35" s="58">
        <v>3054</v>
      </c>
      <c r="U35" s="58">
        <v>1477</v>
      </c>
      <c r="V35" s="58">
        <v>2547</v>
      </c>
      <c r="W35" s="60">
        <v>1</v>
      </c>
      <c r="X35" s="59"/>
    </row>
    <row r="36" spans="2:27" s="26" customFormat="1" ht="12.5" thickBot="1" x14ac:dyDescent="0.35">
      <c r="B36" s="65" t="s">
        <v>42</v>
      </c>
      <c r="C36" s="65"/>
      <c r="D36" s="65"/>
      <c r="E36" s="65"/>
      <c r="F36" s="65"/>
      <c r="G36" s="65"/>
      <c r="H36" s="65"/>
      <c r="I36" s="65"/>
      <c r="J36" s="65"/>
      <c r="K36" s="65"/>
      <c r="L36" s="66">
        <f t="shared" ref="L36:V36" si="4">SUM(L32:L35)</f>
        <v>22705</v>
      </c>
      <c r="M36" s="66">
        <f t="shared" si="4"/>
        <v>21184</v>
      </c>
      <c r="N36" s="66">
        <f t="shared" si="4"/>
        <v>24276</v>
      </c>
      <c r="O36" s="66">
        <f t="shared" si="4"/>
        <v>55759</v>
      </c>
      <c r="P36" s="66">
        <f t="shared" si="4"/>
        <v>49737</v>
      </c>
      <c r="Q36" s="66">
        <f t="shared" si="4"/>
        <v>46350</v>
      </c>
      <c r="R36" s="66">
        <f t="shared" si="4"/>
        <v>49028</v>
      </c>
      <c r="S36" s="66">
        <f t="shared" si="4"/>
        <v>52165</v>
      </c>
      <c r="T36" s="66">
        <f t="shared" si="4"/>
        <v>45670</v>
      </c>
      <c r="U36" s="66">
        <f t="shared" si="4"/>
        <v>51940</v>
      </c>
      <c r="V36" s="66">
        <f t="shared" si="4"/>
        <v>45185</v>
      </c>
      <c r="W36" s="59"/>
      <c r="X36" s="59"/>
    </row>
    <row r="37" spans="2:27" s="26" customFormat="1" x14ac:dyDescent="0.3">
      <c r="B37" s="57" t="s">
        <v>64</v>
      </c>
      <c r="C37" s="57"/>
      <c r="D37" s="57"/>
      <c r="E37" s="57"/>
      <c r="F37" s="57"/>
      <c r="G37" s="57"/>
      <c r="H37" s="57"/>
      <c r="I37" s="57"/>
      <c r="J37" s="57"/>
      <c r="K37" s="57"/>
      <c r="L37" s="58">
        <v>8213</v>
      </c>
      <c r="M37" s="58">
        <v>6556</v>
      </c>
      <c r="N37" s="58">
        <v>3869</v>
      </c>
      <c r="O37" s="58">
        <v>5291</v>
      </c>
      <c r="P37" s="58">
        <v>3322</v>
      </c>
      <c r="Q37" s="58">
        <v>3959</v>
      </c>
      <c r="R37" s="58">
        <v>1875</v>
      </c>
      <c r="S37" s="58">
        <v>3352</v>
      </c>
      <c r="T37" s="58">
        <v>9525</v>
      </c>
      <c r="U37" s="58">
        <v>1835</v>
      </c>
      <c r="V37" s="58">
        <v>4549</v>
      </c>
      <c r="W37" s="60">
        <v>1</v>
      </c>
      <c r="X37" s="59"/>
      <c r="Y37" s="27">
        <v>1</v>
      </c>
    </row>
    <row r="38" spans="2:27" s="26" customFormat="1" x14ac:dyDescent="0.3">
      <c r="B38" s="57" t="s">
        <v>43</v>
      </c>
      <c r="C38" s="57"/>
      <c r="D38" s="57"/>
      <c r="E38" s="57"/>
      <c r="F38" s="57"/>
      <c r="G38" s="57"/>
      <c r="H38" s="57"/>
      <c r="I38" s="57"/>
      <c r="J38" s="57"/>
      <c r="K38" s="57"/>
      <c r="L38" s="58">
        <v>4513</v>
      </c>
      <c r="M38" s="58">
        <v>5147</v>
      </c>
      <c r="N38" s="58">
        <v>5833</v>
      </c>
      <c r="O38" s="58">
        <v>7993</v>
      </c>
      <c r="P38" s="58">
        <v>7929</v>
      </c>
      <c r="Q38" s="58">
        <v>9385</v>
      </c>
      <c r="R38" s="58">
        <v>11021</v>
      </c>
      <c r="S38" s="58">
        <v>11862</v>
      </c>
      <c r="T38" s="58">
        <v>12927</v>
      </c>
      <c r="U38" s="58">
        <v>12048</v>
      </c>
      <c r="V38" s="58">
        <v>12260</v>
      </c>
      <c r="W38" s="59"/>
      <c r="X38" s="60">
        <v>-1</v>
      </c>
      <c r="AA38" s="27">
        <v>0</v>
      </c>
    </row>
    <row r="39" spans="2:27" s="26" customFormat="1" x14ac:dyDescent="0.3">
      <c r="B39" s="57" t="s">
        <v>44</v>
      </c>
      <c r="C39" s="57"/>
      <c r="D39" s="57"/>
      <c r="E39" s="57"/>
      <c r="F39" s="57"/>
      <c r="G39" s="57"/>
      <c r="H39" s="57"/>
      <c r="I39" s="57"/>
      <c r="J39" s="57"/>
      <c r="K39" s="57"/>
      <c r="L39" s="58">
        <v>1224</v>
      </c>
      <c r="M39" s="58">
        <v>1159</v>
      </c>
      <c r="N39" s="58">
        <v>1207</v>
      </c>
      <c r="O39" s="58">
        <v>1455</v>
      </c>
      <c r="P39" s="58">
        <v>1361</v>
      </c>
      <c r="Q39" s="58">
        <v>1279</v>
      </c>
      <c r="R39" s="58">
        <v>1291</v>
      </c>
      <c r="S39" s="58">
        <v>1381</v>
      </c>
      <c r="T39" s="58">
        <v>1630</v>
      </c>
      <c r="U39" s="58">
        <v>2034</v>
      </c>
      <c r="V39" s="58">
        <v>1819</v>
      </c>
      <c r="W39" s="59"/>
      <c r="X39" s="60">
        <v>-1</v>
      </c>
      <c r="AA39" s="27">
        <v>1</v>
      </c>
    </row>
    <row r="40" spans="2:27" s="26" customFormat="1" x14ac:dyDescent="0.3">
      <c r="B40" s="61" t="s">
        <v>45</v>
      </c>
      <c r="C40" s="61"/>
      <c r="D40" s="61"/>
      <c r="E40" s="61"/>
      <c r="F40" s="61"/>
      <c r="G40" s="61"/>
      <c r="H40" s="61"/>
      <c r="I40" s="61"/>
      <c r="J40" s="61"/>
      <c r="K40" s="61"/>
      <c r="L40" s="58">
        <v>720</v>
      </c>
      <c r="M40" s="58">
        <v>187</v>
      </c>
      <c r="N40" s="58">
        <v>197</v>
      </c>
      <c r="O40" s="58">
        <v>279</v>
      </c>
      <c r="P40" s="58">
        <v>411</v>
      </c>
      <c r="Q40" s="58">
        <v>534</v>
      </c>
      <c r="R40" s="58">
        <v>527</v>
      </c>
      <c r="S40" s="58">
        <v>537</v>
      </c>
      <c r="T40" s="58">
        <v>531</v>
      </c>
      <c r="U40" s="58">
        <v>796</v>
      </c>
      <c r="V40" s="58">
        <v>601</v>
      </c>
      <c r="W40" s="59"/>
      <c r="X40" s="60">
        <v>-1</v>
      </c>
      <c r="AA40" s="27">
        <v>1</v>
      </c>
    </row>
    <row r="41" spans="2:27" s="26" customFormat="1" x14ac:dyDescent="0.3">
      <c r="B41" s="61" t="s">
        <v>36</v>
      </c>
      <c r="C41" s="61"/>
      <c r="D41" s="61"/>
      <c r="E41" s="61"/>
      <c r="F41" s="61"/>
      <c r="G41" s="61"/>
      <c r="H41" s="61"/>
      <c r="I41" s="61"/>
      <c r="J41" s="61"/>
      <c r="K41" s="61"/>
      <c r="L41" s="58">
        <v>195</v>
      </c>
      <c r="M41" s="58">
        <v>366</v>
      </c>
      <c r="N41" s="58">
        <v>249</v>
      </c>
      <c r="O41" s="58">
        <v>1498</v>
      </c>
      <c r="P41" s="58">
        <v>1353</v>
      </c>
      <c r="Q41" s="58">
        <v>1506</v>
      </c>
      <c r="R41" s="58">
        <v>1001</v>
      </c>
      <c r="S41" s="58">
        <v>1230</v>
      </c>
      <c r="T41" s="58">
        <v>1278</v>
      </c>
      <c r="U41" s="58">
        <v>3010</v>
      </c>
      <c r="V41" s="58">
        <v>3374</v>
      </c>
      <c r="W41" s="59"/>
      <c r="X41" s="60">
        <v>-1</v>
      </c>
      <c r="AA41" s="27">
        <v>1</v>
      </c>
    </row>
    <row r="42" spans="2:27" s="26" customFormat="1" x14ac:dyDescent="0.3">
      <c r="B42" s="57" t="s">
        <v>46</v>
      </c>
      <c r="C42" s="57"/>
      <c r="D42" s="57"/>
      <c r="E42" s="57"/>
      <c r="F42" s="57"/>
      <c r="G42" s="57"/>
      <c r="H42" s="57"/>
      <c r="I42" s="57"/>
      <c r="J42" s="57"/>
      <c r="K42" s="57"/>
      <c r="L42" s="58">
        <v>5174</v>
      </c>
      <c r="M42" s="58">
        <v>4856</v>
      </c>
      <c r="N42" s="58">
        <v>5611</v>
      </c>
      <c r="O42" s="58">
        <v>9905</v>
      </c>
      <c r="P42" s="58">
        <v>10845</v>
      </c>
      <c r="Q42" s="58">
        <v>11378</v>
      </c>
      <c r="R42" s="58">
        <v>10490</v>
      </c>
      <c r="S42" s="58">
        <v>9784</v>
      </c>
      <c r="T42" s="58">
        <v>9248</v>
      </c>
      <c r="U42" s="58">
        <v>9323</v>
      </c>
      <c r="V42" s="58">
        <v>9794</v>
      </c>
      <c r="W42" s="59"/>
      <c r="X42" s="60">
        <v>-1</v>
      </c>
      <c r="AA42" s="27">
        <v>1</v>
      </c>
    </row>
    <row r="43" spans="2:27" s="26" customFormat="1" x14ac:dyDescent="0.3">
      <c r="B43" s="57" t="s">
        <v>48</v>
      </c>
      <c r="C43" s="57"/>
      <c r="D43" s="57"/>
      <c r="E43" s="57"/>
      <c r="F43" s="57"/>
      <c r="G43" s="57"/>
      <c r="H43" s="57"/>
      <c r="I43" s="57"/>
      <c r="J43" s="57"/>
      <c r="K43" s="57"/>
      <c r="L43" s="58">
        <v>10</v>
      </c>
      <c r="M43" s="58">
        <v>1</v>
      </c>
      <c r="N43" s="58">
        <v>0</v>
      </c>
      <c r="O43" s="58">
        <v>368</v>
      </c>
      <c r="P43" s="58">
        <v>51</v>
      </c>
      <c r="Q43" s="58">
        <v>178</v>
      </c>
      <c r="R43" s="58">
        <v>828</v>
      </c>
      <c r="S43" s="58">
        <v>0</v>
      </c>
      <c r="T43" s="58">
        <v>0</v>
      </c>
      <c r="U43" s="58">
        <v>0</v>
      </c>
      <c r="V43" s="58">
        <v>88</v>
      </c>
      <c r="W43" s="60">
        <v>1</v>
      </c>
      <c r="X43" s="59"/>
    </row>
    <row r="44" spans="2:27" s="26" customFormat="1" x14ac:dyDescent="0.3">
      <c r="B44" s="70" t="s">
        <v>47</v>
      </c>
      <c r="C44" s="70"/>
      <c r="D44" s="70"/>
      <c r="E44" s="70"/>
      <c r="F44" s="70"/>
      <c r="G44" s="70"/>
      <c r="H44" s="70"/>
      <c r="I44" s="70"/>
      <c r="J44" s="70"/>
      <c r="K44" s="70"/>
      <c r="L44" s="71">
        <f t="shared" ref="L44:V44" si="5">SUM(L37:L43)</f>
        <v>20049</v>
      </c>
      <c r="M44" s="71">
        <f t="shared" si="5"/>
        <v>18272</v>
      </c>
      <c r="N44" s="71">
        <f t="shared" si="5"/>
        <v>16966</v>
      </c>
      <c r="O44" s="71">
        <f t="shared" si="5"/>
        <v>26789</v>
      </c>
      <c r="P44" s="71">
        <f t="shared" si="5"/>
        <v>25272</v>
      </c>
      <c r="Q44" s="71">
        <f t="shared" si="5"/>
        <v>28219</v>
      </c>
      <c r="R44" s="71">
        <f t="shared" si="5"/>
        <v>27033</v>
      </c>
      <c r="S44" s="71">
        <f t="shared" si="5"/>
        <v>28146</v>
      </c>
      <c r="T44" s="71">
        <f t="shared" si="5"/>
        <v>35139</v>
      </c>
      <c r="U44" s="71">
        <f t="shared" si="5"/>
        <v>29046</v>
      </c>
      <c r="V44" s="71">
        <f t="shared" si="5"/>
        <v>32485</v>
      </c>
      <c r="W44" s="59"/>
      <c r="X44" s="59"/>
    </row>
    <row r="45" spans="2:27" s="26" customFormat="1" x14ac:dyDescent="0.3">
      <c r="B45" s="72" t="s">
        <v>49</v>
      </c>
      <c r="C45" s="72"/>
      <c r="D45" s="72"/>
      <c r="E45" s="72"/>
      <c r="F45" s="72"/>
      <c r="G45" s="72"/>
      <c r="H45" s="72"/>
      <c r="I45" s="72"/>
      <c r="J45" s="72"/>
      <c r="K45" s="72"/>
      <c r="L45" s="71">
        <f t="shared" ref="L45:V45" si="6">L44+L36</f>
        <v>42754</v>
      </c>
      <c r="M45" s="71">
        <f t="shared" si="6"/>
        <v>39456</v>
      </c>
      <c r="N45" s="71">
        <f t="shared" si="6"/>
        <v>41242</v>
      </c>
      <c r="O45" s="71">
        <f t="shared" si="6"/>
        <v>82548</v>
      </c>
      <c r="P45" s="71">
        <f t="shared" si="6"/>
        <v>75009</v>
      </c>
      <c r="Q45" s="71">
        <f t="shared" si="6"/>
        <v>74569</v>
      </c>
      <c r="R45" s="71">
        <f t="shared" si="6"/>
        <v>76061</v>
      </c>
      <c r="S45" s="71">
        <f t="shared" si="6"/>
        <v>80311</v>
      </c>
      <c r="T45" s="71">
        <f t="shared" si="6"/>
        <v>80809</v>
      </c>
      <c r="U45" s="71">
        <f t="shared" si="6"/>
        <v>80986</v>
      </c>
      <c r="V45" s="71">
        <f t="shared" si="6"/>
        <v>77670</v>
      </c>
      <c r="W45" s="59"/>
      <c r="X45" s="59"/>
    </row>
    <row r="46" spans="2:27" s="26" customFormat="1" ht="12.5" thickBot="1" x14ac:dyDescent="0.35">
      <c r="B46" s="65" t="s">
        <v>50</v>
      </c>
      <c r="C46" s="65"/>
      <c r="D46" s="65"/>
      <c r="E46" s="65"/>
      <c r="F46" s="65"/>
      <c r="G46" s="65"/>
      <c r="H46" s="65"/>
      <c r="I46" s="65"/>
      <c r="J46" s="65"/>
      <c r="K46" s="65"/>
      <c r="L46" s="66">
        <f t="shared" ref="L46:V46" si="7">L31+L36+L44</f>
        <v>62250</v>
      </c>
      <c r="M46" s="66">
        <f t="shared" si="7"/>
        <v>58443</v>
      </c>
      <c r="N46" s="66">
        <f t="shared" si="7"/>
        <v>61186</v>
      </c>
      <c r="O46" s="66">
        <f t="shared" si="7"/>
        <v>143299</v>
      </c>
      <c r="P46" s="66">
        <f t="shared" si="7"/>
        <v>134498</v>
      </c>
      <c r="Q46" s="66">
        <f t="shared" si="7"/>
        <v>144198</v>
      </c>
      <c r="R46" s="66">
        <f t="shared" si="7"/>
        <v>147690</v>
      </c>
      <c r="S46" s="66">
        <f t="shared" si="7"/>
        <v>153961</v>
      </c>
      <c r="T46" s="66">
        <f t="shared" si="7"/>
        <v>152308</v>
      </c>
      <c r="U46" s="66">
        <f t="shared" si="7"/>
        <v>136983</v>
      </c>
      <c r="V46" s="66">
        <f t="shared" si="7"/>
        <v>124901</v>
      </c>
      <c r="W46" s="59"/>
      <c r="X46" s="59"/>
    </row>
    <row r="47" spans="2:27" s="26" customFormat="1" x14ac:dyDescent="0.3">
      <c r="B47" s="73"/>
      <c r="C47" s="73"/>
      <c r="D47" s="73"/>
      <c r="E47" s="73"/>
      <c r="F47" s="73"/>
      <c r="G47" s="73"/>
      <c r="H47" s="73"/>
      <c r="I47" s="73"/>
      <c r="J47" s="73"/>
      <c r="K47" s="73"/>
      <c r="L47" s="74">
        <f t="shared" ref="L47:V47" si="8">L46-L23</f>
        <v>0</v>
      </c>
      <c r="M47" s="74">
        <f t="shared" si="8"/>
        <v>0</v>
      </c>
      <c r="N47" s="74">
        <f t="shared" si="8"/>
        <v>0</v>
      </c>
      <c r="O47" s="74">
        <f t="shared" si="8"/>
        <v>0</v>
      </c>
      <c r="P47" s="74">
        <f t="shared" si="8"/>
        <v>0</v>
      </c>
      <c r="Q47" s="74">
        <f t="shared" si="8"/>
        <v>0</v>
      </c>
      <c r="R47" s="74">
        <f t="shared" si="8"/>
        <v>0</v>
      </c>
      <c r="S47" s="74">
        <f t="shared" si="8"/>
        <v>0</v>
      </c>
      <c r="T47" s="74">
        <f t="shared" si="8"/>
        <v>0</v>
      </c>
      <c r="U47" s="74">
        <f t="shared" si="8"/>
        <v>0</v>
      </c>
      <c r="V47" s="74">
        <f t="shared" si="8"/>
        <v>0</v>
      </c>
      <c r="W47" s="59"/>
      <c r="X47" s="59"/>
    </row>
    <row r="48" spans="2:27" s="26" customFormat="1" x14ac:dyDescent="0.3">
      <c r="B48" s="75" t="s">
        <v>195</v>
      </c>
      <c r="C48" s="73"/>
      <c r="D48" s="73"/>
      <c r="E48" s="73"/>
      <c r="F48" s="73"/>
      <c r="G48" s="73"/>
      <c r="H48" s="73"/>
      <c r="I48" s="73"/>
      <c r="J48" s="73"/>
      <c r="K48" s="73"/>
      <c r="L48" s="74">
        <f t="shared" ref="L48:V48" si="9">SUMPRODUCT(L6:L46,$W$6:$W$46)</f>
        <v>41658</v>
      </c>
      <c r="M48" s="74">
        <f t="shared" si="9"/>
        <v>40941</v>
      </c>
      <c r="N48" s="74">
        <f t="shared" si="9"/>
        <v>42859</v>
      </c>
      <c r="O48" s="74">
        <f t="shared" si="9"/>
        <v>107003</v>
      </c>
      <c r="P48" s="74">
        <f t="shared" si="9"/>
        <v>97026</v>
      </c>
      <c r="Q48" s="74">
        <f t="shared" si="9"/>
        <v>102006</v>
      </c>
      <c r="R48" s="74">
        <f t="shared" si="9"/>
        <v>104803</v>
      </c>
      <c r="S48" s="74">
        <f t="shared" si="9"/>
        <v>107484</v>
      </c>
      <c r="T48" s="74">
        <f t="shared" si="9"/>
        <v>110474</v>
      </c>
      <c r="U48" s="74">
        <f t="shared" si="9"/>
        <v>94862</v>
      </c>
      <c r="V48" s="74">
        <f t="shared" si="9"/>
        <v>82853</v>
      </c>
      <c r="W48" s="89">
        <f>SUM(V13:V16)</f>
        <v>12402</v>
      </c>
      <c r="X48" s="59"/>
    </row>
    <row r="49" spans="2:24" s="26" customFormat="1" x14ac:dyDescent="0.3">
      <c r="B49" s="73" t="s">
        <v>455</v>
      </c>
      <c r="C49" s="73"/>
      <c r="D49" s="73"/>
      <c r="E49" s="73"/>
      <c r="F49" s="73"/>
      <c r="G49" s="73"/>
      <c r="H49" s="73"/>
      <c r="I49" s="73"/>
      <c r="J49" s="73"/>
      <c r="K49" s="73"/>
      <c r="L49" s="74">
        <f t="shared" ref="L49:V49" si="10">SUMPRODUCT(L6:L46,$X$6:$X$46)</f>
        <v>41658</v>
      </c>
      <c r="M49" s="74">
        <f t="shared" si="10"/>
        <v>40941</v>
      </c>
      <c r="N49" s="74">
        <f t="shared" si="10"/>
        <v>42859</v>
      </c>
      <c r="O49" s="74">
        <f t="shared" si="10"/>
        <v>107003</v>
      </c>
      <c r="P49" s="74">
        <f t="shared" si="10"/>
        <v>97026</v>
      </c>
      <c r="Q49" s="74">
        <f t="shared" si="10"/>
        <v>102006</v>
      </c>
      <c r="R49" s="74">
        <f t="shared" si="10"/>
        <v>104803</v>
      </c>
      <c r="S49" s="74">
        <f t="shared" si="10"/>
        <v>107484</v>
      </c>
      <c r="T49" s="74">
        <f t="shared" si="10"/>
        <v>110474</v>
      </c>
      <c r="U49" s="74">
        <f t="shared" si="10"/>
        <v>94862</v>
      </c>
      <c r="V49" s="74">
        <f t="shared" si="10"/>
        <v>82853</v>
      </c>
      <c r="W49" s="89">
        <f>SUM(V38:V42)</f>
        <v>27848</v>
      </c>
      <c r="X49" s="59"/>
    </row>
    <row r="50" spans="2:24" s="26" customFormat="1" x14ac:dyDescent="0.3">
      <c r="B50" s="73" t="s">
        <v>158</v>
      </c>
      <c r="C50" s="73"/>
      <c r="D50" s="73"/>
      <c r="E50" s="73"/>
      <c r="F50" s="73"/>
      <c r="G50" s="73"/>
      <c r="H50" s="73"/>
      <c r="I50" s="73"/>
      <c r="J50" s="73"/>
      <c r="K50" s="73"/>
      <c r="L50" s="74">
        <f t="shared" ref="L50:V50" si="11">SUMPRODUCT(L6:L46,$Y$6:$Y$46)</f>
        <v>23068</v>
      </c>
      <c r="M50" s="74">
        <f t="shared" si="11"/>
        <v>22129</v>
      </c>
      <c r="N50" s="74">
        <f t="shared" si="11"/>
        <v>23091</v>
      </c>
      <c r="O50" s="74">
        <f t="shared" si="11"/>
        <v>47337</v>
      </c>
      <c r="P50" s="74">
        <f t="shared" si="11"/>
        <v>38720</v>
      </c>
      <c r="Q50" s="74">
        <f t="shared" si="11"/>
        <v>36113</v>
      </c>
      <c r="R50" s="74">
        <f t="shared" si="11"/>
        <v>36218</v>
      </c>
      <c r="S50" s="74">
        <f t="shared" si="11"/>
        <v>38255</v>
      </c>
      <c r="T50" s="74">
        <f t="shared" si="11"/>
        <v>39692</v>
      </c>
      <c r="U50" s="74">
        <f t="shared" si="11"/>
        <v>42733</v>
      </c>
      <c r="V50" s="74">
        <f t="shared" si="11"/>
        <v>38132</v>
      </c>
      <c r="W50" s="89">
        <f>W49-W48</f>
        <v>15446</v>
      </c>
      <c r="X50" s="59"/>
    </row>
    <row r="51" spans="2:24" s="26" customFormat="1" x14ac:dyDescent="0.3">
      <c r="B51" s="73" t="s">
        <v>194</v>
      </c>
      <c r="C51" s="73"/>
      <c r="D51" s="73"/>
      <c r="E51" s="73"/>
      <c r="F51" s="73"/>
      <c r="G51" s="73"/>
      <c r="H51" s="73"/>
      <c r="I51" s="73"/>
      <c r="J51" s="73"/>
      <c r="K51" s="73"/>
      <c r="L51" s="74">
        <f t="shared" ref="L51:V51" si="12">L35-L47</f>
        <v>517</v>
      </c>
      <c r="M51" s="74">
        <f t="shared" si="12"/>
        <v>512</v>
      </c>
      <c r="N51" s="74">
        <f t="shared" si="12"/>
        <v>480</v>
      </c>
      <c r="O51" s="74">
        <f t="shared" si="12"/>
        <v>933</v>
      </c>
      <c r="P51" s="74">
        <f t="shared" si="12"/>
        <v>1821</v>
      </c>
      <c r="Q51" s="74">
        <f t="shared" si="12"/>
        <v>1382</v>
      </c>
      <c r="R51" s="74">
        <f t="shared" si="12"/>
        <v>1749</v>
      </c>
      <c r="S51" s="74">
        <f t="shared" si="12"/>
        <v>1820</v>
      </c>
      <c r="T51" s="74">
        <f t="shared" si="12"/>
        <v>3054</v>
      </c>
      <c r="U51" s="74">
        <f t="shared" si="12"/>
        <v>1477</v>
      </c>
      <c r="V51" s="74">
        <f t="shared" si="12"/>
        <v>2547</v>
      </c>
      <c r="W51" s="59"/>
      <c r="X51" s="59"/>
    </row>
    <row r="52" spans="2:24" s="26" customFormat="1" x14ac:dyDescent="0.3">
      <c r="B52" s="73" t="s">
        <v>234</v>
      </c>
      <c r="C52" s="73"/>
      <c r="D52" s="73"/>
      <c r="E52" s="73"/>
      <c r="F52" s="73"/>
      <c r="G52" s="73"/>
      <c r="H52" s="73"/>
      <c r="I52" s="73"/>
      <c r="J52" s="73"/>
      <c r="K52" s="73"/>
      <c r="L52" s="74">
        <f t="shared" ref="L52:V52" si="13">SUMPRODUCT(L6:L46,$Z$6:$Z$46)</f>
        <v>10948</v>
      </c>
      <c r="M52" s="74">
        <f t="shared" si="13"/>
        <v>9393</v>
      </c>
      <c r="N52" s="74">
        <f t="shared" si="13"/>
        <v>10282</v>
      </c>
      <c r="O52" s="74">
        <f t="shared" si="13"/>
        <v>12644</v>
      </c>
      <c r="P52" s="74">
        <f t="shared" si="13"/>
        <v>10093</v>
      </c>
      <c r="Q52" s="74">
        <f t="shared" si="13"/>
        <v>10310</v>
      </c>
      <c r="R52" s="74">
        <f t="shared" si="13"/>
        <v>12347</v>
      </c>
      <c r="S52" s="74">
        <f t="shared" si="13"/>
        <v>13042</v>
      </c>
      <c r="T52" s="74">
        <f t="shared" si="13"/>
        <v>13229</v>
      </c>
      <c r="U52" s="74">
        <f t="shared" si="13"/>
        <v>12790</v>
      </c>
      <c r="V52" s="74">
        <f t="shared" si="13"/>
        <v>11513</v>
      </c>
      <c r="W52" s="59"/>
      <c r="X52" s="59"/>
    </row>
    <row r="53" spans="2:24" s="26" customFormat="1" x14ac:dyDescent="0.3">
      <c r="B53" s="73" t="s">
        <v>235</v>
      </c>
      <c r="C53" s="73"/>
      <c r="D53" s="73"/>
      <c r="E53" s="73"/>
      <c r="F53" s="73"/>
      <c r="G53" s="73"/>
      <c r="H53" s="73"/>
      <c r="I53" s="73"/>
      <c r="J53" s="73"/>
      <c r="K53" s="73"/>
      <c r="L53" s="74">
        <f t="shared" ref="L53:V53" si="14">SUMPRODUCT(L6:L46,$AA$6:$AA$46)</f>
        <v>7313</v>
      </c>
      <c r="M53" s="74">
        <f t="shared" si="14"/>
        <v>6568</v>
      </c>
      <c r="N53" s="74">
        <f t="shared" si="14"/>
        <v>7264</v>
      </c>
      <c r="O53" s="74">
        <f t="shared" si="14"/>
        <v>13137</v>
      </c>
      <c r="P53" s="74">
        <f t="shared" si="14"/>
        <v>13970</v>
      </c>
      <c r="Q53" s="74">
        <f t="shared" si="14"/>
        <v>14697</v>
      </c>
      <c r="R53" s="74">
        <f t="shared" si="14"/>
        <v>13309</v>
      </c>
      <c r="S53" s="74">
        <f t="shared" si="14"/>
        <v>12932</v>
      </c>
      <c r="T53" s="74">
        <f t="shared" si="14"/>
        <v>12687</v>
      </c>
      <c r="U53" s="74">
        <f t="shared" si="14"/>
        <v>15163</v>
      </c>
      <c r="V53" s="74">
        <f t="shared" si="14"/>
        <v>15588</v>
      </c>
      <c r="W53" s="59"/>
      <c r="X53" s="59"/>
    </row>
    <row r="54" spans="2:24" s="26" customFormat="1" x14ac:dyDescent="0.3">
      <c r="B54" s="73" t="s">
        <v>422</v>
      </c>
      <c r="C54" s="73"/>
      <c r="D54" s="73"/>
      <c r="E54" s="73"/>
      <c r="F54" s="73"/>
      <c r="G54" s="73"/>
      <c r="H54" s="74">
        <f>H10-H34</f>
        <v>0</v>
      </c>
      <c r="I54" s="74">
        <f t="shared" ref="I54:V54" si="15">I10-I34</f>
        <v>0</v>
      </c>
      <c r="J54" s="74">
        <f t="shared" si="15"/>
        <v>0</v>
      </c>
      <c r="K54" s="74">
        <f t="shared" si="15"/>
        <v>0</v>
      </c>
      <c r="L54" s="74">
        <f t="shared" si="15"/>
        <v>-1357</v>
      </c>
      <c r="M54" s="74">
        <f t="shared" si="15"/>
        <v>-1603</v>
      </c>
      <c r="N54" s="74">
        <f t="shared" si="15"/>
        <v>-1458</v>
      </c>
      <c r="O54" s="74">
        <f t="shared" si="15"/>
        <v>-8549</v>
      </c>
      <c r="P54" s="74">
        <f t="shared" si="15"/>
        <v>-8205</v>
      </c>
      <c r="Q54" s="74">
        <f t="shared" si="15"/>
        <v>-8646</v>
      </c>
      <c r="R54" s="74">
        <f t="shared" si="15"/>
        <v>-8453</v>
      </c>
      <c r="S54" s="74">
        <f t="shared" si="15"/>
        <v>-8512</v>
      </c>
      <c r="T54" s="74">
        <f t="shared" si="15"/>
        <v>-7707</v>
      </c>
      <c r="U54" s="74">
        <f t="shared" si="15"/>
        <v>-5717</v>
      </c>
      <c r="V54" s="74">
        <f t="shared" si="15"/>
        <v>-4227</v>
      </c>
      <c r="W54" s="59"/>
      <c r="X54" s="59"/>
    </row>
    <row r="55" spans="2:24" s="26" customFormat="1" x14ac:dyDescent="0.3">
      <c r="B55" s="73" t="s">
        <v>423</v>
      </c>
      <c r="C55" s="73"/>
      <c r="D55" s="73"/>
      <c r="E55" s="73"/>
      <c r="F55" s="73"/>
      <c r="G55" s="73"/>
      <c r="H55" s="74">
        <f>H14+H18</f>
        <v>0</v>
      </c>
      <c r="I55" s="74">
        <f t="shared" ref="I55:V55" si="16">I14+I18</f>
        <v>0</v>
      </c>
      <c r="J55" s="74">
        <f t="shared" si="16"/>
        <v>0</v>
      </c>
      <c r="K55" s="74">
        <f t="shared" si="16"/>
        <v>0</v>
      </c>
      <c r="L55" s="74">
        <f t="shared" si="16"/>
        <v>719</v>
      </c>
      <c r="M55" s="74">
        <f t="shared" si="16"/>
        <v>1001</v>
      </c>
      <c r="N55" s="74">
        <f t="shared" si="16"/>
        <v>1012</v>
      </c>
      <c r="O55" s="74">
        <f t="shared" si="16"/>
        <v>1473</v>
      </c>
      <c r="P55" s="74">
        <f t="shared" si="16"/>
        <v>841</v>
      </c>
      <c r="Q55" s="74">
        <f t="shared" si="16"/>
        <v>1110</v>
      </c>
      <c r="R55" s="74">
        <f t="shared" si="16"/>
        <v>996</v>
      </c>
      <c r="S55" s="74">
        <f t="shared" si="16"/>
        <v>913</v>
      </c>
      <c r="T55" s="74">
        <f t="shared" si="16"/>
        <v>1704</v>
      </c>
      <c r="U55" s="74">
        <f t="shared" si="16"/>
        <v>1173</v>
      </c>
      <c r="V55" s="74">
        <f t="shared" si="16"/>
        <v>1398</v>
      </c>
      <c r="W55" s="59"/>
      <c r="X55" s="59"/>
    </row>
    <row r="56" spans="2:24" s="26" customFormat="1" x14ac:dyDescent="0.3">
      <c r="B56" s="73"/>
      <c r="C56" s="73"/>
      <c r="D56" s="73"/>
      <c r="E56" s="73"/>
      <c r="F56" s="73"/>
      <c r="G56" s="73"/>
      <c r="H56" s="73"/>
      <c r="I56" s="73"/>
      <c r="J56" s="73"/>
      <c r="K56" s="73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59"/>
      <c r="X56" s="59"/>
    </row>
    <row r="57" spans="2:24" s="26" customFormat="1" x14ac:dyDescent="0.3">
      <c r="B57" s="75" t="s">
        <v>453</v>
      </c>
      <c r="C57" s="73"/>
      <c r="D57" s="73"/>
      <c r="E57" s="73"/>
      <c r="F57" s="73"/>
      <c r="G57" s="73"/>
      <c r="H57" s="73"/>
      <c r="I57" s="73"/>
      <c r="J57" s="73"/>
      <c r="K57" s="73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59"/>
      <c r="X57" s="59"/>
    </row>
    <row r="58" spans="2:24" s="26" customFormat="1" x14ac:dyDescent="0.3">
      <c r="B58" s="73" t="s">
        <v>409</v>
      </c>
      <c r="C58" s="73"/>
      <c r="D58" s="73"/>
      <c r="E58" s="73"/>
      <c r="F58" s="73"/>
      <c r="G58" s="73"/>
      <c r="H58" s="74">
        <f>H48</f>
        <v>0</v>
      </c>
      <c r="I58" s="74">
        <f t="shared" ref="I58:V58" si="17">I48</f>
        <v>0</v>
      </c>
      <c r="J58" s="74">
        <f t="shared" si="17"/>
        <v>0</v>
      </c>
      <c r="K58" s="74">
        <f t="shared" si="17"/>
        <v>0</v>
      </c>
      <c r="L58" s="74">
        <f t="shared" si="17"/>
        <v>41658</v>
      </c>
      <c r="M58" s="74">
        <f t="shared" si="17"/>
        <v>40941</v>
      </c>
      <c r="N58" s="74">
        <f t="shared" si="17"/>
        <v>42859</v>
      </c>
      <c r="O58" s="74">
        <f t="shared" si="17"/>
        <v>107003</v>
      </c>
      <c r="P58" s="74">
        <f t="shared" si="17"/>
        <v>97026</v>
      </c>
      <c r="Q58" s="74">
        <f t="shared" si="17"/>
        <v>102006</v>
      </c>
      <c r="R58" s="74">
        <f t="shared" si="17"/>
        <v>104803</v>
      </c>
      <c r="S58" s="74">
        <f t="shared" si="17"/>
        <v>107484</v>
      </c>
      <c r="T58" s="74">
        <f t="shared" si="17"/>
        <v>110474</v>
      </c>
      <c r="U58" s="74">
        <f t="shared" si="17"/>
        <v>94862</v>
      </c>
      <c r="V58" s="74">
        <f t="shared" si="17"/>
        <v>82853</v>
      </c>
      <c r="W58" s="59"/>
      <c r="X58" s="59"/>
    </row>
    <row r="59" spans="2:24" s="26" customFormat="1" x14ac:dyDescent="0.3">
      <c r="B59" s="73" t="s">
        <v>454</v>
      </c>
      <c r="C59" s="73"/>
      <c r="D59" s="73"/>
      <c r="E59" s="73"/>
      <c r="F59" s="73"/>
      <c r="G59" s="73"/>
      <c r="H59" s="74">
        <f>-H31</f>
        <v>0</v>
      </c>
      <c r="I59" s="74">
        <f t="shared" ref="I59:V59" si="18">-I31</f>
        <v>0</v>
      </c>
      <c r="J59" s="74">
        <f t="shared" si="18"/>
        <v>0</v>
      </c>
      <c r="K59" s="74">
        <f t="shared" si="18"/>
        <v>0</v>
      </c>
      <c r="L59" s="74">
        <f t="shared" si="18"/>
        <v>-19496</v>
      </c>
      <c r="M59" s="74">
        <f t="shared" si="18"/>
        <v>-18987</v>
      </c>
      <c r="N59" s="74">
        <f t="shared" si="18"/>
        <v>-19944</v>
      </c>
      <c r="O59" s="74">
        <f t="shared" si="18"/>
        <v>-60751</v>
      </c>
      <c r="P59" s="74">
        <f t="shared" si="18"/>
        <v>-59489</v>
      </c>
      <c r="Q59" s="74">
        <f t="shared" si="18"/>
        <v>-69629</v>
      </c>
      <c r="R59" s="74">
        <f t="shared" si="18"/>
        <v>-71629</v>
      </c>
      <c r="S59" s="74">
        <f t="shared" si="18"/>
        <v>-73650</v>
      </c>
      <c r="T59" s="74">
        <f t="shared" si="18"/>
        <v>-71499</v>
      </c>
      <c r="U59" s="74">
        <f t="shared" si="18"/>
        <v>-55997</v>
      </c>
      <c r="V59" s="74">
        <f t="shared" si="18"/>
        <v>-47231</v>
      </c>
      <c r="W59" s="59"/>
      <c r="X59" s="59"/>
    </row>
    <row r="60" spans="2:24" s="26" customFormat="1" x14ac:dyDescent="0.3">
      <c r="B60" s="73" t="s">
        <v>456</v>
      </c>
      <c r="C60" s="73"/>
      <c r="D60" s="73"/>
      <c r="E60" s="73"/>
      <c r="F60" s="73"/>
      <c r="G60" s="73"/>
      <c r="H60" s="74">
        <f>H30</f>
        <v>0</v>
      </c>
      <c r="I60" s="74">
        <f t="shared" ref="I60:V60" si="19">I30</f>
        <v>0</v>
      </c>
      <c r="J60" s="74">
        <f t="shared" si="19"/>
        <v>0</v>
      </c>
      <c r="K60" s="74">
        <f t="shared" si="19"/>
        <v>0</v>
      </c>
      <c r="L60" s="74">
        <f t="shared" si="19"/>
        <v>1528</v>
      </c>
      <c r="M60" s="74">
        <f t="shared" si="19"/>
        <v>1390</v>
      </c>
      <c r="N60" s="74">
        <f t="shared" si="19"/>
        <v>1.3229999542236328</v>
      </c>
      <c r="O60" s="74">
        <f t="shared" si="19"/>
        <v>5230</v>
      </c>
      <c r="P60" s="74">
        <f t="shared" si="19"/>
        <v>4660</v>
      </c>
      <c r="Q60" s="74">
        <f t="shared" si="19"/>
        <v>5381</v>
      </c>
      <c r="R60" s="74">
        <f t="shared" si="19"/>
        <v>5763</v>
      </c>
      <c r="S60" s="74">
        <f t="shared" si="19"/>
        <v>3389</v>
      </c>
      <c r="T60" s="74">
        <f t="shared" si="19"/>
        <v>3688</v>
      </c>
      <c r="U60" s="74">
        <f t="shared" si="19"/>
        <v>3560</v>
      </c>
      <c r="V60" s="74">
        <f t="shared" si="19"/>
        <v>3742</v>
      </c>
      <c r="W60" s="59"/>
      <c r="X60" s="59"/>
    </row>
    <row r="61" spans="2:24" s="26" customFormat="1" ht="12.5" thickBot="1" x14ac:dyDescent="0.35">
      <c r="B61" s="65" t="s">
        <v>457</v>
      </c>
      <c r="C61" s="65"/>
      <c r="D61" s="65"/>
      <c r="E61" s="65"/>
      <c r="F61" s="65"/>
      <c r="G61" s="65"/>
      <c r="H61" s="66">
        <f>SUM(H58:H60)</f>
        <v>0</v>
      </c>
      <c r="I61" s="66">
        <f t="shared" ref="I61:V61" si="20">SUM(I58:I60)</f>
        <v>0</v>
      </c>
      <c r="J61" s="66">
        <f t="shared" si="20"/>
        <v>0</v>
      </c>
      <c r="K61" s="66">
        <f t="shared" si="20"/>
        <v>0</v>
      </c>
      <c r="L61" s="66">
        <f t="shared" si="20"/>
        <v>23690</v>
      </c>
      <c r="M61" s="66">
        <f t="shared" si="20"/>
        <v>23344</v>
      </c>
      <c r="N61" s="66">
        <f t="shared" si="20"/>
        <v>22916.322999954224</v>
      </c>
      <c r="O61" s="66">
        <f t="shared" si="20"/>
        <v>51482</v>
      </c>
      <c r="P61" s="66">
        <f t="shared" si="20"/>
        <v>42197</v>
      </c>
      <c r="Q61" s="66">
        <f t="shared" si="20"/>
        <v>37758</v>
      </c>
      <c r="R61" s="66">
        <f t="shared" si="20"/>
        <v>38937</v>
      </c>
      <c r="S61" s="66">
        <f t="shared" si="20"/>
        <v>37223</v>
      </c>
      <c r="T61" s="66">
        <f t="shared" si="20"/>
        <v>42663</v>
      </c>
      <c r="U61" s="66">
        <f t="shared" si="20"/>
        <v>42425</v>
      </c>
      <c r="V61" s="66">
        <f t="shared" si="20"/>
        <v>39364</v>
      </c>
      <c r="W61" s="59"/>
      <c r="X61" s="59"/>
    </row>
    <row r="62" spans="2:24" s="26" customFormat="1" x14ac:dyDescent="0.3">
      <c r="B62" s="73"/>
      <c r="C62" s="73"/>
      <c r="D62" s="73"/>
      <c r="E62" s="73"/>
      <c r="F62" s="73"/>
      <c r="G62" s="73"/>
      <c r="H62" s="73"/>
      <c r="I62" s="73"/>
      <c r="J62" s="73"/>
      <c r="K62" s="73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59"/>
      <c r="X62" s="59"/>
    </row>
    <row r="63" spans="2:24" s="26" customFormat="1" x14ac:dyDescent="0.3">
      <c r="B63" s="73" t="s">
        <v>158</v>
      </c>
      <c r="C63" s="73"/>
      <c r="D63" s="73"/>
      <c r="E63" s="73"/>
      <c r="F63" s="73"/>
      <c r="G63" s="73"/>
      <c r="H63" s="74">
        <f>H50</f>
        <v>0</v>
      </c>
      <c r="I63" s="74">
        <f t="shared" ref="I63:V63" si="21">I50</f>
        <v>0</v>
      </c>
      <c r="J63" s="74">
        <f t="shared" si="21"/>
        <v>0</v>
      </c>
      <c r="K63" s="74">
        <f t="shared" si="21"/>
        <v>0</v>
      </c>
      <c r="L63" s="74">
        <f t="shared" si="21"/>
        <v>23068</v>
      </c>
      <c r="M63" s="74">
        <f t="shared" si="21"/>
        <v>22129</v>
      </c>
      <c r="N63" s="74">
        <f t="shared" si="21"/>
        <v>23091</v>
      </c>
      <c r="O63" s="74">
        <f t="shared" si="21"/>
        <v>47337</v>
      </c>
      <c r="P63" s="74">
        <f t="shared" si="21"/>
        <v>38720</v>
      </c>
      <c r="Q63" s="74">
        <f t="shared" si="21"/>
        <v>36113</v>
      </c>
      <c r="R63" s="74">
        <f t="shared" si="21"/>
        <v>36218</v>
      </c>
      <c r="S63" s="74">
        <f t="shared" si="21"/>
        <v>38255</v>
      </c>
      <c r="T63" s="74">
        <f t="shared" si="21"/>
        <v>39692</v>
      </c>
      <c r="U63" s="74">
        <f t="shared" si="21"/>
        <v>42733</v>
      </c>
      <c r="V63" s="74">
        <f t="shared" si="21"/>
        <v>38132</v>
      </c>
      <c r="W63" s="59"/>
      <c r="X63" s="59"/>
    </row>
    <row r="64" spans="2:24" s="26" customFormat="1" x14ac:dyDescent="0.3">
      <c r="B64" s="73" t="s">
        <v>458</v>
      </c>
      <c r="C64" s="73"/>
      <c r="D64" s="73"/>
      <c r="E64" s="73"/>
      <c r="F64" s="73"/>
      <c r="G64" s="73"/>
      <c r="H64" s="74">
        <f>-H8</f>
        <v>0</v>
      </c>
      <c r="I64" s="74">
        <f t="shared" ref="I64:V64" si="22">-I8</f>
        <v>0</v>
      </c>
      <c r="J64" s="74">
        <f t="shared" si="22"/>
        <v>0</v>
      </c>
      <c r="K64" s="74">
        <f t="shared" si="22"/>
        <v>0</v>
      </c>
      <c r="L64" s="74">
        <f t="shared" si="22"/>
        <v>-1105</v>
      </c>
      <c r="M64" s="74">
        <f t="shared" si="22"/>
        <v>-579</v>
      </c>
      <c r="N64" s="74">
        <f t="shared" si="22"/>
        <v>-622</v>
      </c>
      <c r="O64" s="74">
        <f t="shared" si="22"/>
        <v>-2224</v>
      </c>
      <c r="P64" s="74">
        <f t="shared" si="22"/>
        <v>-2667</v>
      </c>
      <c r="Q64" s="74">
        <f t="shared" si="22"/>
        <v>-4877</v>
      </c>
      <c r="R64" s="74">
        <f t="shared" si="22"/>
        <v>-5051</v>
      </c>
      <c r="S64" s="74">
        <f t="shared" si="22"/>
        <v>-6241</v>
      </c>
      <c r="T64" s="74">
        <f t="shared" si="22"/>
        <v>-3771</v>
      </c>
      <c r="U64" s="74">
        <f t="shared" si="22"/>
        <v>-4277</v>
      </c>
      <c r="V64" s="74">
        <f t="shared" si="22"/>
        <v>-4676</v>
      </c>
      <c r="W64" s="59"/>
      <c r="X64" s="59"/>
    </row>
    <row r="65" spans="1:24" s="26" customFormat="1" x14ac:dyDescent="0.3">
      <c r="B65" s="73" t="s">
        <v>192</v>
      </c>
      <c r="C65" s="73"/>
      <c r="D65" s="73"/>
      <c r="E65" s="73"/>
      <c r="F65" s="73"/>
      <c r="G65" s="73"/>
      <c r="H65" s="74">
        <f>H60</f>
        <v>0</v>
      </c>
      <c r="I65" s="74">
        <f t="shared" ref="I65:V65" si="23">I60</f>
        <v>0</v>
      </c>
      <c r="J65" s="74">
        <f t="shared" si="23"/>
        <v>0</v>
      </c>
      <c r="K65" s="74">
        <f t="shared" si="23"/>
        <v>0</v>
      </c>
      <c r="L65" s="74">
        <f t="shared" si="23"/>
        <v>1528</v>
      </c>
      <c r="M65" s="74">
        <f t="shared" si="23"/>
        <v>1390</v>
      </c>
      <c r="N65" s="74">
        <f t="shared" si="23"/>
        <v>1.3229999542236328</v>
      </c>
      <c r="O65" s="74">
        <f t="shared" si="23"/>
        <v>5230</v>
      </c>
      <c r="P65" s="74">
        <f t="shared" si="23"/>
        <v>4660</v>
      </c>
      <c r="Q65" s="74">
        <f t="shared" si="23"/>
        <v>5381</v>
      </c>
      <c r="R65" s="74">
        <f t="shared" si="23"/>
        <v>5763</v>
      </c>
      <c r="S65" s="74">
        <f t="shared" si="23"/>
        <v>3389</v>
      </c>
      <c r="T65" s="74">
        <f t="shared" si="23"/>
        <v>3688</v>
      </c>
      <c r="U65" s="74">
        <f t="shared" si="23"/>
        <v>3560</v>
      </c>
      <c r="V65" s="74">
        <f t="shared" si="23"/>
        <v>3742</v>
      </c>
      <c r="W65" s="59"/>
      <c r="X65" s="59"/>
    </row>
    <row r="66" spans="1:24" s="26" customFormat="1" x14ac:dyDescent="0.3">
      <c r="B66" s="73" t="s">
        <v>194</v>
      </c>
      <c r="C66" s="73"/>
      <c r="D66" s="73"/>
      <c r="E66" s="73"/>
      <c r="F66" s="73"/>
      <c r="G66" s="73"/>
      <c r="H66" s="74">
        <f>H51</f>
        <v>0</v>
      </c>
      <c r="I66" s="74">
        <f t="shared" ref="I66:V66" si="24">I51</f>
        <v>0</v>
      </c>
      <c r="J66" s="74">
        <f t="shared" si="24"/>
        <v>0</v>
      </c>
      <c r="K66" s="74">
        <f t="shared" si="24"/>
        <v>0</v>
      </c>
      <c r="L66" s="74">
        <f t="shared" si="24"/>
        <v>517</v>
      </c>
      <c r="M66" s="74">
        <f t="shared" si="24"/>
        <v>512</v>
      </c>
      <c r="N66" s="74">
        <f t="shared" si="24"/>
        <v>480</v>
      </c>
      <c r="O66" s="74">
        <f t="shared" si="24"/>
        <v>933</v>
      </c>
      <c r="P66" s="74">
        <f t="shared" si="24"/>
        <v>1821</v>
      </c>
      <c r="Q66" s="74">
        <f t="shared" si="24"/>
        <v>1382</v>
      </c>
      <c r="R66" s="74">
        <f t="shared" si="24"/>
        <v>1749</v>
      </c>
      <c r="S66" s="74">
        <f t="shared" si="24"/>
        <v>1820</v>
      </c>
      <c r="T66" s="74">
        <f t="shared" si="24"/>
        <v>3054</v>
      </c>
      <c r="U66" s="74">
        <f t="shared" si="24"/>
        <v>1477</v>
      </c>
      <c r="V66" s="74">
        <f t="shared" si="24"/>
        <v>2547</v>
      </c>
      <c r="W66" s="59"/>
      <c r="X66" s="59"/>
    </row>
    <row r="67" spans="1:24" s="26" customFormat="1" x14ac:dyDescent="0.3">
      <c r="B67" s="73" t="s">
        <v>459</v>
      </c>
      <c r="C67" s="73"/>
      <c r="D67" s="73"/>
      <c r="E67" s="73"/>
      <c r="F67" s="73"/>
      <c r="G67" s="73"/>
      <c r="H67" s="74">
        <f>-H22+H43-H19</f>
        <v>0</v>
      </c>
      <c r="I67" s="74">
        <f t="shared" ref="I67:V67" si="25">-I22+I43-I19</f>
        <v>0</v>
      </c>
      <c r="J67" s="74">
        <f t="shared" si="25"/>
        <v>0</v>
      </c>
      <c r="K67" s="74">
        <f t="shared" si="25"/>
        <v>0</v>
      </c>
      <c r="L67" s="74">
        <f t="shared" si="25"/>
        <v>-318</v>
      </c>
      <c r="M67" s="74">
        <f t="shared" si="25"/>
        <v>-108</v>
      </c>
      <c r="N67" s="74">
        <f t="shared" si="25"/>
        <v>-34</v>
      </c>
      <c r="O67" s="74">
        <f t="shared" si="25"/>
        <v>206</v>
      </c>
      <c r="P67" s="74">
        <f t="shared" si="25"/>
        <v>-337</v>
      </c>
      <c r="Q67" s="74">
        <f t="shared" si="25"/>
        <v>-241</v>
      </c>
      <c r="R67" s="74">
        <f t="shared" si="25"/>
        <v>258</v>
      </c>
      <c r="S67" s="74">
        <f t="shared" si="25"/>
        <v>0</v>
      </c>
      <c r="T67" s="74">
        <f t="shared" si="25"/>
        <v>0</v>
      </c>
      <c r="U67" s="74">
        <f t="shared" si="25"/>
        <v>-1068</v>
      </c>
      <c r="V67" s="74">
        <f t="shared" si="25"/>
        <v>-381</v>
      </c>
      <c r="W67" s="59"/>
      <c r="X67" s="59"/>
    </row>
    <row r="68" spans="1:24" s="26" customFormat="1" ht="12.5" thickBot="1" x14ac:dyDescent="0.35">
      <c r="B68" s="65" t="s">
        <v>457</v>
      </c>
      <c r="C68" s="65"/>
      <c r="D68" s="65"/>
      <c r="E68" s="65"/>
      <c r="F68" s="65"/>
      <c r="G68" s="65"/>
      <c r="H68" s="66">
        <f>SUM(H63:H67)</f>
        <v>0</v>
      </c>
      <c r="I68" s="66">
        <f t="shared" ref="I68:V68" si="26">SUM(I63:I67)</f>
        <v>0</v>
      </c>
      <c r="J68" s="66">
        <f t="shared" si="26"/>
        <v>0</v>
      </c>
      <c r="K68" s="66">
        <f t="shared" si="26"/>
        <v>0</v>
      </c>
      <c r="L68" s="66">
        <f t="shared" si="26"/>
        <v>23690</v>
      </c>
      <c r="M68" s="66">
        <f t="shared" si="26"/>
        <v>23344</v>
      </c>
      <c r="N68" s="66">
        <f t="shared" si="26"/>
        <v>22916.322999954224</v>
      </c>
      <c r="O68" s="66">
        <f t="shared" si="26"/>
        <v>51482</v>
      </c>
      <c r="P68" s="66">
        <f t="shared" si="26"/>
        <v>42197</v>
      </c>
      <c r="Q68" s="66">
        <f t="shared" si="26"/>
        <v>37758</v>
      </c>
      <c r="R68" s="66">
        <f t="shared" si="26"/>
        <v>38937</v>
      </c>
      <c r="S68" s="66">
        <f t="shared" si="26"/>
        <v>37223</v>
      </c>
      <c r="T68" s="66">
        <f t="shared" si="26"/>
        <v>42663</v>
      </c>
      <c r="U68" s="66">
        <f t="shared" si="26"/>
        <v>42425</v>
      </c>
      <c r="V68" s="66">
        <f t="shared" si="26"/>
        <v>39364</v>
      </c>
      <c r="W68" s="59"/>
      <c r="X68" s="59"/>
    </row>
    <row r="69" spans="1:24" s="26" customFormat="1" x14ac:dyDescent="0.3">
      <c r="B69" s="73"/>
      <c r="C69" s="73"/>
      <c r="D69" s="73"/>
      <c r="E69" s="73"/>
      <c r="F69" s="73"/>
      <c r="G69" s="73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59"/>
      <c r="X69" s="59"/>
    </row>
    <row r="70" spans="1:24" s="26" customFormat="1" x14ac:dyDescent="0.3">
      <c r="B70" s="73"/>
      <c r="C70" s="73"/>
      <c r="D70" s="73"/>
      <c r="E70" s="73"/>
      <c r="F70" s="73"/>
      <c r="G70" s="73"/>
      <c r="H70" s="74">
        <f>H61-H68</f>
        <v>0</v>
      </c>
      <c r="I70" s="74">
        <f t="shared" ref="I70:V70" si="27">I61-I68</f>
        <v>0</v>
      </c>
      <c r="J70" s="74">
        <f t="shared" si="27"/>
        <v>0</v>
      </c>
      <c r="K70" s="74">
        <f t="shared" si="27"/>
        <v>0</v>
      </c>
      <c r="L70" s="74">
        <f t="shared" si="27"/>
        <v>0</v>
      </c>
      <c r="M70" s="74">
        <f t="shared" si="27"/>
        <v>0</v>
      </c>
      <c r="N70" s="74">
        <f t="shared" si="27"/>
        <v>0</v>
      </c>
      <c r="O70" s="74">
        <f t="shared" si="27"/>
        <v>0</v>
      </c>
      <c r="P70" s="74">
        <f t="shared" si="27"/>
        <v>0</v>
      </c>
      <c r="Q70" s="74">
        <f t="shared" si="27"/>
        <v>0</v>
      </c>
      <c r="R70" s="74">
        <f t="shared" si="27"/>
        <v>0</v>
      </c>
      <c r="S70" s="74">
        <f t="shared" si="27"/>
        <v>0</v>
      </c>
      <c r="T70" s="74">
        <f t="shared" si="27"/>
        <v>0</v>
      </c>
      <c r="U70" s="74">
        <f t="shared" si="27"/>
        <v>0</v>
      </c>
      <c r="V70" s="74">
        <f t="shared" si="27"/>
        <v>0</v>
      </c>
      <c r="W70" s="59"/>
      <c r="X70" s="59"/>
    </row>
    <row r="71" spans="1:24" s="26" customFormat="1" x14ac:dyDescent="0.3">
      <c r="B71" s="73"/>
      <c r="C71" s="73"/>
      <c r="D71" s="73"/>
      <c r="E71" s="73"/>
      <c r="F71" s="73"/>
      <c r="G71" s="73"/>
      <c r="H71" s="73"/>
      <c r="I71" s="73"/>
      <c r="J71" s="73"/>
      <c r="K71" s="73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59"/>
      <c r="X71" s="59"/>
    </row>
    <row r="72" spans="1:24" s="25" customFormat="1" x14ac:dyDescent="0.3">
      <c r="A72" s="25" t="s">
        <v>136</v>
      </c>
      <c r="B72" s="56" t="s">
        <v>135</v>
      </c>
      <c r="C72" s="56"/>
      <c r="D72" s="56"/>
      <c r="E72" s="56"/>
      <c r="F72" s="56"/>
      <c r="G72" s="56"/>
      <c r="H72" s="56"/>
      <c r="I72" s="56"/>
      <c r="J72" s="56"/>
      <c r="K72" s="5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</row>
    <row r="73" spans="1:24" s="26" customFormat="1" x14ac:dyDescent="0.3">
      <c r="B73" s="26" t="s">
        <v>78</v>
      </c>
      <c r="L73" s="58">
        <v>51847</v>
      </c>
      <c r="M73" s="58">
        <v>55753</v>
      </c>
      <c r="N73" s="58">
        <v>60111</v>
      </c>
      <c r="O73" s="58">
        <v>76557</v>
      </c>
      <c r="P73" s="58">
        <v>75676</v>
      </c>
      <c r="Q73" s="58">
        <v>81295</v>
      </c>
      <c r="R73" s="58">
        <v>86555</v>
      </c>
      <c r="S73" s="58">
        <v>93100</v>
      </c>
      <c r="T73" s="58">
        <v>91237</v>
      </c>
      <c r="U73" s="58">
        <v>91569</v>
      </c>
      <c r="V73" s="58">
        <v>91012</v>
      </c>
    </row>
    <row r="74" spans="1:24" s="26" customFormat="1" x14ac:dyDescent="0.3">
      <c r="B74" s="57" t="s">
        <v>79</v>
      </c>
      <c r="C74" s="57"/>
      <c r="D74" s="57"/>
      <c r="E74" s="57"/>
      <c r="F74" s="57"/>
      <c r="G74" s="57"/>
      <c r="H74" s="57"/>
      <c r="I74" s="57"/>
      <c r="J74" s="57"/>
      <c r="K74" s="57"/>
      <c r="L74" s="58">
        <v>-13800</v>
      </c>
      <c r="M74" s="58">
        <v>-14670</v>
      </c>
      <c r="N74" s="58">
        <v>-15361</v>
      </c>
      <c r="O74" s="58">
        <v>-16613</v>
      </c>
      <c r="P74" s="58">
        <v>-16294</v>
      </c>
      <c r="Q74" s="58">
        <v>-21241</v>
      </c>
      <c r="R74" s="58">
        <v>-22994</v>
      </c>
      <c r="S74" s="58">
        <v>-25899</v>
      </c>
      <c r="T74" s="58">
        <v>-26887</v>
      </c>
      <c r="U74" s="58">
        <v>-27063</v>
      </c>
      <c r="V74" s="58">
        <v>-25658</v>
      </c>
    </row>
    <row r="75" spans="1:24" s="26" customFormat="1" ht="12.5" thickBot="1" x14ac:dyDescent="0.35">
      <c r="B75" s="65" t="s">
        <v>3</v>
      </c>
      <c r="C75" s="65"/>
      <c r="D75" s="65"/>
      <c r="E75" s="65"/>
      <c r="F75" s="65"/>
      <c r="G75" s="65"/>
      <c r="H75" s="65"/>
      <c r="I75" s="65"/>
      <c r="J75" s="65"/>
      <c r="K75" s="65"/>
      <c r="L75" s="69">
        <v>38047</v>
      </c>
      <c r="M75" s="69">
        <v>41083</v>
      </c>
      <c r="N75" s="69">
        <v>44750</v>
      </c>
      <c r="O75" s="69">
        <v>59944</v>
      </c>
      <c r="P75" s="69">
        <v>59382</v>
      </c>
      <c r="Q75" s="69">
        <v>60054</v>
      </c>
      <c r="R75" s="69">
        <v>63561</v>
      </c>
      <c r="S75" s="69">
        <v>67201</v>
      </c>
      <c r="T75" s="69">
        <v>64350</v>
      </c>
      <c r="U75" s="69">
        <v>64506</v>
      </c>
      <c r="V75" s="69">
        <v>65354</v>
      </c>
    </row>
    <row r="76" spans="1:24" s="26" customFormat="1" x14ac:dyDescent="0.3">
      <c r="B76" s="57" t="s">
        <v>80</v>
      </c>
      <c r="C76" s="57"/>
      <c r="D76" s="57"/>
      <c r="E76" s="57"/>
      <c r="F76" s="57"/>
      <c r="G76" s="57"/>
      <c r="H76" s="57"/>
      <c r="I76" s="57"/>
      <c r="J76" s="57"/>
      <c r="K76" s="57"/>
      <c r="L76" s="58">
        <v>-18879</v>
      </c>
      <c r="M76" s="58">
        <v>-20151</v>
      </c>
      <c r="N76" s="58">
        <v>-22423</v>
      </c>
      <c r="O76" s="58">
        <v>-31248</v>
      </c>
      <c r="P76" s="58">
        <v>-30197</v>
      </c>
      <c r="Q76" s="58">
        <v>-28982</v>
      </c>
      <c r="R76" s="58">
        <v>-31788</v>
      </c>
      <c r="S76" s="58">
        <v>-33831</v>
      </c>
      <c r="T76" s="58">
        <v>-32423</v>
      </c>
      <c r="U76" s="58">
        <v>-32725</v>
      </c>
      <c r="V76" s="58">
        <v>-33429</v>
      </c>
    </row>
    <row r="77" spans="1:24" s="26" customFormat="1" ht="12.5" thickBot="1" x14ac:dyDescent="0.35">
      <c r="B77" s="65" t="s">
        <v>101</v>
      </c>
      <c r="C77" s="65"/>
      <c r="D77" s="65"/>
      <c r="E77" s="65"/>
      <c r="F77" s="65"/>
      <c r="G77" s="65"/>
      <c r="H77" s="65"/>
      <c r="I77" s="65"/>
      <c r="J77" s="65"/>
      <c r="K77" s="65"/>
      <c r="L77" s="69">
        <v>19168</v>
      </c>
      <c r="M77" s="69">
        <v>20932</v>
      </c>
      <c r="N77" s="69">
        <v>22327</v>
      </c>
      <c r="O77" s="69">
        <v>28696</v>
      </c>
      <c r="P77" s="69">
        <v>29185</v>
      </c>
      <c r="Q77" s="69">
        <v>31072</v>
      </c>
      <c r="R77" s="69">
        <v>31773</v>
      </c>
      <c r="S77" s="69">
        <v>33370</v>
      </c>
      <c r="T77" s="69">
        <v>31927</v>
      </c>
      <c r="U77" s="69">
        <v>31781</v>
      </c>
      <c r="V77" s="69">
        <v>31925</v>
      </c>
    </row>
    <row r="78" spans="1:24" s="26" customFormat="1" x14ac:dyDescent="0.3">
      <c r="B78" s="57" t="s">
        <v>81</v>
      </c>
      <c r="C78" s="57"/>
      <c r="D78" s="57"/>
      <c r="E78" s="57"/>
      <c r="F78" s="57"/>
      <c r="G78" s="57"/>
      <c r="H78" s="57"/>
      <c r="I78" s="57"/>
      <c r="J78" s="57"/>
      <c r="K78" s="57"/>
      <c r="L78" s="58">
        <v>-13332</v>
      </c>
      <c r="M78" s="58">
        <v>-14173</v>
      </c>
      <c r="N78" s="58">
        <v>-14528</v>
      </c>
      <c r="O78" s="58">
        <v>-17592</v>
      </c>
      <c r="P78" s="58">
        <v>-15989</v>
      </c>
      <c r="Q78" s="58">
        <v>-17158</v>
      </c>
      <c r="R78" s="58">
        <v>-18483</v>
      </c>
      <c r="S78" s="58">
        <v>-19645</v>
      </c>
      <c r="T78" s="58">
        <v>-18181</v>
      </c>
      <c r="U78" s="58">
        <v>-18695</v>
      </c>
      <c r="V78" s="58">
        <v>-19158</v>
      </c>
    </row>
    <row r="79" spans="1:24" s="26" customFormat="1" x14ac:dyDescent="0.3">
      <c r="B79" s="57" t="s">
        <v>82</v>
      </c>
      <c r="C79" s="57"/>
      <c r="D79" s="57"/>
      <c r="E79" s="57"/>
      <c r="F79" s="57"/>
      <c r="G79" s="57"/>
      <c r="H79" s="57"/>
      <c r="I79" s="57"/>
      <c r="J79" s="57"/>
      <c r="K79" s="57"/>
      <c r="L79" s="58">
        <v>-2961</v>
      </c>
      <c r="M79" s="58">
        <v>-3065</v>
      </c>
      <c r="N79" s="58">
        <v>-3123</v>
      </c>
      <c r="O79" s="58">
        <v>-3934</v>
      </c>
      <c r="P79" s="58">
        <v>-3873</v>
      </c>
      <c r="Q79" s="58">
        <v>-4040</v>
      </c>
      <c r="R79" s="58">
        <v>-3903</v>
      </c>
      <c r="S79" s="58">
        <v>-4185</v>
      </c>
      <c r="T79" s="58">
        <v>-4415</v>
      </c>
      <c r="U79" s="58">
        <v>-4633</v>
      </c>
      <c r="V79" s="58">
        <v>-4909</v>
      </c>
    </row>
    <row r="80" spans="1:24" s="26" customFormat="1" x14ac:dyDescent="0.3">
      <c r="B80" s="61" t="s">
        <v>83</v>
      </c>
      <c r="C80" s="61"/>
      <c r="D80" s="61"/>
      <c r="E80" s="61"/>
      <c r="F80" s="61"/>
      <c r="G80" s="61"/>
      <c r="H80" s="61"/>
      <c r="I80" s="61"/>
      <c r="J80" s="61"/>
      <c r="K80" s="61"/>
      <c r="L80" s="58">
        <v>876</v>
      </c>
      <c r="M80" s="58">
        <v>660</v>
      </c>
      <c r="N80" s="58">
        <v>933</v>
      </c>
      <c r="O80" s="58">
        <v>1178</v>
      </c>
      <c r="P80" s="58">
        <v>554</v>
      </c>
      <c r="Q80" s="58">
        <v>815</v>
      </c>
      <c r="R80" s="58">
        <v>671</v>
      </c>
      <c r="S80" s="58">
        <v>589</v>
      </c>
      <c r="T80" s="58">
        <v>22</v>
      </c>
      <c r="U80" s="58">
        <v>369</v>
      </c>
      <c r="V80" s="58">
        <v>235</v>
      </c>
    </row>
    <row r="81" spans="1:22" s="26" customFormat="1" x14ac:dyDescent="0.3">
      <c r="B81" s="61" t="s">
        <v>84</v>
      </c>
      <c r="C81" s="61"/>
      <c r="D81" s="61"/>
      <c r="E81" s="61"/>
      <c r="F81" s="61"/>
      <c r="G81" s="61"/>
      <c r="H81" s="61"/>
      <c r="I81" s="61"/>
      <c r="J81" s="61"/>
      <c r="K81" s="61"/>
      <c r="L81" s="58">
        <v>-465</v>
      </c>
      <c r="M81" s="58">
        <v>-393</v>
      </c>
      <c r="N81" s="58">
        <v>-448</v>
      </c>
      <c r="O81" s="58">
        <v>-450</v>
      </c>
      <c r="P81" s="58">
        <v>-599</v>
      </c>
      <c r="Q81" s="58">
        <v>-588</v>
      </c>
      <c r="R81" s="58">
        <v>-422</v>
      </c>
      <c r="S81" s="58">
        <v>-444</v>
      </c>
      <c r="T81" s="58">
        <v>0</v>
      </c>
      <c r="U81" s="58">
        <v>0</v>
      </c>
      <c r="V81" s="58">
        <v>0</v>
      </c>
    </row>
    <row r="82" spans="1:22" s="26" customFormat="1" x14ac:dyDescent="0.3">
      <c r="B82" s="61" t="s">
        <v>114</v>
      </c>
      <c r="C82" s="61"/>
      <c r="D82" s="61"/>
      <c r="E82" s="61"/>
      <c r="F82" s="61"/>
      <c r="G82" s="61"/>
      <c r="H82" s="61"/>
      <c r="I82" s="61"/>
      <c r="J82" s="61"/>
      <c r="K82" s="61"/>
      <c r="L82" s="58">
        <v>232</v>
      </c>
      <c r="M82" s="58">
        <v>85</v>
      </c>
      <c r="N82" s="58">
        <v>101</v>
      </c>
      <c r="O82" s="58">
        <v>81</v>
      </c>
      <c r="P82" s="58">
        <v>112</v>
      </c>
      <c r="Q82" s="58">
        <v>148</v>
      </c>
      <c r="R82" s="58">
        <v>180</v>
      </c>
      <c r="S82" s="58">
        <v>108</v>
      </c>
      <c r="T82" s="58">
        <v>370</v>
      </c>
      <c r="U82" s="58">
        <v>408</v>
      </c>
      <c r="V82" s="58">
        <v>364</v>
      </c>
    </row>
    <row r="83" spans="1:22" s="26" customFormat="1" ht="12.5" thickBot="1" x14ac:dyDescent="0.35">
      <c r="B83" s="65" t="s">
        <v>90</v>
      </c>
      <c r="C83" s="65"/>
      <c r="D83" s="65"/>
      <c r="E83" s="65"/>
      <c r="F83" s="65"/>
      <c r="G83" s="65"/>
      <c r="H83" s="65"/>
      <c r="I83" s="65"/>
      <c r="J83" s="65"/>
      <c r="K83" s="65"/>
      <c r="L83" s="69">
        <v>3518</v>
      </c>
      <c r="M83" s="69">
        <v>4046</v>
      </c>
      <c r="N83" s="69">
        <v>5262</v>
      </c>
      <c r="O83" s="69">
        <v>7979</v>
      </c>
      <c r="P83" s="69">
        <v>9390</v>
      </c>
      <c r="Q83" s="69">
        <v>10249</v>
      </c>
      <c r="R83" s="69">
        <v>9816</v>
      </c>
      <c r="S83" s="69">
        <v>9793</v>
      </c>
      <c r="T83" s="69">
        <v>9723</v>
      </c>
      <c r="U83" s="69">
        <v>9230</v>
      </c>
      <c r="V83" s="69">
        <v>8457</v>
      </c>
    </row>
    <row r="84" spans="1:22" s="26" customFormat="1" x14ac:dyDescent="0.3">
      <c r="B84" s="61" t="s">
        <v>4</v>
      </c>
      <c r="C84" s="61"/>
      <c r="D84" s="61"/>
      <c r="E84" s="61"/>
      <c r="F84" s="61"/>
      <c r="G84" s="61"/>
      <c r="H84" s="61"/>
      <c r="I84" s="61"/>
      <c r="J84" s="61"/>
      <c r="K84" s="61"/>
      <c r="L84" s="58">
        <v>-386</v>
      </c>
      <c r="M84" s="58">
        <v>-160</v>
      </c>
      <c r="N84" s="58">
        <v>-427</v>
      </c>
      <c r="O84" s="58">
        <v>-1641</v>
      </c>
      <c r="P84" s="58">
        <v>-695</v>
      </c>
      <c r="Q84" s="58">
        <v>-249</v>
      </c>
      <c r="R84" s="58">
        <v>-268</v>
      </c>
      <c r="S84" s="58">
        <v>85</v>
      </c>
      <c r="T84" s="58">
        <v>-435</v>
      </c>
      <c r="U84" s="58">
        <v>-1353</v>
      </c>
      <c r="V84" s="58">
        <v>-8659</v>
      </c>
    </row>
    <row r="85" spans="1:22" s="26" customFormat="1" x14ac:dyDescent="0.3">
      <c r="B85" s="61" t="s">
        <v>86</v>
      </c>
      <c r="C85" s="61"/>
      <c r="D85" s="61"/>
      <c r="E85" s="61"/>
      <c r="F85" s="61"/>
      <c r="G85" s="61"/>
      <c r="H85" s="61"/>
      <c r="I85" s="61"/>
      <c r="J85" s="61"/>
      <c r="K85" s="61"/>
      <c r="L85" s="58">
        <v>-1788</v>
      </c>
      <c r="M85" s="58">
        <v>-1582</v>
      </c>
      <c r="N85" s="58">
        <v>-1852</v>
      </c>
      <c r="O85" s="58">
        <v>-4766</v>
      </c>
      <c r="P85" s="58">
        <v>-3599</v>
      </c>
      <c r="Q85" s="58">
        <v>-3240</v>
      </c>
      <c r="R85" s="58">
        <v>-2648</v>
      </c>
      <c r="S85" s="58">
        <v>-2672</v>
      </c>
      <c r="T85" s="58">
        <v>-2223</v>
      </c>
      <c r="U85" s="58">
        <v>-1997</v>
      </c>
      <c r="V85" s="58">
        <v>-2021</v>
      </c>
    </row>
    <row r="86" spans="1:22" s="26" customFormat="1" x14ac:dyDescent="0.3">
      <c r="B86" s="57" t="s">
        <v>85</v>
      </c>
      <c r="C86" s="57"/>
      <c r="D86" s="57"/>
      <c r="E86" s="57"/>
      <c r="F86" s="57"/>
      <c r="G86" s="57"/>
      <c r="H86" s="57"/>
      <c r="I86" s="57"/>
      <c r="J86" s="57"/>
      <c r="K86" s="57"/>
      <c r="L86" s="58">
        <v>548</v>
      </c>
      <c r="M86" s="58">
        <v>725</v>
      </c>
      <c r="N86" s="58">
        <v>651</v>
      </c>
      <c r="O86" s="58">
        <v>1310</v>
      </c>
      <c r="P86" s="58">
        <v>609</v>
      </c>
      <c r="Q86" s="58">
        <v>1085</v>
      </c>
      <c r="R86" s="58">
        <v>630</v>
      </c>
      <c r="S86" s="58">
        <v>900</v>
      </c>
      <c r="T86" s="58">
        <v>717</v>
      </c>
      <c r="U86" s="58">
        <v>806</v>
      </c>
      <c r="V86" s="58">
        <v>490</v>
      </c>
    </row>
    <row r="87" spans="1:22" s="26" customFormat="1" ht="12.5" thickBot="1" x14ac:dyDescent="0.35">
      <c r="B87" s="65" t="s">
        <v>91</v>
      </c>
      <c r="C87" s="65"/>
      <c r="D87" s="65"/>
      <c r="E87" s="65"/>
      <c r="F87" s="65"/>
      <c r="G87" s="65"/>
      <c r="H87" s="65"/>
      <c r="I87" s="65"/>
      <c r="J87" s="65"/>
      <c r="K87" s="65"/>
      <c r="L87" s="69">
        <v>1892</v>
      </c>
      <c r="M87" s="69">
        <v>3029</v>
      </c>
      <c r="N87" s="69">
        <v>3634</v>
      </c>
      <c r="O87" s="69">
        <v>2882</v>
      </c>
      <c r="P87" s="69">
        <v>5705</v>
      </c>
      <c r="Q87" s="69">
        <v>7845</v>
      </c>
      <c r="R87" s="69">
        <v>7530</v>
      </c>
      <c r="S87" s="69">
        <v>8106</v>
      </c>
      <c r="T87" s="69">
        <v>7782</v>
      </c>
      <c r="U87" s="69">
        <v>6686</v>
      </c>
      <c r="V87" s="69">
        <v>-1733</v>
      </c>
    </row>
    <row r="88" spans="1:22" s="26" customFormat="1" x14ac:dyDescent="0.3">
      <c r="B88" s="61" t="s">
        <v>45</v>
      </c>
      <c r="C88" s="61"/>
      <c r="D88" s="61"/>
      <c r="E88" s="61"/>
      <c r="F88" s="61"/>
      <c r="G88" s="61"/>
      <c r="H88" s="61"/>
      <c r="I88" s="61"/>
      <c r="J88" s="61"/>
      <c r="K88" s="61"/>
      <c r="L88" s="58">
        <v>-521</v>
      </c>
      <c r="M88" s="58">
        <v>-858</v>
      </c>
      <c r="N88" s="58">
        <v>-1038</v>
      </c>
      <c r="O88" s="58">
        <v>324</v>
      </c>
      <c r="P88" s="58">
        <v>-1538</v>
      </c>
      <c r="Q88" s="58">
        <v>-1885</v>
      </c>
      <c r="R88" s="58">
        <v>-1838</v>
      </c>
      <c r="S88" s="58">
        <v>-1861</v>
      </c>
      <c r="T88" s="58">
        <v>-1833</v>
      </c>
      <c r="U88" s="58">
        <v>-1748</v>
      </c>
      <c r="V88" s="58">
        <v>-849</v>
      </c>
    </row>
    <row r="89" spans="1:22" s="26" customFormat="1" ht="12.5" thickBot="1" x14ac:dyDescent="0.35">
      <c r="B89" s="65" t="s">
        <v>92</v>
      </c>
      <c r="C89" s="65"/>
      <c r="D89" s="65"/>
      <c r="E89" s="65"/>
      <c r="F89" s="65"/>
      <c r="G89" s="65"/>
      <c r="H89" s="65"/>
      <c r="I89" s="65"/>
      <c r="J89" s="65"/>
      <c r="K89" s="65"/>
      <c r="L89" s="69">
        <v>1371</v>
      </c>
      <c r="M89" s="69">
        <v>2171</v>
      </c>
      <c r="N89" s="69">
        <v>2596</v>
      </c>
      <c r="O89" s="69">
        <v>3206</v>
      </c>
      <c r="P89" s="69">
        <v>4167</v>
      </c>
      <c r="Q89" s="69">
        <v>5960</v>
      </c>
      <c r="R89" s="69">
        <v>5692</v>
      </c>
      <c r="S89" s="69">
        <v>6245</v>
      </c>
      <c r="T89" s="69">
        <v>5949</v>
      </c>
      <c r="U89" s="69">
        <v>4938</v>
      </c>
      <c r="V89" s="69">
        <v>-2582</v>
      </c>
    </row>
    <row r="90" spans="1:22" s="26" customFormat="1" x14ac:dyDescent="0.3">
      <c r="B90" s="61" t="s">
        <v>56</v>
      </c>
      <c r="C90" s="61"/>
      <c r="D90" s="61"/>
      <c r="E90" s="61"/>
      <c r="F90" s="61"/>
      <c r="G90" s="61"/>
      <c r="H90" s="61"/>
      <c r="I90" s="61"/>
      <c r="J90" s="61"/>
      <c r="K90" s="61"/>
      <c r="L90" s="58">
        <v>261</v>
      </c>
      <c r="M90" s="58">
        <v>287</v>
      </c>
      <c r="N90" s="58">
        <v>299</v>
      </c>
      <c r="O90" s="58">
        <v>575</v>
      </c>
      <c r="P90" s="58">
        <v>565</v>
      </c>
      <c r="Q90" s="58">
        <v>609</v>
      </c>
      <c r="R90" s="58">
        <v>543</v>
      </c>
      <c r="S90" s="58">
        <v>638</v>
      </c>
      <c r="T90" s="58">
        <v>478</v>
      </c>
      <c r="U90" s="58">
        <v>524</v>
      </c>
      <c r="V90" s="58">
        <v>344</v>
      </c>
    </row>
    <row r="91" spans="1:22" s="26" customFormat="1" x14ac:dyDescent="0.3">
      <c r="B91" s="57" t="s">
        <v>31</v>
      </c>
      <c r="C91" s="57"/>
      <c r="D91" s="57"/>
      <c r="E91" s="57"/>
      <c r="F91" s="57"/>
      <c r="G91" s="57"/>
      <c r="H91" s="57"/>
      <c r="I91" s="57"/>
      <c r="J91" s="57"/>
      <c r="K91" s="57"/>
      <c r="L91" s="58">
        <v>1110</v>
      </c>
      <c r="M91" s="58">
        <v>1884</v>
      </c>
      <c r="N91" s="58">
        <v>2297</v>
      </c>
      <c r="O91" s="58">
        <v>2631</v>
      </c>
      <c r="P91" s="58">
        <v>3602</v>
      </c>
      <c r="Q91" s="58">
        <v>5351</v>
      </c>
      <c r="R91" s="58">
        <v>5149</v>
      </c>
      <c r="S91" s="58">
        <v>5607</v>
      </c>
      <c r="T91" s="58">
        <v>5471</v>
      </c>
      <c r="U91" s="58">
        <v>4414</v>
      </c>
      <c r="V91" s="58">
        <v>-2926</v>
      </c>
    </row>
    <row r="92" spans="1:22" s="26" customFormat="1" x14ac:dyDescent="0.3">
      <c r="B92" s="61" t="s">
        <v>115</v>
      </c>
      <c r="C92" s="61"/>
      <c r="D92" s="61"/>
      <c r="E92" s="61"/>
      <c r="F92" s="61"/>
      <c r="G92" s="61"/>
      <c r="H92" s="61"/>
      <c r="I92" s="61"/>
      <c r="J92" s="61"/>
      <c r="K92" s="61"/>
      <c r="L92" s="58">
        <v>14.600000381469727</v>
      </c>
      <c r="M92" s="58">
        <v>24.600000381469727</v>
      </c>
      <c r="N92" s="58">
        <v>24.200000762939453</v>
      </c>
      <c r="O92" s="58">
        <v>22.200000762939453</v>
      </c>
      <c r="P92" s="58">
        <v>11</v>
      </c>
      <c r="Q92" s="58">
        <v>35</v>
      </c>
      <c r="R92" s="58">
        <v>33.700000762939453</v>
      </c>
      <c r="S92" s="58">
        <v>36.700000762939453</v>
      </c>
      <c r="T92" s="58">
        <v>35.700000762939453</v>
      </c>
      <c r="U92" s="58">
        <v>28.799999237060547</v>
      </c>
      <c r="V92" s="58">
        <v>-19.200000762939453</v>
      </c>
    </row>
    <row r="93" spans="1:22" s="26" customFormat="1" x14ac:dyDescent="0.3">
      <c r="B93" s="26" t="s">
        <v>116</v>
      </c>
      <c r="L93" s="58">
        <v>14.600000381469727</v>
      </c>
      <c r="M93" s="58">
        <v>24.700000762939453</v>
      </c>
      <c r="N93" s="58">
        <v>24.299999237060547</v>
      </c>
      <c r="O93" s="58">
        <v>22.200000762939453</v>
      </c>
      <c r="P93" s="58">
        <v>23.600000381469727</v>
      </c>
      <c r="Q93" s="58">
        <v>35.099998474121094</v>
      </c>
      <c r="R93" s="58">
        <v>33.799999237060547</v>
      </c>
      <c r="S93" s="58">
        <v>36.799999237060547</v>
      </c>
      <c r="T93" s="58">
        <v>35.900001525878906</v>
      </c>
      <c r="U93" s="58">
        <v>28.899999618530273</v>
      </c>
      <c r="V93" s="58">
        <v>-19.200000762939453</v>
      </c>
    </row>
    <row r="94" spans="1:22" s="26" customFormat="1" x14ac:dyDescent="0.3"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</row>
    <row r="95" spans="1:22" s="26" customFormat="1" x14ac:dyDescent="0.3"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</row>
    <row r="96" spans="1:22" s="25" customFormat="1" x14ac:dyDescent="0.3">
      <c r="A96" s="25" t="s">
        <v>136</v>
      </c>
      <c r="B96" s="25" t="s">
        <v>137</v>
      </c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</row>
    <row r="97" spans="2:22" s="26" customFormat="1" x14ac:dyDescent="0.3">
      <c r="B97" s="57" t="s">
        <v>90</v>
      </c>
      <c r="C97" s="57"/>
      <c r="D97" s="57"/>
      <c r="E97" s="57"/>
      <c r="F97" s="57"/>
      <c r="G97" s="57"/>
      <c r="H97" s="57"/>
      <c r="I97" s="57"/>
      <c r="J97" s="57"/>
      <c r="K97" s="57"/>
      <c r="L97" s="58">
        <v>3518</v>
      </c>
      <c r="M97" s="58">
        <v>4046</v>
      </c>
      <c r="N97" s="58">
        <v>5262</v>
      </c>
      <c r="O97" s="58">
        <v>7979</v>
      </c>
      <c r="P97" s="58">
        <v>9390</v>
      </c>
      <c r="Q97" s="58">
        <v>10249</v>
      </c>
      <c r="R97" s="58">
        <v>9816</v>
      </c>
      <c r="S97" s="58">
        <v>9793</v>
      </c>
      <c r="T97" s="58">
        <v>9723</v>
      </c>
      <c r="U97" s="58">
        <v>9230</v>
      </c>
      <c r="V97" s="58">
        <v>8457</v>
      </c>
    </row>
    <row r="98" spans="2:22" s="26" customFormat="1" x14ac:dyDescent="0.3">
      <c r="B98" s="61" t="s">
        <v>16</v>
      </c>
      <c r="C98" s="61"/>
      <c r="D98" s="61"/>
      <c r="E98" s="61"/>
      <c r="F98" s="61"/>
      <c r="G98" s="61"/>
      <c r="H98" s="61"/>
      <c r="I98" s="61"/>
      <c r="J98" s="61"/>
      <c r="K98" s="61"/>
      <c r="L98" s="58">
        <v>2796</v>
      </c>
      <c r="M98" s="58">
        <v>2953</v>
      </c>
      <c r="N98" s="58">
        <v>2768</v>
      </c>
      <c r="O98" s="58">
        <v>3627</v>
      </c>
      <c r="P98" s="58">
        <v>3769</v>
      </c>
      <c r="Q98" s="58">
        <v>3987</v>
      </c>
      <c r="R98" s="58">
        <v>3780</v>
      </c>
      <c r="S98" s="58">
        <v>3991</v>
      </c>
      <c r="T98" s="58">
        <v>3863</v>
      </c>
      <c r="U98" s="58">
        <v>4103</v>
      </c>
      <c r="V98" s="58">
        <v>4674</v>
      </c>
    </row>
    <row r="99" spans="2:22" s="26" customFormat="1" x14ac:dyDescent="0.3">
      <c r="B99" s="57" t="s">
        <v>59</v>
      </c>
      <c r="C99" s="57"/>
      <c r="D99" s="57"/>
      <c r="E99" s="57"/>
      <c r="F99" s="57"/>
      <c r="G99" s="57"/>
      <c r="H99" s="57"/>
      <c r="I99" s="57"/>
      <c r="J99" s="57"/>
      <c r="K99" s="57"/>
      <c r="L99" s="58">
        <v>0</v>
      </c>
      <c r="M99" s="58">
        <v>36</v>
      </c>
      <c r="N99" s="58">
        <v>104</v>
      </c>
      <c r="O99" s="58">
        <v>4</v>
      </c>
      <c r="P99" s="58">
        <v>10</v>
      </c>
      <c r="Q99" s="58">
        <v>0</v>
      </c>
      <c r="R99" s="58">
        <v>4</v>
      </c>
      <c r="S99" s="58">
        <v>28</v>
      </c>
      <c r="T99" s="58">
        <v>6</v>
      </c>
      <c r="U99" s="58">
        <v>5</v>
      </c>
      <c r="V99" s="58">
        <v>82</v>
      </c>
    </row>
    <row r="100" spans="2:22" s="26" customFormat="1" ht="12.5" thickBot="1" x14ac:dyDescent="0.35">
      <c r="B100" s="67" t="s">
        <v>132</v>
      </c>
      <c r="C100" s="67"/>
      <c r="D100" s="67"/>
      <c r="E100" s="67"/>
      <c r="F100" s="67"/>
      <c r="G100" s="67"/>
      <c r="H100" s="67"/>
      <c r="I100" s="67"/>
      <c r="J100" s="67"/>
      <c r="K100" s="67"/>
      <c r="L100" s="69">
        <v>6314</v>
      </c>
      <c r="M100" s="69">
        <v>7035</v>
      </c>
      <c r="N100" s="69">
        <v>8134</v>
      </c>
      <c r="O100" s="69">
        <v>11610</v>
      </c>
      <c r="P100" s="69">
        <v>13169</v>
      </c>
      <c r="Q100" s="69">
        <v>14236</v>
      </c>
      <c r="R100" s="69">
        <v>13600</v>
      </c>
      <c r="S100" s="69">
        <v>13812</v>
      </c>
      <c r="T100" s="69">
        <v>13592</v>
      </c>
      <c r="U100" s="69">
        <v>13338</v>
      </c>
      <c r="V100" s="69">
        <v>13213</v>
      </c>
    </row>
    <row r="101" spans="2:22" s="26" customFormat="1" x14ac:dyDescent="0.3">
      <c r="B101" s="61" t="s">
        <v>17</v>
      </c>
      <c r="C101" s="61"/>
      <c r="D101" s="61"/>
      <c r="E101" s="61"/>
      <c r="F101" s="61"/>
      <c r="G101" s="61"/>
      <c r="H101" s="61"/>
      <c r="I101" s="61"/>
      <c r="J101" s="61"/>
      <c r="K101" s="61"/>
      <c r="L101" s="58">
        <v>-309</v>
      </c>
      <c r="M101" s="58">
        <v>-173</v>
      </c>
      <c r="N101" s="58">
        <v>-403</v>
      </c>
      <c r="O101" s="58">
        <v>-604</v>
      </c>
      <c r="P101" s="58">
        <v>265</v>
      </c>
      <c r="Q101" s="58">
        <v>493</v>
      </c>
      <c r="R101" s="58">
        <v>315</v>
      </c>
      <c r="S101" s="58">
        <v>334</v>
      </c>
      <c r="T101" s="58">
        <v>-221</v>
      </c>
      <c r="U101" s="58">
        <v>-514</v>
      </c>
      <c r="V101" s="58">
        <v>-374</v>
      </c>
    </row>
    <row r="102" spans="2:22" s="26" customFormat="1" x14ac:dyDescent="0.3">
      <c r="B102" s="61" t="s">
        <v>18</v>
      </c>
      <c r="C102" s="61"/>
      <c r="D102" s="61"/>
      <c r="E102" s="61"/>
      <c r="F102" s="61"/>
      <c r="G102" s="61"/>
      <c r="H102" s="61"/>
      <c r="I102" s="61"/>
      <c r="J102" s="61"/>
      <c r="K102" s="61"/>
      <c r="L102" s="58">
        <v>1002</v>
      </c>
      <c r="M102" s="58">
        <v>389</v>
      </c>
      <c r="N102" s="58">
        <v>-230</v>
      </c>
      <c r="O102" s="58">
        <v>1556</v>
      </c>
      <c r="P102" s="58">
        <v>3675</v>
      </c>
      <c r="Q102" s="58">
        <v>716</v>
      </c>
      <c r="R102" s="58">
        <v>-571</v>
      </c>
      <c r="S102" s="58">
        <v>852</v>
      </c>
      <c r="T102" s="58">
        <v>620</v>
      </c>
      <c r="U102" s="58">
        <v>-177</v>
      </c>
      <c r="V102" s="58">
        <v>1284</v>
      </c>
    </row>
    <row r="103" spans="2:22" s="26" customFormat="1" x14ac:dyDescent="0.3">
      <c r="B103" s="61" t="s">
        <v>105</v>
      </c>
      <c r="C103" s="61"/>
      <c r="D103" s="61"/>
      <c r="E103" s="61"/>
      <c r="F103" s="61"/>
      <c r="G103" s="61"/>
      <c r="H103" s="61"/>
      <c r="I103" s="61"/>
      <c r="J103" s="61"/>
      <c r="K103" s="61"/>
      <c r="L103" s="58">
        <v>0</v>
      </c>
      <c r="M103" s="58">
        <v>0</v>
      </c>
      <c r="N103" s="58">
        <v>0</v>
      </c>
      <c r="O103" s="58">
        <v>0</v>
      </c>
      <c r="P103" s="58">
        <v>0</v>
      </c>
      <c r="Q103" s="58">
        <v>0</v>
      </c>
      <c r="R103" s="58">
        <v>-421</v>
      </c>
      <c r="S103" s="58">
        <v>-523</v>
      </c>
      <c r="T103" s="58">
        <v>-843</v>
      </c>
      <c r="U103" s="58">
        <v>-682</v>
      </c>
      <c r="V103" s="58">
        <v>561</v>
      </c>
    </row>
    <row r="104" spans="2:22" s="26" customFormat="1" x14ac:dyDescent="0.3">
      <c r="B104" s="57" t="s">
        <v>21</v>
      </c>
      <c r="C104" s="57"/>
      <c r="D104" s="57"/>
      <c r="E104" s="57"/>
      <c r="F104" s="57"/>
      <c r="G104" s="57"/>
      <c r="H104" s="57"/>
      <c r="I104" s="57"/>
      <c r="J104" s="57"/>
      <c r="K104" s="57"/>
      <c r="L104" s="58">
        <v>-1235</v>
      </c>
      <c r="M104" s="58">
        <v>-1512</v>
      </c>
      <c r="N104" s="58">
        <v>-1507</v>
      </c>
      <c r="O104" s="58">
        <v>-3010</v>
      </c>
      <c r="P104" s="58">
        <v>-1852</v>
      </c>
      <c r="Q104" s="58">
        <v>-2344</v>
      </c>
      <c r="R104" s="58">
        <v>-2288</v>
      </c>
      <c r="S104" s="58">
        <v>-2350</v>
      </c>
      <c r="T104" s="58">
        <v>-2424</v>
      </c>
      <c r="U104" s="58">
        <v>-2219</v>
      </c>
      <c r="V104" s="58">
        <v>-2050</v>
      </c>
    </row>
    <row r="105" spans="2:22" s="26" customFormat="1" x14ac:dyDescent="0.3">
      <c r="B105" s="61" t="s">
        <v>20</v>
      </c>
      <c r="C105" s="61"/>
      <c r="D105" s="61"/>
      <c r="E105" s="61"/>
      <c r="F105" s="61"/>
      <c r="G105" s="61"/>
      <c r="H105" s="61"/>
      <c r="I105" s="61"/>
      <c r="J105" s="61"/>
      <c r="K105" s="61"/>
      <c r="L105" s="58">
        <v>123</v>
      </c>
      <c r="M105" s="58">
        <v>186</v>
      </c>
      <c r="N105" s="58">
        <v>187</v>
      </c>
      <c r="O105" s="58">
        <v>256</v>
      </c>
      <c r="P105" s="58">
        <v>255</v>
      </c>
      <c r="Q105" s="58">
        <v>255</v>
      </c>
      <c r="R105" s="58">
        <v>218</v>
      </c>
      <c r="S105" s="58">
        <v>354</v>
      </c>
      <c r="T105" s="58">
        <v>329</v>
      </c>
      <c r="U105" s="58">
        <v>224</v>
      </c>
      <c r="V105" s="58">
        <v>232</v>
      </c>
    </row>
    <row r="106" spans="2:22" s="26" customFormat="1" x14ac:dyDescent="0.3">
      <c r="B106" s="57" t="s">
        <v>19</v>
      </c>
      <c r="C106" s="57"/>
      <c r="D106" s="57"/>
      <c r="E106" s="57"/>
      <c r="F106" s="57"/>
      <c r="G106" s="57"/>
      <c r="H106" s="57"/>
      <c r="I106" s="57"/>
      <c r="J106" s="57"/>
      <c r="K106" s="57"/>
      <c r="L106" s="58">
        <v>-537</v>
      </c>
      <c r="M106" s="58">
        <v>-477</v>
      </c>
      <c r="N106" s="58">
        <v>-379</v>
      </c>
      <c r="O106" s="58">
        <v>-482</v>
      </c>
      <c r="P106" s="58">
        <v>-507</v>
      </c>
      <c r="Q106" s="58">
        <v>-446</v>
      </c>
      <c r="R106" s="58">
        <v>-448</v>
      </c>
      <c r="S106" s="58">
        <v>-324</v>
      </c>
      <c r="T106" s="58">
        <v>-617</v>
      </c>
      <c r="U106" s="58">
        <v>-397</v>
      </c>
      <c r="V106" s="58">
        <v>-586</v>
      </c>
    </row>
    <row r="107" spans="2:22" s="26" customFormat="1" x14ac:dyDescent="0.3">
      <c r="B107" s="57" t="s">
        <v>22</v>
      </c>
      <c r="C107" s="57"/>
      <c r="D107" s="57"/>
      <c r="E107" s="57"/>
      <c r="F107" s="57"/>
      <c r="G107" s="57"/>
      <c r="H107" s="57"/>
      <c r="I107" s="57"/>
      <c r="J107" s="57"/>
      <c r="K107" s="57"/>
      <c r="L107" s="58">
        <v>-624</v>
      </c>
      <c r="M107" s="58">
        <v>-978</v>
      </c>
      <c r="N107" s="58">
        <v>-965</v>
      </c>
      <c r="O107" s="58">
        <v>-1514</v>
      </c>
      <c r="P107" s="58">
        <v>-1374</v>
      </c>
      <c r="Q107" s="58">
        <v>-1890</v>
      </c>
      <c r="R107" s="58">
        <v>-1592</v>
      </c>
      <c r="S107" s="58">
        <v>-2284</v>
      </c>
      <c r="T107" s="58">
        <v>-2294</v>
      </c>
      <c r="U107" s="58">
        <v>-2168</v>
      </c>
      <c r="V107" s="58">
        <v>-2140</v>
      </c>
    </row>
    <row r="108" spans="2:22" s="26" customFormat="1" ht="12.5" thickBot="1" x14ac:dyDescent="0.35">
      <c r="B108" s="67" t="s">
        <v>94</v>
      </c>
      <c r="C108" s="67"/>
      <c r="D108" s="67"/>
      <c r="E108" s="67"/>
      <c r="F108" s="67"/>
      <c r="G108" s="67"/>
      <c r="H108" s="67"/>
      <c r="I108" s="67"/>
      <c r="J108" s="67"/>
      <c r="K108" s="67"/>
      <c r="L108" s="69">
        <v>4734</v>
      </c>
      <c r="M108" s="69">
        <v>4470</v>
      </c>
      <c r="N108" s="69">
        <v>4837</v>
      </c>
      <c r="O108" s="69">
        <v>7812</v>
      </c>
      <c r="P108" s="69">
        <v>13631</v>
      </c>
      <c r="Q108" s="69">
        <v>11020</v>
      </c>
      <c r="R108" s="69">
        <v>8813</v>
      </c>
      <c r="S108" s="69">
        <v>9871</v>
      </c>
      <c r="T108" s="69">
        <v>8142</v>
      </c>
      <c r="U108" s="69">
        <v>7405</v>
      </c>
      <c r="V108" s="69">
        <v>10140</v>
      </c>
    </row>
    <row r="109" spans="2:22" s="26" customFormat="1" x14ac:dyDescent="0.3">
      <c r="B109" s="61" t="s">
        <v>23</v>
      </c>
      <c r="C109" s="61"/>
      <c r="D109" s="61"/>
      <c r="E109" s="61"/>
      <c r="F109" s="61"/>
      <c r="G109" s="61"/>
      <c r="H109" s="61"/>
      <c r="I109" s="61"/>
      <c r="J109" s="61"/>
      <c r="K109" s="61"/>
      <c r="L109" s="58">
        <v>-3010</v>
      </c>
      <c r="M109" s="58">
        <v>-3188</v>
      </c>
      <c r="N109" s="58">
        <v>-4929</v>
      </c>
      <c r="O109" s="58">
        <v>-5292</v>
      </c>
      <c r="P109" s="58">
        <v>-2767</v>
      </c>
      <c r="Q109" s="58">
        <v>-3326</v>
      </c>
      <c r="R109" s="58">
        <v>-4329</v>
      </c>
      <c r="S109" s="58">
        <v>-5067</v>
      </c>
      <c r="T109" s="58">
        <v>-5582</v>
      </c>
      <c r="U109" s="58">
        <v>-5888</v>
      </c>
      <c r="V109" s="58">
        <v>-4069</v>
      </c>
    </row>
    <row r="110" spans="2:22" s="26" customFormat="1" x14ac:dyDescent="0.3">
      <c r="B110" s="57" t="s">
        <v>24</v>
      </c>
      <c r="C110" s="57"/>
      <c r="D110" s="57"/>
      <c r="E110" s="57"/>
      <c r="F110" s="57"/>
      <c r="G110" s="57"/>
      <c r="H110" s="57"/>
      <c r="I110" s="57"/>
      <c r="J110" s="57"/>
      <c r="K110" s="57"/>
      <c r="L110" s="58">
        <v>427</v>
      </c>
      <c r="M110" s="58">
        <v>305</v>
      </c>
      <c r="N110" s="58">
        <v>351</v>
      </c>
      <c r="O110" s="58">
        <v>374</v>
      </c>
      <c r="P110" s="58">
        <v>255</v>
      </c>
      <c r="Q110" s="58">
        <v>181</v>
      </c>
      <c r="R110" s="58">
        <v>276</v>
      </c>
      <c r="S110" s="58">
        <v>440</v>
      </c>
      <c r="T110" s="58">
        <v>149</v>
      </c>
      <c r="U110" s="58">
        <v>261</v>
      </c>
      <c r="V110" s="58">
        <v>575</v>
      </c>
    </row>
    <row r="111" spans="2:22" s="26" customFormat="1" ht="12.5" thickBot="1" x14ac:dyDescent="0.35">
      <c r="B111" s="67" t="s">
        <v>26</v>
      </c>
      <c r="C111" s="67"/>
      <c r="D111" s="67"/>
      <c r="E111" s="67"/>
      <c r="F111" s="67"/>
      <c r="G111" s="67"/>
      <c r="H111" s="67"/>
      <c r="I111" s="67"/>
      <c r="J111" s="67"/>
      <c r="K111" s="67"/>
      <c r="L111" s="69">
        <v>-2615</v>
      </c>
      <c r="M111" s="69">
        <v>-3083</v>
      </c>
      <c r="N111" s="69">
        <v>-4721</v>
      </c>
      <c r="O111" s="69">
        <v>-5208</v>
      </c>
      <c r="P111" s="69">
        <v>-2923</v>
      </c>
      <c r="Q111" s="69">
        <v>-3575</v>
      </c>
      <c r="R111" s="69">
        <v>-4571</v>
      </c>
      <c r="S111" s="69">
        <v>-5074</v>
      </c>
      <c r="T111" s="69">
        <v>-5385</v>
      </c>
      <c r="U111" s="69">
        <v>-5549</v>
      </c>
      <c r="V111" s="69">
        <v>-3307</v>
      </c>
    </row>
    <row r="112" spans="2:22" s="26" customFormat="1" x14ac:dyDescent="0.3">
      <c r="B112" s="26" t="s">
        <v>25</v>
      </c>
      <c r="L112" s="58">
        <v>-32</v>
      </c>
      <c r="M112" s="58">
        <v>-200</v>
      </c>
      <c r="N112" s="58">
        <v>-143</v>
      </c>
      <c r="O112" s="58">
        <v>-290</v>
      </c>
      <c r="P112" s="58">
        <v>-411</v>
      </c>
      <c r="Q112" s="58">
        <v>-430</v>
      </c>
      <c r="R112" s="58">
        <v>-518</v>
      </c>
      <c r="S112" s="58">
        <v>-447</v>
      </c>
      <c r="T112" s="58">
        <v>48</v>
      </c>
      <c r="U112" s="58">
        <v>78</v>
      </c>
      <c r="V112" s="58">
        <v>187</v>
      </c>
    </row>
    <row r="113" spans="2:22" s="26" customFormat="1" x14ac:dyDescent="0.3">
      <c r="B113" s="61" t="s">
        <v>34</v>
      </c>
      <c r="C113" s="61"/>
      <c r="D113" s="61"/>
      <c r="E113" s="61"/>
      <c r="F113" s="61"/>
      <c r="G113" s="61"/>
      <c r="H113" s="61"/>
      <c r="I113" s="61"/>
      <c r="J113" s="61"/>
      <c r="K113" s="61"/>
      <c r="L113" s="58">
        <v>-738</v>
      </c>
      <c r="M113" s="58">
        <v>18</v>
      </c>
      <c r="N113" s="58">
        <v>-179</v>
      </c>
      <c r="O113" s="58">
        <v>-51444</v>
      </c>
      <c r="P113" s="58">
        <v>95</v>
      </c>
      <c r="Q113" s="58">
        <v>-477</v>
      </c>
      <c r="R113" s="58">
        <v>-260</v>
      </c>
      <c r="S113" s="58">
        <v>-27</v>
      </c>
      <c r="T113" s="58">
        <v>0</v>
      </c>
      <c r="U113" s="58">
        <v>0</v>
      </c>
      <c r="V113" s="58">
        <v>0</v>
      </c>
    </row>
    <row r="114" spans="2:22" s="26" customFormat="1" x14ac:dyDescent="0.3">
      <c r="B114" s="57" t="s">
        <v>133</v>
      </c>
      <c r="C114" s="57"/>
      <c r="D114" s="57"/>
      <c r="E114" s="57"/>
      <c r="F114" s="57"/>
      <c r="G114" s="57"/>
      <c r="H114" s="57"/>
      <c r="I114" s="57"/>
      <c r="J114" s="57"/>
      <c r="K114" s="57"/>
      <c r="L114" s="58">
        <v>-710</v>
      </c>
      <c r="M114" s="58">
        <v>-82</v>
      </c>
      <c r="N114" s="58">
        <v>0</v>
      </c>
      <c r="O114" s="58">
        <v>0</v>
      </c>
      <c r="P114" s="58">
        <v>0</v>
      </c>
      <c r="Q114" s="58">
        <v>0</v>
      </c>
      <c r="R114" s="58">
        <v>0</v>
      </c>
      <c r="S114" s="58">
        <v>0</v>
      </c>
      <c r="T114" s="58">
        <v>0</v>
      </c>
      <c r="U114" s="58">
        <v>0</v>
      </c>
      <c r="V114" s="58">
        <v>0</v>
      </c>
    </row>
    <row r="115" spans="2:22" s="26" customFormat="1" ht="12.5" thickBot="1" x14ac:dyDescent="0.35">
      <c r="B115" s="68" t="s">
        <v>106</v>
      </c>
      <c r="C115" s="68"/>
      <c r="D115" s="68"/>
      <c r="E115" s="68"/>
      <c r="F115" s="68"/>
      <c r="G115" s="68"/>
      <c r="H115" s="68"/>
      <c r="I115" s="68"/>
      <c r="J115" s="68"/>
      <c r="K115" s="68"/>
      <c r="L115" s="69">
        <v>0</v>
      </c>
      <c r="M115" s="69">
        <v>0</v>
      </c>
      <c r="N115" s="69">
        <v>0</v>
      </c>
      <c r="O115" s="69">
        <v>0</v>
      </c>
      <c r="P115" s="69">
        <v>10708</v>
      </c>
      <c r="Q115" s="69">
        <v>7445</v>
      </c>
      <c r="R115" s="69">
        <v>4242</v>
      </c>
      <c r="S115" s="69">
        <v>4797</v>
      </c>
      <c r="T115" s="69">
        <v>2757</v>
      </c>
      <c r="U115" s="69">
        <v>1856</v>
      </c>
      <c r="V115" s="69">
        <v>6833</v>
      </c>
    </row>
    <row r="116" spans="2:22" s="26" customFormat="1" x14ac:dyDescent="0.3">
      <c r="B116" s="57" t="s">
        <v>60</v>
      </c>
      <c r="C116" s="57"/>
      <c r="D116" s="57"/>
      <c r="E116" s="57"/>
      <c r="F116" s="57"/>
      <c r="G116" s="57"/>
      <c r="H116" s="57"/>
      <c r="I116" s="57"/>
      <c r="J116" s="57"/>
      <c r="K116" s="57"/>
      <c r="L116" s="58">
        <v>0</v>
      </c>
      <c r="M116" s="58">
        <v>0</v>
      </c>
      <c r="N116" s="58">
        <v>0</v>
      </c>
      <c r="O116" s="58">
        <v>0</v>
      </c>
      <c r="P116" s="58">
        <v>0</v>
      </c>
      <c r="Q116" s="58">
        <v>0</v>
      </c>
      <c r="R116" s="58">
        <v>0</v>
      </c>
      <c r="S116" s="58">
        <v>0</v>
      </c>
      <c r="T116" s="58">
        <v>-2314</v>
      </c>
      <c r="U116" s="58">
        <v>-1681</v>
      </c>
      <c r="V116" s="58">
        <v>-33</v>
      </c>
    </row>
    <row r="117" spans="2:22" s="26" customFormat="1" x14ac:dyDescent="0.3">
      <c r="B117" s="61" t="s">
        <v>61</v>
      </c>
      <c r="C117" s="61"/>
      <c r="D117" s="61"/>
      <c r="E117" s="61"/>
      <c r="F117" s="61"/>
      <c r="G117" s="61"/>
      <c r="H117" s="61"/>
      <c r="I117" s="61"/>
      <c r="J117" s="61"/>
      <c r="K117" s="61"/>
      <c r="L117" s="58">
        <v>0</v>
      </c>
      <c r="M117" s="58">
        <v>0</v>
      </c>
      <c r="N117" s="58">
        <v>0</v>
      </c>
      <c r="O117" s="58">
        <v>-587</v>
      </c>
      <c r="P117" s="58">
        <v>-48</v>
      </c>
      <c r="Q117" s="58">
        <v>-2041</v>
      </c>
      <c r="R117" s="58">
        <v>0</v>
      </c>
      <c r="S117" s="58">
        <v>0</v>
      </c>
      <c r="T117" s="58">
        <v>0</v>
      </c>
      <c r="U117" s="58">
        <v>0</v>
      </c>
      <c r="V117" s="58">
        <v>0</v>
      </c>
    </row>
    <row r="118" spans="2:22" s="26" customFormat="1" x14ac:dyDescent="0.3">
      <c r="B118" s="57" t="s">
        <v>62</v>
      </c>
      <c r="C118" s="57"/>
      <c r="D118" s="57"/>
      <c r="E118" s="57"/>
      <c r="F118" s="57"/>
      <c r="G118" s="57"/>
      <c r="H118" s="57"/>
      <c r="I118" s="57"/>
      <c r="J118" s="57"/>
      <c r="K118" s="57"/>
      <c r="L118" s="58">
        <v>0</v>
      </c>
      <c r="M118" s="58">
        <v>0</v>
      </c>
      <c r="N118" s="58">
        <v>0</v>
      </c>
      <c r="O118" s="58">
        <v>300</v>
      </c>
      <c r="P118" s="58">
        <v>-7</v>
      </c>
      <c r="Q118" s="58">
        <v>0</v>
      </c>
      <c r="R118" s="58">
        <v>15</v>
      </c>
      <c r="S118" s="58">
        <v>3</v>
      </c>
      <c r="T118" s="58">
        <v>0</v>
      </c>
      <c r="U118" s="58">
        <v>0</v>
      </c>
      <c r="V118" s="58">
        <v>0</v>
      </c>
    </row>
    <row r="119" spans="2:22" s="26" customFormat="1" x14ac:dyDescent="0.3">
      <c r="B119" s="61" t="s">
        <v>121</v>
      </c>
      <c r="C119" s="61"/>
      <c r="D119" s="61"/>
      <c r="E119" s="61"/>
      <c r="F119" s="61"/>
      <c r="G119" s="61"/>
      <c r="H119" s="61"/>
      <c r="I119" s="61"/>
      <c r="J119" s="61"/>
      <c r="K119" s="61"/>
      <c r="L119" s="58">
        <v>0</v>
      </c>
      <c r="M119" s="58">
        <v>0</v>
      </c>
      <c r="N119" s="58">
        <v>0</v>
      </c>
      <c r="O119" s="58">
        <v>0</v>
      </c>
      <c r="P119" s="58">
        <v>0</v>
      </c>
      <c r="Q119" s="58">
        <v>0</v>
      </c>
      <c r="R119" s="58">
        <v>-75</v>
      </c>
      <c r="S119" s="58">
        <v>-825</v>
      </c>
      <c r="T119" s="58">
        <v>-191</v>
      </c>
      <c r="U119" s="58">
        <v>-90</v>
      </c>
      <c r="V119" s="58">
        <v>9</v>
      </c>
    </row>
    <row r="120" spans="2:22" s="26" customFormat="1" x14ac:dyDescent="0.3">
      <c r="B120" s="61" t="s">
        <v>118</v>
      </c>
      <c r="C120" s="61"/>
      <c r="D120" s="61"/>
      <c r="E120" s="61"/>
      <c r="F120" s="61"/>
      <c r="G120" s="61"/>
      <c r="H120" s="61"/>
      <c r="I120" s="61"/>
      <c r="J120" s="61"/>
      <c r="K120" s="61"/>
      <c r="L120" s="58">
        <v>0</v>
      </c>
      <c r="M120" s="58">
        <v>0</v>
      </c>
      <c r="N120" s="58">
        <v>-43</v>
      </c>
      <c r="O120" s="58">
        <v>-961</v>
      </c>
      <c r="P120" s="58">
        <v>-11</v>
      </c>
      <c r="Q120" s="58">
        <v>-35</v>
      </c>
      <c r="R120" s="58">
        <v>-9</v>
      </c>
      <c r="S120" s="58">
        <v>-39</v>
      </c>
      <c r="T120" s="58">
        <v>5</v>
      </c>
      <c r="U120" s="58">
        <v>25</v>
      </c>
      <c r="V120" s="58">
        <v>29</v>
      </c>
    </row>
    <row r="121" spans="2:22" s="26" customFormat="1" x14ac:dyDescent="0.3">
      <c r="B121" s="26" t="s">
        <v>107</v>
      </c>
      <c r="L121" s="58">
        <v>-1620</v>
      </c>
      <c r="M121" s="58">
        <v>1834</v>
      </c>
      <c r="N121" s="58">
        <v>-86</v>
      </c>
      <c r="O121" s="58">
        <v>427</v>
      </c>
      <c r="P121" s="58">
        <v>-98</v>
      </c>
      <c r="Q121" s="58">
        <v>-233</v>
      </c>
      <c r="R121" s="58">
        <v>-47</v>
      </c>
      <c r="S121" s="58">
        <v>-28</v>
      </c>
      <c r="T121" s="58">
        <v>-250</v>
      </c>
      <c r="U121" s="58">
        <v>400</v>
      </c>
      <c r="V121" s="58">
        <v>-193</v>
      </c>
    </row>
    <row r="122" spans="2:22" s="26" customFormat="1" x14ac:dyDescent="0.3">
      <c r="B122" s="61" t="s">
        <v>119</v>
      </c>
      <c r="C122" s="61"/>
      <c r="D122" s="61"/>
      <c r="E122" s="61"/>
      <c r="F122" s="61"/>
      <c r="G122" s="61"/>
      <c r="H122" s="61"/>
      <c r="I122" s="61"/>
      <c r="J122" s="61"/>
      <c r="K122" s="61"/>
      <c r="L122" s="58">
        <v>2002</v>
      </c>
      <c r="M122" s="58">
        <v>1494</v>
      </c>
      <c r="N122" s="58">
        <v>37</v>
      </c>
      <c r="O122" s="58">
        <v>39</v>
      </c>
      <c r="P122" s="58">
        <v>44</v>
      </c>
      <c r="Q122" s="58">
        <v>18</v>
      </c>
      <c r="R122" s="58">
        <v>7</v>
      </c>
      <c r="S122" s="58">
        <v>25</v>
      </c>
      <c r="T122" s="58">
        <v>0</v>
      </c>
      <c r="U122" s="58">
        <v>0</v>
      </c>
      <c r="V122" s="58">
        <v>0</v>
      </c>
    </row>
    <row r="123" spans="2:22" s="26" customFormat="1" x14ac:dyDescent="0.3">
      <c r="B123" s="61" t="s">
        <v>27</v>
      </c>
      <c r="C123" s="61"/>
      <c r="D123" s="61"/>
      <c r="E123" s="61"/>
      <c r="F123" s="61"/>
      <c r="G123" s="61"/>
      <c r="H123" s="61"/>
      <c r="I123" s="61"/>
      <c r="J123" s="61"/>
      <c r="K123" s="61"/>
      <c r="L123" s="58">
        <v>245</v>
      </c>
      <c r="M123" s="58">
        <v>70</v>
      </c>
      <c r="N123" s="58">
        <v>127</v>
      </c>
      <c r="O123" s="58">
        <v>75</v>
      </c>
      <c r="P123" s="58">
        <v>56</v>
      </c>
      <c r="Q123" s="58">
        <v>93</v>
      </c>
      <c r="R123" s="58">
        <v>58</v>
      </c>
      <c r="S123" s="58">
        <v>100</v>
      </c>
      <c r="T123" s="58">
        <v>141</v>
      </c>
      <c r="U123" s="58">
        <v>180</v>
      </c>
      <c r="V123" s="58">
        <v>305</v>
      </c>
    </row>
    <row r="124" spans="2:22" s="26" customFormat="1" x14ac:dyDescent="0.3">
      <c r="B124" s="57" t="s">
        <v>28</v>
      </c>
      <c r="C124" s="57"/>
      <c r="D124" s="57"/>
      <c r="E124" s="57"/>
      <c r="F124" s="57"/>
      <c r="G124" s="57"/>
      <c r="H124" s="57"/>
      <c r="I124" s="57"/>
      <c r="J124" s="57"/>
      <c r="K124" s="57"/>
      <c r="L124" s="58">
        <v>-176</v>
      </c>
      <c r="M124" s="58">
        <v>-371</v>
      </c>
      <c r="N124" s="58">
        <v>-667</v>
      </c>
      <c r="O124" s="58">
        <v>-1117</v>
      </c>
      <c r="P124" s="58">
        <v>-388</v>
      </c>
      <c r="Q124" s="58">
        <v>-51</v>
      </c>
      <c r="R124" s="58">
        <v>-36</v>
      </c>
      <c r="S124" s="58">
        <v>-6</v>
      </c>
      <c r="T124" s="58">
        <v>-18</v>
      </c>
      <c r="U124" s="58">
        <v>-20</v>
      </c>
      <c r="V124" s="58">
        <v>-81</v>
      </c>
    </row>
    <row r="125" spans="2:22" s="26" customFormat="1" x14ac:dyDescent="0.3">
      <c r="B125" s="61" t="s">
        <v>29</v>
      </c>
      <c r="C125" s="61"/>
      <c r="D125" s="61"/>
      <c r="E125" s="61"/>
      <c r="F125" s="61"/>
      <c r="G125" s="61"/>
      <c r="H125" s="61"/>
      <c r="I125" s="61"/>
      <c r="J125" s="61"/>
      <c r="K125" s="61"/>
      <c r="L125" s="58">
        <v>1258</v>
      </c>
      <c r="M125" s="58">
        <v>185</v>
      </c>
      <c r="N125" s="58">
        <v>605</v>
      </c>
      <c r="O125" s="58">
        <v>1323</v>
      </c>
      <c r="P125" s="58">
        <v>198</v>
      </c>
      <c r="Q125" s="58">
        <v>460</v>
      </c>
      <c r="R125" s="58">
        <v>35</v>
      </c>
      <c r="S125" s="58">
        <v>1897</v>
      </c>
      <c r="T125" s="58">
        <v>0</v>
      </c>
      <c r="U125" s="58">
        <v>0</v>
      </c>
      <c r="V125" s="58">
        <v>653</v>
      </c>
    </row>
    <row r="126" spans="2:22" s="26" customFormat="1" x14ac:dyDescent="0.3">
      <c r="B126" s="57" t="s">
        <v>108</v>
      </c>
      <c r="C126" s="57"/>
      <c r="D126" s="57"/>
      <c r="E126" s="57"/>
      <c r="F126" s="57"/>
      <c r="G126" s="57"/>
      <c r="H126" s="57"/>
      <c r="I126" s="57"/>
      <c r="J126" s="57"/>
      <c r="K126" s="57"/>
      <c r="L126" s="58">
        <v>-821</v>
      </c>
      <c r="M126" s="58">
        <v>3334</v>
      </c>
      <c r="N126" s="58">
        <v>-144</v>
      </c>
      <c r="O126" s="58">
        <v>-52151</v>
      </c>
      <c r="P126" s="58">
        <v>31</v>
      </c>
      <c r="Q126" s="58">
        <v>-2675</v>
      </c>
      <c r="R126" s="58">
        <v>-311</v>
      </c>
      <c r="S126" s="58">
        <v>-791</v>
      </c>
      <c r="T126" s="58">
        <v>-2609</v>
      </c>
      <c r="U126" s="58">
        <v>-1166</v>
      </c>
      <c r="V126" s="58">
        <v>117</v>
      </c>
    </row>
    <row r="127" spans="2:22" s="26" customFormat="1" x14ac:dyDescent="0.3">
      <c r="B127" s="57" t="s">
        <v>30</v>
      </c>
      <c r="C127" s="57"/>
      <c r="D127" s="57"/>
      <c r="E127" s="57"/>
      <c r="F127" s="57"/>
      <c r="G127" s="57"/>
      <c r="H127" s="57"/>
      <c r="I127" s="57"/>
      <c r="J127" s="57"/>
      <c r="K127" s="57"/>
      <c r="L127" s="58">
        <v>1082</v>
      </c>
      <c r="M127" s="58">
        <v>-186</v>
      </c>
      <c r="N127" s="58">
        <v>-62</v>
      </c>
      <c r="O127" s="58">
        <v>206</v>
      </c>
      <c r="P127" s="58">
        <v>-190</v>
      </c>
      <c r="Q127" s="58">
        <v>409</v>
      </c>
      <c r="R127" s="58">
        <v>-1</v>
      </c>
      <c r="S127" s="58">
        <v>1891</v>
      </c>
      <c r="T127" s="58">
        <v>-18</v>
      </c>
      <c r="U127" s="58">
        <v>-20</v>
      </c>
      <c r="V127" s="58">
        <v>572</v>
      </c>
    </row>
    <row r="128" spans="2:22" s="26" customFormat="1" ht="12.5" thickBot="1" x14ac:dyDescent="0.35">
      <c r="B128" s="67" t="s">
        <v>95</v>
      </c>
      <c r="C128" s="67"/>
      <c r="D128" s="67"/>
      <c r="E128" s="67"/>
      <c r="F128" s="67"/>
      <c r="G128" s="67"/>
      <c r="H128" s="67"/>
      <c r="I128" s="67"/>
      <c r="J128" s="67"/>
      <c r="K128" s="67"/>
      <c r="L128" s="69">
        <v>-2354</v>
      </c>
      <c r="M128" s="69">
        <v>65</v>
      </c>
      <c r="N128" s="69">
        <v>-4927</v>
      </c>
      <c r="O128" s="69">
        <v>-57153</v>
      </c>
      <c r="P128" s="69">
        <v>-3082</v>
      </c>
      <c r="Q128" s="69">
        <v>-5841</v>
      </c>
      <c r="R128" s="69">
        <v>-4883</v>
      </c>
      <c r="S128" s="69">
        <v>-3974</v>
      </c>
      <c r="T128" s="69">
        <v>-8012</v>
      </c>
      <c r="U128" s="69">
        <v>-6735</v>
      </c>
      <c r="V128" s="69">
        <v>-2618</v>
      </c>
    </row>
    <row r="129" spans="1:22" s="26" customFormat="1" x14ac:dyDescent="0.3">
      <c r="B129" s="57" t="s">
        <v>96</v>
      </c>
      <c r="C129" s="57"/>
      <c r="D129" s="57"/>
      <c r="E129" s="57"/>
      <c r="F129" s="57"/>
      <c r="G129" s="57"/>
      <c r="H129" s="57"/>
      <c r="I129" s="57"/>
      <c r="J129" s="57"/>
      <c r="K129" s="57"/>
      <c r="L129" s="58">
        <v>2380</v>
      </c>
      <c r="M129" s="58">
        <v>4535</v>
      </c>
      <c r="N129" s="58">
        <v>-90</v>
      </c>
      <c r="O129" s="58">
        <v>-49341</v>
      </c>
      <c r="P129" s="58">
        <v>10549</v>
      </c>
      <c r="Q129" s="58">
        <v>5179</v>
      </c>
      <c r="R129" s="58">
        <v>3930</v>
      </c>
      <c r="S129" s="58">
        <v>5897</v>
      </c>
      <c r="T129" s="58">
        <v>130</v>
      </c>
      <c r="U129" s="58">
        <v>670</v>
      </c>
      <c r="V129" s="58">
        <v>7522</v>
      </c>
    </row>
    <row r="130" spans="1:22" s="26" customFormat="1" x14ac:dyDescent="0.3">
      <c r="B130" s="61" t="s">
        <v>31</v>
      </c>
      <c r="C130" s="61"/>
      <c r="D130" s="61"/>
      <c r="E130" s="61"/>
      <c r="F130" s="61"/>
      <c r="G130" s="61"/>
      <c r="H130" s="61"/>
      <c r="I130" s="61"/>
      <c r="J130" s="61"/>
      <c r="K130" s="61"/>
      <c r="L130" s="58">
        <v>-325</v>
      </c>
      <c r="M130" s="58">
        <v>-397</v>
      </c>
      <c r="N130" s="58">
        <v>-508</v>
      </c>
      <c r="O130" s="58">
        <v>29482</v>
      </c>
      <c r="P130" s="58">
        <v>-540</v>
      </c>
      <c r="Q130" s="58">
        <v>-581</v>
      </c>
      <c r="R130" s="58">
        <v>-812</v>
      </c>
      <c r="S130" s="58">
        <v>-864</v>
      </c>
      <c r="T130" s="58">
        <v>-985</v>
      </c>
      <c r="U130" s="58">
        <v>-1234</v>
      </c>
      <c r="V130" s="58">
        <v>-1505</v>
      </c>
    </row>
    <row r="131" spans="1:22" s="26" customFormat="1" x14ac:dyDescent="0.3">
      <c r="B131" s="57" t="s">
        <v>5</v>
      </c>
      <c r="C131" s="57"/>
      <c r="D131" s="57"/>
      <c r="E131" s="57"/>
      <c r="F131" s="57"/>
      <c r="G131" s="57"/>
      <c r="H131" s="57"/>
      <c r="I131" s="57"/>
      <c r="J131" s="57"/>
      <c r="K131" s="57"/>
      <c r="L131" s="58">
        <v>-1581</v>
      </c>
      <c r="M131" s="58">
        <v>-701</v>
      </c>
      <c r="N131" s="58">
        <v>-451</v>
      </c>
      <c r="O131" s="58">
        <v>-549</v>
      </c>
      <c r="P131" s="58">
        <v>0</v>
      </c>
      <c r="Q131" s="58">
        <v>0</v>
      </c>
      <c r="R131" s="58">
        <v>0</v>
      </c>
      <c r="S131" s="58">
        <v>0</v>
      </c>
      <c r="T131" s="58">
        <v>0</v>
      </c>
      <c r="U131" s="58">
        <v>0</v>
      </c>
      <c r="V131" s="58">
        <v>0</v>
      </c>
    </row>
    <row r="132" spans="1:22" s="26" customFormat="1" x14ac:dyDescent="0.3">
      <c r="B132" s="26" t="s">
        <v>109</v>
      </c>
      <c r="L132" s="58">
        <v>-84</v>
      </c>
      <c r="M132" s="58">
        <v>-3592</v>
      </c>
      <c r="N132" s="58">
        <v>775</v>
      </c>
      <c r="O132" s="58">
        <v>21151</v>
      </c>
      <c r="P132" s="58">
        <v>-8862</v>
      </c>
      <c r="Q132" s="58">
        <v>-3950</v>
      </c>
      <c r="R132" s="58">
        <v>-1003</v>
      </c>
      <c r="S132" s="58">
        <v>2473</v>
      </c>
      <c r="T132" s="58">
        <v>-67</v>
      </c>
      <c r="U132" s="58">
        <v>82</v>
      </c>
      <c r="V132" s="58">
        <v>-4557</v>
      </c>
    </row>
    <row r="133" spans="1:22" s="26" customFormat="1" x14ac:dyDescent="0.3">
      <c r="B133" s="26" t="s">
        <v>93</v>
      </c>
      <c r="L133" s="58">
        <v>0</v>
      </c>
      <c r="M133" s="58">
        <v>0</v>
      </c>
      <c r="N133" s="58">
        <v>0</v>
      </c>
      <c r="O133" s="58">
        <v>0</v>
      </c>
      <c r="P133" s="58">
        <v>-591</v>
      </c>
      <c r="Q133" s="58">
        <v>-878</v>
      </c>
      <c r="R133" s="58">
        <v>-1876</v>
      </c>
      <c r="S133" s="58">
        <v>-5198</v>
      </c>
      <c r="T133" s="58">
        <v>-677</v>
      </c>
      <c r="U133" s="58">
        <v>-663</v>
      </c>
      <c r="V133" s="58">
        <v>-513</v>
      </c>
    </row>
    <row r="134" spans="1:22" s="26" customFormat="1" x14ac:dyDescent="0.3">
      <c r="B134" s="26" t="s">
        <v>110</v>
      </c>
      <c r="L134" s="58">
        <v>-1990</v>
      </c>
      <c r="M134" s="58">
        <v>-4690</v>
      </c>
      <c r="N134" s="58">
        <v>-184</v>
      </c>
      <c r="O134" s="58">
        <v>50084</v>
      </c>
      <c r="P134" s="58">
        <v>-9993</v>
      </c>
      <c r="Q134" s="58">
        <v>-5409</v>
      </c>
      <c r="R134" s="58">
        <v>-3691</v>
      </c>
      <c r="S134" s="58">
        <v>-3589</v>
      </c>
      <c r="T134" s="58">
        <v>-1729</v>
      </c>
      <c r="U134" s="58">
        <v>-1815</v>
      </c>
      <c r="V134" s="58">
        <v>-6575</v>
      </c>
    </row>
    <row r="135" spans="1:22" s="26" customFormat="1" x14ac:dyDescent="0.3">
      <c r="B135" s="26" t="s">
        <v>32</v>
      </c>
      <c r="L135" s="58">
        <v>1500</v>
      </c>
      <c r="M135" s="58">
        <v>1940</v>
      </c>
      <c r="N135" s="58">
        <v>1708</v>
      </c>
      <c r="O135" s="58">
        <v>1351</v>
      </c>
      <c r="P135" s="58">
        <v>2065</v>
      </c>
      <c r="Q135" s="58">
        <v>2583</v>
      </c>
      <c r="R135" s="58">
        <v>2601</v>
      </c>
      <c r="S135" s="58">
        <v>2835</v>
      </c>
      <c r="T135" s="58">
        <v>5000</v>
      </c>
      <c r="U135" s="58">
        <v>3234</v>
      </c>
      <c r="V135" s="58">
        <v>2178</v>
      </c>
    </row>
    <row r="136" spans="1:22" s="26" customFormat="1" x14ac:dyDescent="0.3">
      <c r="B136" s="26" t="s">
        <v>111</v>
      </c>
      <c r="L136" s="58">
        <v>390</v>
      </c>
      <c r="M136" s="58">
        <v>-155</v>
      </c>
      <c r="N136" s="58">
        <v>-274</v>
      </c>
      <c r="O136" s="58">
        <v>743</v>
      </c>
      <c r="P136" s="58">
        <v>556</v>
      </c>
      <c r="Q136" s="58">
        <v>-230</v>
      </c>
      <c r="R136" s="58">
        <v>239</v>
      </c>
      <c r="S136" s="58">
        <v>2308</v>
      </c>
      <c r="T136" s="58">
        <v>-1599</v>
      </c>
      <c r="U136" s="58">
        <v>-1145</v>
      </c>
      <c r="V136" s="58">
        <v>947</v>
      </c>
    </row>
    <row r="137" spans="1:22" s="26" customFormat="1" x14ac:dyDescent="0.3">
      <c r="B137" s="26" t="s">
        <v>112</v>
      </c>
      <c r="L137" s="58">
        <v>50</v>
      </c>
      <c r="M137" s="58">
        <v>-77</v>
      </c>
      <c r="N137" s="58">
        <v>-83</v>
      </c>
      <c r="O137" s="58">
        <v>-29</v>
      </c>
      <c r="P137" s="58">
        <v>-38</v>
      </c>
      <c r="Q137" s="58">
        <v>248</v>
      </c>
      <c r="R137" s="58">
        <v>-5</v>
      </c>
      <c r="S137" s="58">
        <v>-84</v>
      </c>
      <c r="T137" s="58">
        <v>-167</v>
      </c>
      <c r="U137" s="58">
        <v>89</v>
      </c>
      <c r="V137" s="58">
        <v>-105</v>
      </c>
    </row>
    <row r="138" spans="1:22" s="26" customFormat="1" x14ac:dyDescent="0.3">
      <c r="B138" s="26" t="s">
        <v>33</v>
      </c>
      <c r="L138" s="58">
        <v>1940</v>
      </c>
      <c r="M138" s="58">
        <v>1708</v>
      </c>
      <c r="N138" s="58">
        <v>1351</v>
      </c>
      <c r="O138" s="58">
        <v>2065</v>
      </c>
      <c r="P138" s="58">
        <v>2583</v>
      </c>
      <c r="Q138" s="58">
        <v>2601</v>
      </c>
      <c r="R138" s="58">
        <v>2835</v>
      </c>
      <c r="S138" s="58">
        <v>5059</v>
      </c>
      <c r="T138" s="58">
        <v>3234</v>
      </c>
      <c r="U138" s="58">
        <v>2178</v>
      </c>
      <c r="V138" s="58">
        <v>3020</v>
      </c>
    </row>
    <row r="139" spans="1:22" s="25" customFormat="1" x14ac:dyDescent="0.3">
      <c r="A139" s="25" t="s">
        <v>136</v>
      </c>
      <c r="B139" s="25" t="s">
        <v>138</v>
      </c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</row>
    <row r="140" spans="1:22" s="26" customFormat="1" x14ac:dyDescent="0.3">
      <c r="B140" s="61" t="s">
        <v>52</v>
      </c>
      <c r="Q140" s="61"/>
    </row>
    <row r="141" spans="1:22" s="26" customFormat="1" x14ac:dyDescent="0.3">
      <c r="B141" s="61" t="s">
        <v>2</v>
      </c>
      <c r="G141" s="29">
        <v>39.799999237060547</v>
      </c>
      <c r="H141" s="29">
        <v>67</v>
      </c>
      <c r="I141" s="29">
        <v>78.599998474121094</v>
      </c>
      <c r="J141" s="29">
        <v>81.400001525878906</v>
      </c>
      <c r="K141" s="29">
        <v>92</v>
      </c>
      <c r="L141" s="29">
        <v>101.59999847412109</v>
      </c>
      <c r="M141" s="29">
        <v>100.69999694824219</v>
      </c>
      <c r="N141" s="29">
        <v>115.19999694824219</v>
      </c>
      <c r="O141" s="29">
        <v>126.80000305175781</v>
      </c>
      <c r="P141" s="29">
        <v>137</v>
      </c>
      <c r="Q141" s="29">
        <v>136.5</v>
      </c>
      <c r="R141" s="29">
        <v>139.80000305175781</v>
      </c>
      <c r="S141" s="29">
        <v>140.89999389648438</v>
      </c>
      <c r="T141" s="29">
        <v>138.69999694824219</v>
      </c>
      <c r="U141" s="29">
        <v>134.5</v>
      </c>
      <c r="V141" s="29">
        <v>131.80000305175781</v>
      </c>
    </row>
    <row r="142" spans="1:22" s="26" customFormat="1" x14ac:dyDescent="0.3">
      <c r="B142" s="57" t="s">
        <v>120</v>
      </c>
      <c r="G142" s="29">
        <v>14.800000190734863</v>
      </c>
      <c r="H142" s="29">
        <v>21.200000762939453</v>
      </c>
      <c r="I142" s="29">
        <v>20.899999618530273</v>
      </c>
      <c r="J142" s="29">
        <v>21.200000762939453</v>
      </c>
      <c r="K142" s="29">
        <v>19.399999618530273</v>
      </c>
      <c r="L142" s="29">
        <v>19.100000381469727</v>
      </c>
      <c r="M142" s="29">
        <v>20.200000762939453</v>
      </c>
      <c r="N142" s="29">
        <v>20.799999237060547</v>
      </c>
      <c r="O142" s="29">
        <v>22.299999237060547</v>
      </c>
      <c r="P142" s="29">
        <v>22.200000762939453</v>
      </c>
      <c r="Q142" s="29">
        <v>22.5</v>
      </c>
      <c r="R142" s="29">
        <v>22.200000762939453</v>
      </c>
      <c r="S142" s="29">
        <v>22</v>
      </c>
      <c r="T142" s="29">
        <v>21.5</v>
      </c>
      <c r="U142" s="29">
        <v>22.700000762939453</v>
      </c>
      <c r="V142" s="29">
        <v>23.299999237060547</v>
      </c>
    </row>
    <row r="143" spans="1:22" s="26" customFormat="1" x14ac:dyDescent="0.3">
      <c r="B143" s="61" t="s">
        <v>3</v>
      </c>
      <c r="G143" s="29">
        <v>25650</v>
      </c>
      <c r="H143" s="29">
        <v>34419</v>
      </c>
      <c r="I143" s="29">
        <v>35544</v>
      </c>
      <c r="J143" s="29">
        <v>34626</v>
      </c>
      <c r="K143" s="29">
        <v>35987</v>
      </c>
      <c r="L143" s="29">
        <v>38047</v>
      </c>
      <c r="M143" s="29">
        <v>41083</v>
      </c>
      <c r="N143" s="29">
        <v>44750</v>
      </c>
      <c r="O143" s="29">
        <v>59944</v>
      </c>
      <c r="P143" s="29">
        <v>59382</v>
      </c>
      <c r="Q143" s="29">
        <v>60054</v>
      </c>
      <c r="R143" s="29">
        <v>63561</v>
      </c>
      <c r="S143" s="29">
        <v>66468</v>
      </c>
      <c r="T143" s="29">
        <v>64350</v>
      </c>
      <c r="U143" s="29">
        <v>64506</v>
      </c>
      <c r="V143" s="29">
        <v>65354</v>
      </c>
    </row>
    <row r="144" spans="1:22" s="26" customFormat="1" x14ac:dyDescent="0.3">
      <c r="B144" s="57" t="s">
        <v>90</v>
      </c>
      <c r="G144" s="29">
        <v>1995</v>
      </c>
      <c r="H144" s="29">
        <v>3294</v>
      </c>
      <c r="I144" s="29">
        <v>3779</v>
      </c>
      <c r="J144" s="29">
        <v>3564</v>
      </c>
      <c r="K144" s="29">
        <v>3442</v>
      </c>
      <c r="L144" s="29">
        <v>3518</v>
      </c>
      <c r="M144" s="29">
        <v>4046</v>
      </c>
      <c r="N144" s="29">
        <v>5262</v>
      </c>
      <c r="O144" s="29">
        <v>7978</v>
      </c>
      <c r="P144" s="29">
        <v>9390</v>
      </c>
      <c r="Q144" s="29">
        <v>10249</v>
      </c>
      <c r="R144" s="29">
        <v>9816</v>
      </c>
      <c r="S144" s="29">
        <v>9793</v>
      </c>
      <c r="T144" s="29">
        <v>9723</v>
      </c>
      <c r="U144" s="29">
        <v>9230</v>
      </c>
      <c r="V144" s="29">
        <v>8457</v>
      </c>
    </row>
    <row r="145" spans="2:22" s="26" customFormat="1" x14ac:dyDescent="0.3">
      <c r="B145" s="57" t="s">
        <v>117</v>
      </c>
      <c r="G145" s="29">
        <v>0</v>
      </c>
      <c r="H145" s="29">
        <v>0</v>
      </c>
      <c r="I145" s="29">
        <v>0</v>
      </c>
      <c r="J145" s="29">
        <v>0</v>
      </c>
      <c r="K145" s="29">
        <v>0</v>
      </c>
      <c r="L145" s="29">
        <v>0</v>
      </c>
      <c r="M145" s="29">
        <v>0</v>
      </c>
      <c r="N145" s="29">
        <v>0</v>
      </c>
      <c r="O145" s="29">
        <v>0</v>
      </c>
      <c r="P145" s="29">
        <v>0</v>
      </c>
      <c r="Q145" s="29">
        <v>10249</v>
      </c>
      <c r="R145" s="29">
        <v>13600</v>
      </c>
      <c r="S145" s="29">
        <v>13812</v>
      </c>
      <c r="T145" s="29">
        <v>13592</v>
      </c>
      <c r="U145" s="29">
        <v>13338</v>
      </c>
      <c r="V145" s="29">
        <v>13213</v>
      </c>
    </row>
    <row r="146" spans="2:22" s="26" customFormat="1" x14ac:dyDescent="0.3">
      <c r="B146" s="61" t="s">
        <v>4</v>
      </c>
      <c r="G146" s="29">
        <v>363</v>
      </c>
      <c r="H146" s="29">
        <v>32</v>
      </c>
      <c r="I146" s="29">
        <v>-23</v>
      </c>
      <c r="J146" s="29">
        <v>-401</v>
      </c>
      <c r="K146" s="29">
        <v>-301</v>
      </c>
      <c r="L146" s="29">
        <v>-386</v>
      </c>
      <c r="M146" s="29">
        <v>-160</v>
      </c>
      <c r="N146" s="29">
        <v>-427</v>
      </c>
      <c r="O146" s="29">
        <v>-1641</v>
      </c>
      <c r="P146" s="29">
        <v>-695</v>
      </c>
      <c r="Q146" s="29">
        <v>-249</v>
      </c>
      <c r="R146" s="29">
        <v>-268</v>
      </c>
      <c r="S146" s="29">
        <v>85</v>
      </c>
      <c r="T146" s="29">
        <v>-435</v>
      </c>
      <c r="U146" s="29">
        <v>-1353</v>
      </c>
      <c r="V146" s="29">
        <v>-8659</v>
      </c>
    </row>
    <row r="147" spans="2:22" s="26" customFormat="1" x14ac:dyDescent="0.3">
      <c r="B147" s="57" t="s">
        <v>55</v>
      </c>
      <c r="G147" s="29">
        <v>-1664</v>
      </c>
      <c r="H147" s="29">
        <v>-303</v>
      </c>
      <c r="I147" s="29">
        <v>-375</v>
      </c>
      <c r="J147" s="29">
        <v>-379</v>
      </c>
      <c r="K147" s="29">
        <v>-976</v>
      </c>
      <c r="L147" s="29">
        <v>0</v>
      </c>
      <c r="M147" s="29">
        <v>0</v>
      </c>
      <c r="N147" s="29">
        <v>0</v>
      </c>
      <c r="O147" s="29">
        <v>0</v>
      </c>
      <c r="P147" s="29">
        <v>0</v>
      </c>
      <c r="Q147" s="29">
        <v>0</v>
      </c>
      <c r="R147" s="29">
        <v>0</v>
      </c>
      <c r="S147" s="29">
        <v>0</v>
      </c>
      <c r="T147" s="29">
        <v>0</v>
      </c>
      <c r="U147" s="29">
        <v>0</v>
      </c>
      <c r="V147" s="29">
        <v>0</v>
      </c>
    </row>
    <row r="148" spans="2:22" s="26" customFormat="1" x14ac:dyDescent="0.3">
      <c r="B148" s="61" t="s">
        <v>87</v>
      </c>
      <c r="G148" s="29">
        <v>-264</v>
      </c>
      <c r="H148" s="29">
        <v>-255</v>
      </c>
      <c r="I148" s="29">
        <v>-884</v>
      </c>
      <c r="J148" s="29">
        <v>-475</v>
      </c>
      <c r="K148" s="29">
        <v>-1079</v>
      </c>
      <c r="L148" s="29">
        <v>-1240</v>
      </c>
      <c r="M148" s="29">
        <v>-857</v>
      </c>
      <c r="N148" s="29">
        <v>-1201</v>
      </c>
      <c r="O148" s="29">
        <v>-3456</v>
      </c>
      <c r="P148" s="29">
        <v>-2990</v>
      </c>
      <c r="Q148" s="29">
        <v>-2155</v>
      </c>
      <c r="R148" s="29">
        <v>-2018</v>
      </c>
      <c r="S148" s="29">
        <v>-1772</v>
      </c>
      <c r="T148" s="29">
        <v>-1506</v>
      </c>
      <c r="U148" s="29">
        <v>-1191</v>
      </c>
      <c r="V148" s="29">
        <v>-1531</v>
      </c>
    </row>
    <row r="149" spans="2:22" s="26" customFormat="1" x14ac:dyDescent="0.3"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</row>
    <row r="150" spans="2:22" s="26" customFormat="1" x14ac:dyDescent="0.3">
      <c r="B150" s="57" t="s">
        <v>91</v>
      </c>
      <c r="G150" s="29">
        <v>2094</v>
      </c>
      <c r="H150" s="29">
        <v>3071</v>
      </c>
      <c r="I150" s="29">
        <v>2872</v>
      </c>
      <c r="J150" s="29">
        <v>2688</v>
      </c>
      <c r="K150" s="29">
        <v>2062</v>
      </c>
      <c r="L150" s="29">
        <v>1892</v>
      </c>
      <c r="M150" s="29">
        <v>3029</v>
      </c>
      <c r="N150" s="29">
        <v>3634</v>
      </c>
      <c r="O150" s="29">
        <v>2881</v>
      </c>
      <c r="P150" s="29">
        <v>5705</v>
      </c>
      <c r="Q150" s="29">
        <v>7845</v>
      </c>
      <c r="R150" s="29">
        <v>7530</v>
      </c>
      <c r="S150" s="29">
        <v>8106</v>
      </c>
      <c r="T150" s="29">
        <v>7782</v>
      </c>
      <c r="U150" s="29">
        <v>6686</v>
      </c>
      <c r="V150" s="29">
        <v>-1733</v>
      </c>
    </row>
    <row r="151" spans="2:22" s="26" customFormat="1" x14ac:dyDescent="0.3">
      <c r="B151" s="61" t="s">
        <v>45</v>
      </c>
      <c r="G151" s="29">
        <v>-547</v>
      </c>
      <c r="H151" s="29">
        <v>-617</v>
      </c>
      <c r="I151" s="29">
        <v>-723</v>
      </c>
      <c r="J151" s="29">
        <v>-590</v>
      </c>
      <c r="K151" s="29">
        <v>-459</v>
      </c>
      <c r="L151" s="29">
        <v>-521</v>
      </c>
      <c r="M151" s="29">
        <v>-858</v>
      </c>
      <c r="N151" s="29">
        <v>-1038</v>
      </c>
      <c r="O151" s="29">
        <v>312</v>
      </c>
      <c r="P151" s="29">
        <v>-1538</v>
      </c>
      <c r="Q151" s="29">
        <v>-1885</v>
      </c>
      <c r="R151" s="29">
        <v>-1838</v>
      </c>
      <c r="S151" s="29">
        <v>-1861</v>
      </c>
      <c r="T151" s="29">
        <v>-1833</v>
      </c>
      <c r="U151" s="29">
        <v>-1748</v>
      </c>
      <c r="V151" s="29">
        <v>-849</v>
      </c>
    </row>
    <row r="152" spans="2:22" s="26" customFormat="1" x14ac:dyDescent="0.3">
      <c r="B152" s="57" t="s">
        <v>92</v>
      </c>
      <c r="G152" s="29">
        <v>-117</v>
      </c>
      <c r="H152" s="29">
        <v>2151</v>
      </c>
      <c r="I152" s="29">
        <v>1774</v>
      </c>
      <c r="J152" s="29">
        <v>1719</v>
      </c>
      <c r="K152" s="29">
        <v>627</v>
      </c>
      <c r="L152" s="29">
        <v>1371</v>
      </c>
      <c r="M152" s="29">
        <v>2171</v>
      </c>
      <c r="N152" s="29">
        <v>2596</v>
      </c>
      <c r="O152" s="29">
        <v>3193</v>
      </c>
      <c r="P152" s="29">
        <v>4167</v>
      </c>
      <c r="Q152" s="29">
        <v>5960</v>
      </c>
      <c r="R152" s="29">
        <v>5692</v>
      </c>
      <c r="S152" s="29">
        <v>6245</v>
      </c>
      <c r="T152" s="29">
        <v>5949</v>
      </c>
      <c r="U152" s="29">
        <v>4938</v>
      </c>
      <c r="V152" s="29">
        <v>-2582</v>
      </c>
    </row>
    <row r="153" spans="2:22" s="26" customFormat="1" x14ac:dyDescent="0.3">
      <c r="B153" s="57" t="s">
        <v>99</v>
      </c>
      <c r="G153" s="29">
        <v>-151</v>
      </c>
      <c r="H153" s="29">
        <v>957</v>
      </c>
      <c r="I153" s="29">
        <v>763</v>
      </c>
      <c r="J153" s="29">
        <v>763</v>
      </c>
      <c r="K153" s="29">
        <v>150</v>
      </c>
      <c r="L153" s="29">
        <v>261</v>
      </c>
      <c r="M153" s="29">
        <v>287</v>
      </c>
      <c r="N153" s="29">
        <v>299</v>
      </c>
      <c r="O153" s="29">
        <v>572</v>
      </c>
      <c r="P153" s="29">
        <v>565</v>
      </c>
      <c r="Q153" s="29">
        <v>609</v>
      </c>
      <c r="R153" s="29">
        <v>543</v>
      </c>
      <c r="S153" s="29">
        <v>638</v>
      </c>
      <c r="T153" s="29">
        <v>478</v>
      </c>
      <c r="U153" s="29">
        <v>524</v>
      </c>
      <c r="V153" s="29">
        <v>344</v>
      </c>
    </row>
    <row r="154" spans="2:22" s="26" customFormat="1" x14ac:dyDescent="0.3">
      <c r="B154" s="57" t="s">
        <v>31</v>
      </c>
      <c r="G154" s="29">
        <v>34</v>
      </c>
      <c r="H154" s="29">
        <v>1194</v>
      </c>
      <c r="I154" s="29">
        <v>1011</v>
      </c>
      <c r="J154" s="29">
        <v>956</v>
      </c>
      <c r="K154" s="29">
        <v>477</v>
      </c>
      <c r="L154" s="29">
        <v>1110</v>
      </c>
      <c r="M154" s="29">
        <v>1884</v>
      </c>
      <c r="N154" s="29">
        <v>2297</v>
      </c>
      <c r="O154" s="29">
        <v>2621</v>
      </c>
      <c r="P154" s="29">
        <v>3602</v>
      </c>
      <c r="Q154" s="29">
        <v>5351</v>
      </c>
      <c r="R154" s="29">
        <v>5149</v>
      </c>
      <c r="S154" s="29">
        <v>5607</v>
      </c>
      <c r="T154" s="29">
        <v>5471</v>
      </c>
      <c r="U154" s="29">
        <v>4414</v>
      </c>
      <c r="V154" s="29">
        <v>-2926</v>
      </c>
    </row>
    <row r="155" spans="2:22" s="26" customFormat="1" x14ac:dyDescent="0.3">
      <c r="B155" s="26" t="s">
        <v>122</v>
      </c>
      <c r="G155" s="29">
        <v>1698</v>
      </c>
      <c r="H155" s="29">
        <v>1370</v>
      </c>
      <c r="I155" s="29">
        <v>1011</v>
      </c>
      <c r="J155" s="29">
        <v>1179</v>
      </c>
      <c r="K155" s="29">
        <v>1425</v>
      </c>
      <c r="L155" s="29">
        <v>1110</v>
      </c>
      <c r="M155" s="29">
        <v>1884</v>
      </c>
      <c r="N155" s="29">
        <v>2297</v>
      </c>
      <c r="O155" s="29">
        <v>4077</v>
      </c>
      <c r="P155" s="29">
        <v>4170</v>
      </c>
      <c r="Q155" s="29">
        <v>5425</v>
      </c>
      <c r="R155" s="29">
        <v>5203</v>
      </c>
      <c r="S155" s="29">
        <v>5504</v>
      </c>
      <c r="T155" s="29">
        <v>5772</v>
      </c>
      <c r="U155" s="29">
        <v>5496</v>
      </c>
      <c r="V155" s="29">
        <v>4557</v>
      </c>
    </row>
    <row r="156" spans="2:22" s="26" customFormat="1" x14ac:dyDescent="0.3">
      <c r="B156" s="57" t="s">
        <v>100</v>
      </c>
      <c r="G156" s="29">
        <v>40168</v>
      </c>
      <c r="H156" s="29">
        <v>47455</v>
      </c>
      <c r="I156" s="29">
        <v>46523</v>
      </c>
      <c r="J156" s="29">
        <v>46712</v>
      </c>
      <c r="K156" s="29">
        <v>56731</v>
      </c>
      <c r="L156" s="29">
        <v>62359</v>
      </c>
      <c r="M156" s="29">
        <v>58451</v>
      </c>
      <c r="N156" s="29">
        <v>61220</v>
      </c>
      <c r="O156" s="29">
        <v>142639</v>
      </c>
      <c r="P156" s="29">
        <v>134515</v>
      </c>
      <c r="Q156" s="29">
        <v>144250</v>
      </c>
      <c r="R156" s="29">
        <v>147714</v>
      </c>
      <c r="S156" s="29">
        <v>153961</v>
      </c>
      <c r="T156" s="29">
        <v>152308</v>
      </c>
      <c r="U156" s="29">
        <v>137458</v>
      </c>
      <c r="V156" s="29">
        <v>124901</v>
      </c>
    </row>
    <row r="157" spans="2:22" s="26" customFormat="1" x14ac:dyDescent="0.3">
      <c r="B157" s="57" t="s">
        <v>38</v>
      </c>
      <c r="G157" s="29">
        <v>12529</v>
      </c>
      <c r="H157" s="29">
        <v>12041</v>
      </c>
      <c r="I157" s="29">
        <v>10836</v>
      </c>
      <c r="J157" s="29">
        <v>11276</v>
      </c>
      <c r="K157" s="29">
        <v>14410</v>
      </c>
      <c r="L157" s="29">
        <v>17968</v>
      </c>
      <c r="M157" s="29">
        <v>17597</v>
      </c>
      <c r="N157" s="29">
        <v>18621</v>
      </c>
      <c r="O157" s="29">
        <v>54750</v>
      </c>
      <c r="P157" s="29">
        <v>54829</v>
      </c>
      <c r="Q157" s="29">
        <v>64248</v>
      </c>
      <c r="R157" s="29">
        <v>65866</v>
      </c>
      <c r="S157" s="29">
        <v>70261</v>
      </c>
      <c r="T157" s="29">
        <v>67811</v>
      </c>
      <c r="U157" s="29">
        <v>52437</v>
      </c>
      <c r="V157" s="29">
        <v>43489</v>
      </c>
    </row>
    <row r="158" spans="2:22" s="26" customFormat="1" x14ac:dyDescent="0.3">
      <c r="B158" s="61" t="s">
        <v>7</v>
      </c>
      <c r="G158" s="29">
        <v>10309</v>
      </c>
      <c r="H158" s="29">
        <v>10918</v>
      </c>
      <c r="I158" s="29">
        <v>10923</v>
      </c>
      <c r="J158" s="29">
        <v>8929</v>
      </c>
      <c r="K158" s="29">
        <v>21733</v>
      </c>
      <c r="L158" s="29">
        <v>20753</v>
      </c>
      <c r="M158" s="29">
        <v>19229</v>
      </c>
      <c r="N158" s="29">
        <v>19726</v>
      </c>
      <c r="O158" s="29">
        <v>44156</v>
      </c>
      <c r="P158" s="29">
        <v>35679</v>
      </c>
      <c r="Q158" s="29">
        <v>32743</v>
      </c>
      <c r="R158" s="29">
        <v>32460</v>
      </c>
      <c r="S158" s="29">
        <v>32480</v>
      </c>
      <c r="T158" s="29">
        <v>34610</v>
      </c>
      <c r="U158" s="29">
        <v>36567</v>
      </c>
      <c r="V158" s="29">
        <v>30945</v>
      </c>
    </row>
    <row r="159" spans="2:22" s="26" customFormat="1" ht="12.5" thickBot="1" x14ac:dyDescent="0.35">
      <c r="B159" s="67" t="s">
        <v>6</v>
      </c>
      <c r="C159" s="68"/>
      <c r="D159" s="68"/>
      <c r="E159" s="68"/>
      <c r="F159" s="68"/>
      <c r="G159" s="95">
        <v>26636</v>
      </c>
      <c r="H159" s="95">
        <v>32195</v>
      </c>
      <c r="I159" s="95">
        <v>30971</v>
      </c>
      <c r="J159" s="95">
        <v>29255</v>
      </c>
      <c r="K159" s="95">
        <v>43198</v>
      </c>
      <c r="L159" s="95">
        <v>42734</v>
      </c>
      <c r="M159" s="95">
        <v>43160</v>
      </c>
      <c r="N159" s="95">
        <v>45394</v>
      </c>
      <c r="O159" s="95">
        <v>118643</v>
      </c>
      <c r="P159" s="95">
        <v>109538</v>
      </c>
      <c r="Q159" s="95">
        <v>117119</v>
      </c>
      <c r="R159" s="95">
        <v>118196</v>
      </c>
      <c r="S159" s="95">
        <v>121467</v>
      </c>
      <c r="T159" s="95">
        <v>119112</v>
      </c>
      <c r="U159" s="95">
        <v>104006</v>
      </c>
      <c r="V159" s="95">
        <v>90102</v>
      </c>
    </row>
    <row r="160" spans="2:22" s="26" customFormat="1" x14ac:dyDescent="0.3">
      <c r="B160" s="61" t="s">
        <v>130</v>
      </c>
      <c r="G160" s="29">
        <v>0</v>
      </c>
      <c r="H160" s="29">
        <v>0</v>
      </c>
      <c r="I160" s="29">
        <v>0</v>
      </c>
      <c r="J160" s="29">
        <v>0</v>
      </c>
      <c r="K160" s="29">
        <v>0</v>
      </c>
      <c r="L160" s="29">
        <v>0</v>
      </c>
      <c r="M160" s="29">
        <v>0</v>
      </c>
      <c r="N160" s="29">
        <v>0</v>
      </c>
      <c r="O160" s="29">
        <v>0</v>
      </c>
      <c r="P160" s="29">
        <v>0</v>
      </c>
      <c r="Q160" s="29">
        <v>66281</v>
      </c>
      <c r="R160" s="29">
        <v>62199</v>
      </c>
      <c r="S160" s="29">
        <v>67553</v>
      </c>
      <c r="T160" s="29">
        <v>61946</v>
      </c>
      <c r="U160" s="29">
        <v>51143</v>
      </c>
      <c r="V160" s="29">
        <v>39832</v>
      </c>
    </row>
    <row r="161" spans="2:22" s="26" customFormat="1" x14ac:dyDescent="0.3">
      <c r="B161" s="26" t="s">
        <v>8</v>
      </c>
      <c r="D161" s="33"/>
      <c r="E161" s="33"/>
      <c r="F161" s="33"/>
      <c r="G161" s="29">
        <v>7.5</v>
      </c>
      <c r="H161" s="29">
        <v>10.199999809265137</v>
      </c>
      <c r="I161" s="29">
        <v>12.199999809265137</v>
      </c>
      <c r="J161" s="29">
        <v>12.199999809265137</v>
      </c>
      <c r="K161" s="29">
        <v>8</v>
      </c>
      <c r="L161" s="29">
        <v>7.8000001907348633</v>
      </c>
      <c r="M161" s="29">
        <v>9.1999998092651367</v>
      </c>
      <c r="N161" s="29">
        <v>11.699999809265137</v>
      </c>
      <c r="O161" s="29">
        <v>8.1999998092651367</v>
      </c>
      <c r="P161" s="29">
        <v>8.1999998092651367</v>
      </c>
      <c r="Q161" s="29">
        <v>8.8000001907348633</v>
      </c>
      <c r="R161" s="29">
        <v>8.3999996185302734</v>
      </c>
      <c r="S161" s="29">
        <v>8</v>
      </c>
      <c r="T161" s="29">
        <v>8.1000003814697266</v>
      </c>
      <c r="U161" s="29">
        <v>8</v>
      </c>
      <c r="V161" s="29">
        <v>8.1000003814697266</v>
      </c>
    </row>
    <row r="162" spans="2:22" s="26" customFormat="1" x14ac:dyDescent="0.3">
      <c r="B162" s="26" t="s">
        <v>129</v>
      </c>
      <c r="D162" s="33"/>
      <c r="E162" s="33"/>
      <c r="F162" s="33"/>
      <c r="G162" s="29">
        <v>0</v>
      </c>
      <c r="H162" s="29">
        <v>0</v>
      </c>
      <c r="I162" s="29">
        <v>0</v>
      </c>
      <c r="J162" s="29">
        <v>0</v>
      </c>
      <c r="K162" s="29">
        <v>0</v>
      </c>
      <c r="L162" s="29">
        <v>0</v>
      </c>
      <c r="M162" s="29">
        <v>0</v>
      </c>
      <c r="N162" s="29">
        <v>0</v>
      </c>
      <c r="O162" s="29">
        <v>0</v>
      </c>
      <c r="P162" s="29">
        <v>0</v>
      </c>
      <c r="Q162" s="29">
        <v>15.399999618530273</v>
      </c>
      <c r="R162" s="29">
        <v>14.699999809265137</v>
      </c>
      <c r="S162" s="29">
        <v>14.300000190734863</v>
      </c>
      <c r="T162" s="29">
        <v>14.5</v>
      </c>
      <c r="U162" s="29">
        <v>15.300000190734863</v>
      </c>
      <c r="V162" s="29">
        <v>16.899999618530273</v>
      </c>
    </row>
    <row r="163" spans="2:22" s="26" customFormat="1" x14ac:dyDescent="0.3">
      <c r="B163" s="61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</row>
    <row r="164" spans="2:22" s="26" customFormat="1" x14ac:dyDescent="0.3">
      <c r="B164" s="61" t="s">
        <v>96</v>
      </c>
      <c r="G164" s="29">
        <v>-3752</v>
      </c>
      <c r="H164" s="29">
        <v>-1299</v>
      </c>
      <c r="I164" s="29">
        <v>1604</v>
      </c>
      <c r="J164" s="29">
        <v>2613</v>
      </c>
      <c r="K164" s="29">
        <v>1512</v>
      </c>
      <c r="L164" s="29">
        <v>2380</v>
      </c>
      <c r="M164" s="29">
        <v>4535</v>
      </c>
      <c r="N164" s="29">
        <v>-90</v>
      </c>
      <c r="O164" s="29">
        <v>-49341</v>
      </c>
      <c r="P164" s="29">
        <v>10549</v>
      </c>
      <c r="Q164" s="29">
        <v>5179</v>
      </c>
      <c r="R164" s="29">
        <v>3930</v>
      </c>
      <c r="S164" s="29">
        <v>5897</v>
      </c>
      <c r="T164" s="29">
        <v>130</v>
      </c>
      <c r="U164" s="29">
        <v>670</v>
      </c>
      <c r="V164" s="29">
        <v>7522</v>
      </c>
    </row>
    <row r="165" spans="2:22" s="26" customFormat="1" x14ac:dyDescent="0.3">
      <c r="B165" s="61" t="s">
        <v>128</v>
      </c>
      <c r="G165" s="29">
        <v>0</v>
      </c>
      <c r="H165" s="29">
        <v>0</v>
      </c>
      <c r="I165" s="29">
        <v>0</v>
      </c>
      <c r="J165" s="29">
        <v>0</v>
      </c>
      <c r="K165" s="29">
        <v>0</v>
      </c>
      <c r="L165" s="29">
        <v>0</v>
      </c>
      <c r="M165" s="29">
        <v>0</v>
      </c>
      <c r="N165" s="29">
        <v>4837</v>
      </c>
      <c r="O165" s="29">
        <v>0</v>
      </c>
      <c r="P165" s="29">
        <v>0</v>
      </c>
      <c r="Q165" s="33"/>
      <c r="R165" s="29">
        <v>8813</v>
      </c>
      <c r="S165" s="29">
        <v>9871</v>
      </c>
      <c r="T165" s="29">
        <v>8142</v>
      </c>
      <c r="U165" s="29">
        <v>7405</v>
      </c>
      <c r="V165" s="29">
        <v>10140</v>
      </c>
    </row>
    <row r="166" spans="2:22" s="26" customFormat="1" x14ac:dyDescent="0.3">
      <c r="B166" s="61" t="s">
        <v>60</v>
      </c>
      <c r="G166" s="29">
        <v>0</v>
      </c>
      <c r="H166" s="29">
        <v>0</v>
      </c>
      <c r="I166" s="29">
        <v>0</v>
      </c>
      <c r="J166" s="29">
        <v>0</v>
      </c>
      <c r="K166" s="29">
        <v>0</v>
      </c>
      <c r="L166" s="29">
        <v>0</v>
      </c>
      <c r="M166" s="29">
        <v>0</v>
      </c>
      <c r="N166" s="29">
        <v>-179</v>
      </c>
      <c r="O166" s="29">
        <v>-51438</v>
      </c>
      <c r="P166" s="29">
        <v>95</v>
      </c>
      <c r="Q166" s="29">
        <v>-477</v>
      </c>
      <c r="R166" s="29">
        <v>-260</v>
      </c>
      <c r="S166" s="29">
        <v>-27</v>
      </c>
      <c r="T166" s="29">
        <v>-2314</v>
      </c>
      <c r="U166" s="29">
        <v>-1681</v>
      </c>
      <c r="V166" s="29">
        <v>-33</v>
      </c>
    </row>
    <row r="167" spans="2:22" s="26" customFormat="1" x14ac:dyDescent="0.3">
      <c r="B167" s="61" t="s">
        <v>94</v>
      </c>
      <c r="G167" s="29">
        <v>2305</v>
      </c>
      <c r="H167" s="29">
        <v>2215</v>
      </c>
      <c r="I167" s="29">
        <v>5550</v>
      </c>
      <c r="J167" s="29">
        <v>4517</v>
      </c>
      <c r="K167" s="29">
        <v>3806</v>
      </c>
      <c r="L167" s="29">
        <v>4734</v>
      </c>
      <c r="M167" s="29">
        <v>4470</v>
      </c>
      <c r="N167" s="29">
        <v>0</v>
      </c>
      <c r="O167" s="29">
        <v>7812</v>
      </c>
      <c r="P167" s="29">
        <v>13631</v>
      </c>
      <c r="Q167" s="29">
        <v>11020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</row>
    <row r="168" spans="2:22" s="26" customFormat="1" x14ac:dyDescent="0.3">
      <c r="B168" s="57" t="s">
        <v>57</v>
      </c>
      <c r="G168" s="29">
        <v>2770</v>
      </c>
      <c r="H168" s="29">
        <v>3551</v>
      </c>
      <c r="I168" s="29">
        <v>2991</v>
      </c>
      <c r="J168" s="29">
        <v>1218</v>
      </c>
      <c r="K168" s="29">
        <v>1141</v>
      </c>
      <c r="L168" s="29">
        <v>0</v>
      </c>
      <c r="M168" s="29">
        <v>2864</v>
      </c>
      <c r="N168" s="29">
        <v>0</v>
      </c>
      <c r="O168" s="29">
        <v>0</v>
      </c>
      <c r="P168" s="29">
        <v>0</v>
      </c>
      <c r="Q168" s="29">
        <v>0</v>
      </c>
      <c r="R168" s="29">
        <v>0</v>
      </c>
      <c r="S168" s="29">
        <v>0</v>
      </c>
      <c r="T168" s="29">
        <v>0</v>
      </c>
      <c r="U168" s="29">
        <v>0</v>
      </c>
      <c r="V168" s="29">
        <v>0</v>
      </c>
    </row>
    <row r="169" spans="2:22" s="26" customFormat="1" x14ac:dyDescent="0.3">
      <c r="B169" s="57" t="s">
        <v>89</v>
      </c>
      <c r="G169" s="29">
        <v>4309</v>
      </c>
      <c r="H169" s="29">
        <v>1996</v>
      </c>
      <c r="I169" s="29">
        <v>1131</v>
      </c>
      <c r="J169" s="29">
        <v>143</v>
      </c>
      <c r="K169" s="29">
        <v>4252</v>
      </c>
      <c r="L169" s="29">
        <v>1323</v>
      </c>
      <c r="M169" s="29">
        <v>-18</v>
      </c>
      <c r="N169" s="29">
        <v>-4596</v>
      </c>
      <c r="O169" s="29">
        <v>-4669</v>
      </c>
      <c r="P169" s="29">
        <v>-2342</v>
      </c>
      <c r="Q169" s="29">
        <v>-2197</v>
      </c>
      <c r="R169" s="29">
        <v>-3618</v>
      </c>
      <c r="S169" s="29">
        <v>-2264</v>
      </c>
      <c r="T169" s="29">
        <v>-4522</v>
      </c>
      <c r="U169" s="29">
        <v>-4828</v>
      </c>
      <c r="V169" s="29">
        <v>-2439</v>
      </c>
    </row>
    <row r="170" spans="2:22" s="26" customFormat="1" x14ac:dyDescent="0.3">
      <c r="B170" s="26" t="s">
        <v>95</v>
      </c>
      <c r="G170" s="29">
        <v>-6057</v>
      </c>
      <c r="H170" s="29">
        <v>-3514</v>
      </c>
      <c r="I170" s="29">
        <v>-3946</v>
      </c>
      <c r="J170" s="29">
        <v>-1904</v>
      </c>
      <c r="K170" s="29">
        <v>-2294</v>
      </c>
      <c r="L170" s="29">
        <v>-2354</v>
      </c>
      <c r="M170" s="29">
        <v>65</v>
      </c>
      <c r="N170" s="29">
        <v>-4927</v>
      </c>
      <c r="O170" s="29">
        <v>-57153</v>
      </c>
      <c r="P170" s="29">
        <v>-3082</v>
      </c>
      <c r="Q170" s="29">
        <v>-5841</v>
      </c>
      <c r="R170" s="29">
        <v>-4883</v>
      </c>
      <c r="S170" s="29">
        <v>-3974</v>
      </c>
      <c r="T170" s="29">
        <v>-8012</v>
      </c>
      <c r="U170" s="29">
        <v>-6735</v>
      </c>
      <c r="V170" s="29">
        <v>-2618</v>
      </c>
    </row>
    <row r="171" spans="2:22" s="26" customFormat="1" x14ac:dyDescent="0.3"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</row>
    <row r="172" spans="2:22" s="26" customFormat="1" x14ac:dyDescent="0.3">
      <c r="B172" s="61" t="s">
        <v>58</v>
      </c>
      <c r="G172" s="29">
        <v>7.8000001907348633</v>
      </c>
      <c r="H172" s="29">
        <v>9.6000003814697266</v>
      </c>
      <c r="I172" s="29">
        <v>10.600000381469727</v>
      </c>
      <c r="J172" s="29">
        <v>10.300000190734863</v>
      </c>
      <c r="K172" s="29">
        <v>9.6000003814697266</v>
      </c>
      <c r="L172" s="29">
        <v>9.1999998092651367</v>
      </c>
      <c r="M172" s="29">
        <v>9.8000001907348633</v>
      </c>
      <c r="N172" s="29">
        <v>11.800000190734863</v>
      </c>
      <c r="O172" s="29">
        <v>13.300000190734863</v>
      </c>
      <c r="P172" s="29">
        <v>15.800000190734863</v>
      </c>
      <c r="Q172" s="29">
        <v>17.100000381469727</v>
      </c>
      <c r="R172" s="29">
        <v>15.399999618530273</v>
      </c>
      <c r="S172" s="29">
        <v>14.600000381469727</v>
      </c>
      <c r="T172" s="29">
        <v>15.100000381469727</v>
      </c>
      <c r="U172" s="29">
        <v>14.300000190734863</v>
      </c>
      <c r="V172" s="29">
        <v>12.899999618530273</v>
      </c>
    </row>
    <row r="173" spans="2:22" s="26" customFormat="1" x14ac:dyDescent="0.3">
      <c r="B173" s="57" t="s">
        <v>124</v>
      </c>
      <c r="G173" s="29">
        <v>0.81999999284744263</v>
      </c>
      <c r="H173" s="29">
        <v>0.9100000262260437</v>
      </c>
      <c r="I173" s="29">
        <v>1.0099999904632568</v>
      </c>
      <c r="J173" s="29">
        <v>0.79000002145767212</v>
      </c>
      <c r="K173" s="29">
        <v>1.5099999904632568</v>
      </c>
      <c r="L173" s="29">
        <v>1.059999942779541</v>
      </c>
      <c r="M173" s="29">
        <v>1.0900000333786011</v>
      </c>
      <c r="N173" s="29">
        <v>0.99000000953674316</v>
      </c>
      <c r="O173" s="29">
        <v>0.74000000953674316</v>
      </c>
      <c r="P173" s="29">
        <v>0.60000002384185791</v>
      </c>
      <c r="Q173" s="29">
        <v>0.4699999988079071</v>
      </c>
      <c r="R173" s="29">
        <v>0.44999998807907104</v>
      </c>
      <c r="S173" s="29">
        <v>0.43999999761581421</v>
      </c>
      <c r="T173" s="29">
        <v>0.47999998927116394</v>
      </c>
      <c r="U173" s="29">
        <v>0.64999997615814209</v>
      </c>
      <c r="V173" s="29">
        <v>0.6600000262260437</v>
      </c>
    </row>
    <row r="174" spans="2:22" s="26" customFormat="1" x14ac:dyDescent="0.3">
      <c r="B174" s="26" t="s">
        <v>125</v>
      </c>
      <c r="G174" s="29">
        <v>0</v>
      </c>
      <c r="H174" s="29">
        <v>0</v>
      </c>
      <c r="I174" s="29">
        <v>1.7000000476837158</v>
      </c>
      <c r="J174" s="29">
        <v>0</v>
      </c>
      <c r="K174" s="29">
        <v>0</v>
      </c>
      <c r="L174" s="29">
        <v>3.2899999618530273</v>
      </c>
      <c r="M174" s="29">
        <v>2.7300000190734863</v>
      </c>
      <c r="N174" s="29">
        <v>2.4300000667572021</v>
      </c>
      <c r="O174" s="29">
        <v>3.7999999523162842</v>
      </c>
      <c r="P174" s="29">
        <v>2.7100000381469727</v>
      </c>
      <c r="Q174" s="29">
        <v>2.2999999523162842</v>
      </c>
      <c r="R174" s="29">
        <v>2.3900001049041748</v>
      </c>
      <c r="S174" s="29">
        <v>2.3499999046325684</v>
      </c>
      <c r="T174" s="29">
        <v>2.5499999523162842</v>
      </c>
      <c r="U174" s="29">
        <v>2.7400000095367432</v>
      </c>
      <c r="V174" s="29">
        <v>2.3399999141693115</v>
      </c>
    </row>
    <row r="175" spans="2:22" s="26" customFormat="1" x14ac:dyDescent="0.3">
      <c r="B175" s="26" t="s">
        <v>9</v>
      </c>
      <c r="G175" s="29">
        <v>7.559999942779541</v>
      </c>
      <c r="H175" s="29">
        <v>12.920000076293945</v>
      </c>
      <c r="I175" s="29">
        <v>4.2699999809265137</v>
      </c>
      <c r="J175" s="29">
        <v>7.5</v>
      </c>
      <c r="K175" s="29">
        <v>3.190000057220459</v>
      </c>
      <c r="L175" s="29">
        <v>2.8399999141693115</v>
      </c>
      <c r="M175" s="29">
        <v>4.7199997901916504</v>
      </c>
      <c r="N175" s="29">
        <v>4.380000114440918</v>
      </c>
      <c r="O175" s="29">
        <v>2.309999942779541</v>
      </c>
      <c r="P175" s="29">
        <v>3.1400001049041748</v>
      </c>
      <c r="Q175" s="29">
        <v>4.7600002288818359</v>
      </c>
      <c r="R175" s="29">
        <v>4.8600001335144043</v>
      </c>
      <c r="S175" s="29">
        <v>5.5300002098083496</v>
      </c>
      <c r="T175" s="29">
        <v>6.4600000381469727</v>
      </c>
      <c r="U175" s="29">
        <v>7.75</v>
      </c>
      <c r="V175" s="29">
        <v>5.5300002098083496</v>
      </c>
    </row>
    <row r="176" spans="2:22" s="26" customFormat="1" x14ac:dyDescent="0.3">
      <c r="B176" s="26" t="s">
        <v>54</v>
      </c>
      <c r="G176" s="29">
        <v>31.200000762939453</v>
      </c>
      <c r="H176" s="29">
        <v>25.399999618530273</v>
      </c>
      <c r="I176" s="29">
        <v>23.299999237060547</v>
      </c>
      <c r="J176" s="29">
        <v>24.100000381469727</v>
      </c>
      <c r="K176" s="29">
        <v>25.399999618530273</v>
      </c>
      <c r="L176" s="29">
        <v>31.299999237060547</v>
      </c>
      <c r="M176" s="29">
        <v>30.100000381469727</v>
      </c>
      <c r="N176" s="29">
        <v>30.399999618530273</v>
      </c>
      <c r="O176" s="29">
        <v>38.400001525878906</v>
      </c>
      <c r="P176" s="29">
        <v>40.799999237060547</v>
      </c>
      <c r="Q176" s="29">
        <v>44.5</v>
      </c>
      <c r="R176" s="29">
        <v>44.599998474121094</v>
      </c>
      <c r="S176" s="29">
        <v>45.599998474121094</v>
      </c>
      <c r="T176" s="29">
        <v>45.200000762939453</v>
      </c>
      <c r="U176" s="29">
        <v>38.299999237060547</v>
      </c>
      <c r="V176" s="29">
        <v>34.799999237060547</v>
      </c>
    </row>
    <row r="177" spans="2:22" s="26" customFormat="1" x14ac:dyDescent="0.3"/>
    <row r="178" spans="2:22" s="26" customFormat="1" x14ac:dyDescent="0.3">
      <c r="B178" s="26" t="s">
        <v>15</v>
      </c>
      <c r="G178" s="29">
        <v>0.5</v>
      </c>
      <c r="H178" s="29">
        <v>18.700000762939453</v>
      </c>
      <c r="I178" s="29">
        <v>16.600000381469727</v>
      </c>
      <c r="J178" s="29">
        <v>15.699999809265137</v>
      </c>
      <c r="K178" s="29">
        <v>6.6999998092651367</v>
      </c>
      <c r="L178" s="29">
        <v>11.699999809265137</v>
      </c>
      <c r="M178" s="29">
        <v>24.700000762939453</v>
      </c>
      <c r="N178" s="29">
        <v>24.299999237060547</v>
      </c>
      <c r="O178" s="29">
        <v>22.100000381469727</v>
      </c>
      <c r="P178" s="29">
        <v>23.600000381469727</v>
      </c>
      <c r="Q178" s="29">
        <v>35.099998474121094</v>
      </c>
      <c r="R178" s="29">
        <v>33.799999237060547</v>
      </c>
      <c r="S178" s="29">
        <v>36.799999237060547</v>
      </c>
      <c r="T178" s="29">
        <v>35.900001525878906</v>
      </c>
      <c r="U178" s="29">
        <v>28.899999618530273</v>
      </c>
      <c r="V178" s="29">
        <v>-19.200000762939453</v>
      </c>
    </row>
    <row r="179" spans="2:22" s="26" customFormat="1" x14ac:dyDescent="0.3">
      <c r="B179" s="26" t="s">
        <v>123</v>
      </c>
      <c r="G179" s="29">
        <v>0</v>
      </c>
      <c r="H179" s="29">
        <v>0</v>
      </c>
      <c r="I179" s="29">
        <v>0</v>
      </c>
      <c r="J179" s="29">
        <v>0</v>
      </c>
      <c r="K179" s="29">
        <v>0</v>
      </c>
      <c r="L179" s="29">
        <v>0</v>
      </c>
      <c r="M179" s="29">
        <v>0</v>
      </c>
      <c r="N179" s="29">
        <v>0</v>
      </c>
      <c r="O179" s="29">
        <v>34.299999237060547</v>
      </c>
      <c r="P179" s="29">
        <v>27.299999237060547</v>
      </c>
      <c r="Q179" s="29">
        <v>35.599998474121094</v>
      </c>
      <c r="R179" s="29">
        <v>34.099998474121094</v>
      </c>
      <c r="S179" s="29">
        <v>36.099998474121094</v>
      </c>
      <c r="T179" s="29">
        <v>37.799999237060547</v>
      </c>
      <c r="U179" s="29">
        <v>36</v>
      </c>
      <c r="V179" s="29">
        <v>29.899999618530273</v>
      </c>
    </row>
    <row r="180" spans="2:22" s="26" customFormat="1" x14ac:dyDescent="0.3">
      <c r="B180" s="26" t="s">
        <v>10</v>
      </c>
      <c r="G180" s="29">
        <v>14</v>
      </c>
      <c r="H180" s="29">
        <v>21.5</v>
      </c>
      <c r="I180" s="29">
        <v>0</v>
      </c>
      <c r="J180" s="29">
        <v>19.399999618530273</v>
      </c>
      <c r="K180" s="29">
        <v>20.100000381469727</v>
      </c>
      <c r="L180" s="29">
        <v>0</v>
      </c>
      <c r="M180" s="29">
        <v>0</v>
      </c>
      <c r="N180" s="29">
        <v>0</v>
      </c>
      <c r="O180" s="29">
        <v>0</v>
      </c>
      <c r="P180" s="29">
        <v>0</v>
      </c>
      <c r="Q180" s="29">
        <v>0</v>
      </c>
      <c r="R180" s="29">
        <v>0</v>
      </c>
      <c r="S180" s="29">
        <v>0</v>
      </c>
      <c r="T180" s="29">
        <v>0</v>
      </c>
      <c r="U180" s="29">
        <v>0</v>
      </c>
      <c r="V180" s="29">
        <v>0</v>
      </c>
    </row>
    <row r="181" spans="2:22" s="26" customFormat="1" x14ac:dyDescent="0.3">
      <c r="B181" s="26" t="s">
        <v>11</v>
      </c>
      <c r="G181" s="29">
        <v>5.4000000953674316</v>
      </c>
      <c r="H181" s="29">
        <v>5</v>
      </c>
      <c r="I181" s="29">
        <v>5</v>
      </c>
      <c r="J181" s="29">
        <v>5</v>
      </c>
      <c r="K181" s="29">
        <v>5</v>
      </c>
      <c r="L181" s="29">
        <v>4</v>
      </c>
      <c r="M181" s="29">
        <v>6</v>
      </c>
      <c r="N181" s="29">
        <v>4.8000001907348633</v>
      </c>
      <c r="O181" s="29">
        <v>3.5</v>
      </c>
      <c r="P181" s="29">
        <v>3.5</v>
      </c>
      <c r="Q181" s="29">
        <v>5</v>
      </c>
      <c r="R181" s="29">
        <v>5.5</v>
      </c>
      <c r="S181" s="29">
        <v>6</v>
      </c>
      <c r="T181" s="29">
        <v>8</v>
      </c>
      <c r="U181" s="29">
        <v>9</v>
      </c>
      <c r="V181" s="29">
        <v>9</v>
      </c>
    </row>
    <row r="182" spans="2:22" s="26" customFormat="1" x14ac:dyDescent="0.3">
      <c r="B182" s="26" t="s">
        <v>98</v>
      </c>
      <c r="G182" s="29">
        <v>0</v>
      </c>
      <c r="H182" s="29">
        <v>0</v>
      </c>
      <c r="I182" s="29">
        <v>26.399999618530273</v>
      </c>
      <c r="J182" s="29">
        <v>0</v>
      </c>
      <c r="K182" s="29">
        <v>0</v>
      </c>
      <c r="L182" s="29">
        <v>25.200000762939453</v>
      </c>
      <c r="M182" s="29">
        <v>59.5</v>
      </c>
      <c r="N182" s="29">
        <v>-1</v>
      </c>
      <c r="O182" s="29">
        <v>-415.39999389648438</v>
      </c>
      <c r="P182" s="29">
        <v>69.099998474121094</v>
      </c>
      <c r="Q182" s="29">
        <v>33.900001525878906</v>
      </c>
      <c r="R182" s="29">
        <v>25.700000762939453</v>
      </c>
      <c r="S182" s="29">
        <v>38.599998474121094</v>
      </c>
      <c r="T182" s="29">
        <v>0.89999997615814209</v>
      </c>
      <c r="U182" s="29">
        <v>4.4000000953674316</v>
      </c>
      <c r="V182" s="29">
        <v>49.200000762939453</v>
      </c>
    </row>
    <row r="183" spans="2:22" s="26" customFormat="1" x14ac:dyDescent="0.3">
      <c r="B183" s="26" t="s">
        <v>97</v>
      </c>
      <c r="G183" s="29">
        <v>40.400001525878906</v>
      </c>
      <c r="H183" s="29">
        <v>34.700000762939453</v>
      </c>
      <c r="I183" s="29">
        <v>91.199996948242188</v>
      </c>
      <c r="J183" s="29">
        <v>74.199996948242188</v>
      </c>
      <c r="K183" s="29">
        <v>53.599998474121094</v>
      </c>
      <c r="L183" s="29">
        <v>50.099998474121094</v>
      </c>
      <c r="M183" s="29">
        <v>58.599998474121094</v>
      </c>
      <c r="N183" s="29">
        <v>51.200000762939453</v>
      </c>
      <c r="O183" s="29">
        <v>65.800003051757813</v>
      </c>
      <c r="P183" s="29">
        <v>89.300003051757813</v>
      </c>
      <c r="Q183" s="29">
        <v>72.099998474121094</v>
      </c>
      <c r="R183" s="29">
        <v>57.700000762939453</v>
      </c>
      <c r="S183" s="29">
        <v>64.599998474121094</v>
      </c>
      <c r="T183" s="29">
        <v>53.400001525878906</v>
      </c>
      <c r="U183" s="29">
        <v>48.400001525878906</v>
      </c>
      <c r="V183" s="29">
        <v>66.300003051757813</v>
      </c>
    </row>
    <row r="184" spans="2:22" s="26" customFormat="1" x14ac:dyDescent="0.3">
      <c r="B184" s="26" t="s">
        <v>126</v>
      </c>
      <c r="G184" s="27">
        <v>0</v>
      </c>
      <c r="H184" s="27">
        <v>27</v>
      </c>
      <c r="I184" s="27">
        <v>30</v>
      </c>
      <c r="J184" s="27">
        <v>32</v>
      </c>
      <c r="K184" s="27">
        <v>80</v>
      </c>
      <c r="L184" s="27">
        <v>34</v>
      </c>
      <c r="M184" s="27">
        <v>24</v>
      </c>
      <c r="N184" s="27">
        <v>20</v>
      </c>
      <c r="O184" s="27">
        <v>20</v>
      </c>
      <c r="P184" s="27">
        <v>15</v>
      </c>
      <c r="Q184" s="27">
        <v>14</v>
      </c>
      <c r="R184" s="27">
        <v>0</v>
      </c>
      <c r="S184" s="27">
        <v>16</v>
      </c>
      <c r="T184" s="27">
        <v>16</v>
      </c>
      <c r="U184" s="27">
        <v>22</v>
      </c>
      <c r="V184" s="27">
        <v>31</v>
      </c>
    </row>
    <row r="185" spans="2:22" s="26" customFormat="1" x14ac:dyDescent="0.3">
      <c r="B185" s="26" t="s">
        <v>127</v>
      </c>
      <c r="G185" s="27">
        <v>0</v>
      </c>
      <c r="H185" s="27">
        <v>0</v>
      </c>
      <c r="I185" s="27">
        <v>0</v>
      </c>
      <c r="J185" s="27">
        <v>0</v>
      </c>
      <c r="K185" s="27">
        <v>0</v>
      </c>
      <c r="L185" s="27">
        <v>0</v>
      </c>
      <c r="M185" s="27">
        <v>0</v>
      </c>
      <c r="N185" s="27">
        <v>0</v>
      </c>
      <c r="O185" s="27">
        <v>0</v>
      </c>
      <c r="P185" s="27">
        <v>0</v>
      </c>
      <c r="Q185" s="27">
        <v>14</v>
      </c>
      <c r="R185" s="27">
        <v>16</v>
      </c>
      <c r="S185" s="27">
        <v>17</v>
      </c>
      <c r="T185" s="27">
        <v>21</v>
      </c>
      <c r="U185" s="27">
        <v>25</v>
      </c>
      <c r="V185" s="27">
        <v>30</v>
      </c>
    </row>
    <row r="186" spans="2:22" s="26" customFormat="1" x14ac:dyDescent="0.3">
      <c r="B186" s="26" t="s">
        <v>88</v>
      </c>
      <c r="G186" s="29">
        <v>440.10000610351563</v>
      </c>
      <c r="H186" s="29">
        <v>329.79998779296875</v>
      </c>
      <c r="I186" s="29">
        <v>295.10000610351563</v>
      </c>
      <c r="J186" s="29">
        <v>259.5</v>
      </c>
      <c r="K186" s="29">
        <v>278.10000610351563</v>
      </c>
      <c r="L186" s="29">
        <v>272.79998779296875</v>
      </c>
      <c r="M186" s="29">
        <v>561</v>
      </c>
      <c r="N186" s="29">
        <v>498.10000610351563</v>
      </c>
      <c r="O186" s="29">
        <v>171.30000305175781</v>
      </c>
      <c r="P186" s="29">
        <v>384</v>
      </c>
      <c r="Q186" s="29">
        <v>558.5</v>
      </c>
      <c r="R186" s="29">
        <v>405</v>
      </c>
      <c r="S186" s="29">
        <v>554</v>
      </c>
      <c r="T186" s="29">
        <v>600</v>
      </c>
      <c r="U186" s="29">
        <v>478.79998779296875</v>
      </c>
      <c r="V186" s="29">
        <v>612.5</v>
      </c>
    </row>
    <row r="187" spans="2:22" s="26" customFormat="1" x14ac:dyDescent="0.3">
      <c r="B187" s="26" t="s">
        <v>12</v>
      </c>
      <c r="G187" s="27">
        <v>63906</v>
      </c>
      <c r="H187" s="27">
        <v>63906</v>
      </c>
      <c r="I187" s="27">
        <v>63906</v>
      </c>
      <c r="J187" s="27">
        <v>63906</v>
      </c>
      <c r="K187" s="27">
        <v>76278</v>
      </c>
      <c r="L187" s="27">
        <v>0</v>
      </c>
      <c r="M187" s="27">
        <v>0</v>
      </c>
      <c r="N187" s="27">
        <v>0</v>
      </c>
      <c r="O187" s="27">
        <v>0</v>
      </c>
      <c r="P187" s="27">
        <v>0</v>
      </c>
      <c r="Q187" s="27">
        <v>0</v>
      </c>
      <c r="R187" s="27">
        <v>0</v>
      </c>
      <c r="S187" s="27">
        <v>0</v>
      </c>
      <c r="T187" s="27">
        <v>0</v>
      </c>
      <c r="U187" s="27">
        <v>0</v>
      </c>
      <c r="V187" s="27">
        <v>0</v>
      </c>
    </row>
    <row r="188" spans="2:22" s="26" customFormat="1" x14ac:dyDescent="0.3">
      <c r="B188" s="26" t="s">
        <v>14</v>
      </c>
      <c r="G188" s="27">
        <v>63706</v>
      </c>
      <c r="H188" s="27">
        <v>63706</v>
      </c>
      <c r="I188" s="27">
        <v>60862</v>
      </c>
      <c r="J188" s="27">
        <v>60862</v>
      </c>
      <c r="K188" s="27">
        <v>71006</v>
      </c>
      <c r="L188" s="27">
        <v>94433</v>
      </c>
      <c r="M188" s="27">
        <v>76265</v>
      </c>
      <c r="N188" s="27">
        <v>94466</v>
      </c>
      <c r="O188" s="27">
        <v>118778</v>
      </c>
      <c r="P188" s="27">
        <v>152550</v>
      </c>
      <c r="Q188" s="27">
        <v>152548</v>
      </c>
      <c r="R188" s="27">
        <v>152538</v>
      </c>
      <c r="S188" s="27">
        <v>152543</v>
      </c>
      <c r="T188" s="27">
        <v>152548</v>
      </c>
      <c r="U188" s="27">
        <v>152535</v>
      </c>
      <c r="V188" s="27">
        <v>152542</v>
      </c>
    </row>
  </sheetData>
  <conditionalFormatting sqref="G5:AF188">
    <cfRule type="expression" dxfId="18" priority="8">
      <formula>G$2</formula>
    </cfRule>
  </conditionalFormatting>
  <conditionalFormatting sqref="A5:XFD188">
    <cfRule type="containsText" dxfId="17" priority="6" operator="containsText" text="FALSE">
      <formula>NOT(ISERROR(SEARCH("FALSE",A5)))</formula>
    </cfRule>
    <cfRule type="cellIs" dxfId="16" priority="7" operator="equal">
      <formula>TRUE</formula>
    </cfRule>
  </conditionalFormatting>
  <conditionalFormatting sqref="G2:AF4">
    <cfRule type="expression" dxfId="15" priority="5">
      <formula>G$2</formula>
    </cfRule>
  </conditionalFormatting>
  <conditionalFormatting sqref="A2:XFD4 A1:G1 AG1:XFD1">
    <cfRule type="containsText" dxfId="14" priority="3" operator="containsText" text="FALSE">
      <formula>NOT(ISERROR(SEARCH("FALSE",A1)))</formula>
    </cfRule>
    <cfRule type="cellIs" dxfId="13" priority="4" operator="equal">
      <formula>TRUE</formula>
    </cfRule>
  </conditionalFormatting>
  <conditionalFormatting sqref="H1:AF1">
    <cfRule type="containsText" dxfId="12" priority="1" operator="containsText" text="FALSE">
      <formula>NOT(ISERROR(SEARCH("FALSE",H1)))</formula>
    </cfRule>
    <cfRule type="cellIs" dxfId="11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Drop Down 1">
              <controlPr defaultSize="0" autoLine="0" autoPict="0">
                <anchor moveWithCells="1">
                  <from>
                    <xdr:col>1</xdr:col>
                    <xdr:colOff>1593850</xdr:colOff>
                    <xdr:row>0</xdr:row>
                    <xdr:rowOff>165100</xdr:rowOff>
                  </from>
                  <to>
                    <xdr:col>1</xdr:col>
                    <xdr:colOff>3028950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8"/>
  <dimension ref="A1:AG188"/>
  <sheetViews>
    <sheetView zoomScale="80" zoomScaleNormal="80" workbookViewId="0">
      <pane xSplit="7" ySplit="4" topLeftCell="M5" activePane="bottomRight" state="frozen"/>
      <selection pane="topRight" activeCell="G1" sqref="G1"/>
      <selection pane="bottomLeft" activeCell="A5" sqref="A5"/>
      <selection pane="bottomRight" activeCell="R22" sqref="R22"/>
    </sheetView>
  </sheetViews>
  <sheetFormatPr defaultColWidth="9.1796875" defaultRowHeight="14.5" outlineLevelCol="1" x14ac:dyDescent="0.35"/>
  <cols>
    <col min="1" max="2" width="1.81640625" style="42" customWidth="1"/>
    <col min="3" max="3" width="49.7265625" style="42" customWidth="1"/>
    <col min="4" max="6" width="8.453125" style="42" customWidth="1"/>
    <col min="7" max="7" width="8.453125" style="42" hidden="1" customWidth="1" outlineLevel="1"/>
    <col min="8" max="12" width="9.90625" style="42" hidden="1" customWidth="1" outlineLevel="1"/>
    <col min="13" max="13" width="9.90625" style="42" customWidth="1" collapsed="1"/>
    <col min="14" max="33" width="9.90625" style="42" customWidth="1"/>
    <col min="34" max="16384" width="9.1796875" style="42"/>
  </cols>
  <sheetData>
    <row r="1" spans="1:33" x14ac:dyDescent="0.35">
      <c r="I1" s="27">
        <v>2001</v>
      </c>
      <c r="J1" s="27">
        <v>2002</v>
      </c>
      <c r="K1" s="27">
        <v>2003</v>
      </c>
      <c r="L1" s="27">
        <v>2004</v>
      </c>
      <c r="M1" s="27">
        <v>2005</v>
      </c>
      <c r="N1" s="27">
        <v>2006</v>
      </c>
      <c r="O1" s="27">
        <v>2007</v>
      </c>
      <c r="P1" s="27">
        <v>2008</v>
      </c>
      <c r="Q1" s="27">
        <v>2009</v>
      </c>
      <c r="R1" s="27">
        <v>2010</v>
      </c>
      <c r="S1" s="27">
        <v>2011</v>
      </c>
      <c r="T1" s="27">
        <v>2012</v>
      </c>
      <c r="U1" s="27">
        <v>2013</v>
      </c>
      <c r="V1" s="27">
        <v>2014</v>
      </c>
      <c r="W1" s="27">
        <v>2015</v>
      </c>
      <c r="X1" s="27">
        <v>2016</v>
      </c>
      <c r="Y1" s="27">
        <v>2017</v>
      </c>
      <c r="Z1" s="27">
        <v>2018</v>
      </c>
      <c r="AA1" s="27">
        <v>2019</v>
      </c>
      <c r="AB1" s="27">
        <v>2020</v>
      </c>
      <c r="AC1" s="27">
        <v>2021</v>
      </c>
      <c r="AD1" s="27">
        <v>2022</v>
      </c>
      <c r="AE1" s="27">
        <v>2023</v>
      </c>
      <c r="AF1" s="27">
        <v>2024</v>
      </c>
      <c r="AG1" s="27">
        <v>2025</v>
      </c>
    </row>
    <row r="2" spans="1:33" x14ac:dyDescent="0.35">
      <c r="C2" s="42" t="s">
        <v>200</v>
      </c>
      <c r="D2" s="16">
        <v>2015</v>
      </c>
      <c r="H2" s="42" t="b">
        <f>Valuation!H3&lt;=$D$2</f>
        <v>1</v>
      </c>
      <c r="I2" s="42" t="b">
        <f>Valuation!I3&lt;=$D$2</f>
        <v>1</v>
      </c>
      <c r="J2" s="42" t="b">
        <f>Valuation!J3&lt;=$D$2</f>
        <v>1</v>
      </c>
      <c r="K2" s="42" t="b">
        <f>Valuation!K3&lt;=$D$2</f>
        <v>1</v>
      </c>
      <c r="L2" s="42" t="b">
        <f>Valuation!L3&lt;=$D$2</f>
        <v>1</v>
      </c>
      <c r="M2" s="42" t="b">
        <f>Valuation!M3&lt;=$D$2</f>
        <v>1</v>
      </c>
      <c r="N2" s="42" t="b">
        <f>Valuation!N3&lt;=$D$2</f>
        <v>1</v>
      </c>
      <c r="O2" s="42" t="b">
        <f>Valuation!O3&lt;=$D$2</f>
        <v>1</v>
      </c>
      <c r="P2" s="42" t="b">
        <f>Valuation!P3&lt;=$D$2</f>
        <v>1</v>
      </c>
      <c r="Q2" s="42" t="b">
        <f>Valuation!Q3&lt;=$D$2</f>
        <v>1</v>
      </c>
      <c r="R2" s="42" t="b">
        <f>Valuation!R3&lt;=$D$2</f>
        <v>1</v>
      </c>
      <c r="S2" s="42" t="b">
        <f>Valuation!S3&lt;=$D$2</f>
        <v>1</v>
      </c>
      <c r="T2" s="42" t="b">
        <f>Valuation!T3&lt;=$D$2</f>
        <v>1</v>
      </c>
      <c r="U2" s="42" t="b">
        <f>Valuation!U3&lt;=$D$2</f>
        <v>1</v>
      </c>
      <c r="V2" s="42" t="b">
        <f>Valuation!V3&lt;=$D$2</f>
        <v>1</v>
      </c>
      <c r="W2" s="42" t="b">
        <f>Valuation!W3&lt;=$D$2</f>
        <v>1</v>
      </c>
      <c r="X2" s="42" t="b">
        <f>Valuation!X3&lt;=$D$2</f>
        <v>0</v>
      </c>
      <c r="Y2" s="42" t="b">
        <f>Valuation!Y3&lt;=$D$2</f>
        <v>0</v>
      </c>
      <c r="Z2" s="42" t="b">
        <f>Valuation!Z3&lt;=$D$2</f>
        <v>0</v>
      </c>
      <c r="AA2" s="42" t="b">
        <f>Valuation!AA3&lt;=$D$2</f>
        <v>0</v>
      </c>
      <c r="AB2" s="42" t="b">
        <f>Valuation!AB3&lt;=$D$2</f>
        <v>0</v>
      </c>
      <c r="AC2" s="42" t="b">
        <f>Valuation!AC3&lt;=$D$2</f>
        <v>0</v>
      </c>
      <c r="AD2" s="42" t="b">
        <f>Valuation!AD3&lt;=$D$2</f>
        <v>0</v>
      </c>
      <c r="AE2" s="42" t="b">
        <f>Valuation!AE3&lt;=$D$2</f>
        <v>0</v>
      </c>
      <c r="AF2" s="42" t="b">
        <f>Valuation!AF3&lt;=$D$2</f>
        <v>0</v>
      </c>
      <c r="AG2" s="42" t="b">
        <f>Valuation!AG3&lt;=$D$2</f>
        <v>0</v>
      </c>
    </row>
    <row r="3" spans="1:33" x14ac:dyDescent="0.35">
      <c r="C3" s="42" t="s">
        <v>215</v>
      </c>
      <c r="D3" s="16">
        <v>2005</v>
      </c>
      <c r="H3" s="42" t="b">
        <f>AND(Valuation!H3&gt;=$D$3,Valuation!H3&lt;=$D$2)</f>
        <v>0</v>
      </c>
      <c r="I3" s="42" t="b">
        <f>AND(Valuation!I3&gt;=$D$3,Valuation!I3&lt;=$D$2)</f>
        <v>0</v>
      </c>
      <c r="J3" s="42" t="b">
        <f>AND(Valuation!J3&gt;=$D$3,Valuation!J3&lt;=$D$2)</f>
        <v>0</v>
      </c>
      <c r="K3" s="42" t="b">
        <f>AND(Valuation!K3&gt;=$D$3,Valuation!K3&lt;=$D$2)</f>
        <v>0</v>
      </c>
      <c r="L3" s="42" t="b">
        <f>AND(Valuation!L3&gt;=$D$3,Valuation!L3&lt;=$D$2)</f>
        <v>0</v>
      </c>
      <c r="M3" s="42" t="b">
        <f>AND(Valuation!M3&gt;=$D$3,Valuation!M3&lt;=$D$2)</f>
        <v>1</v>
      </c>
      <c r="N3" s="42" t="b">
        <f>AND(Valuation!N3&gt;=$D$3,Valuation!N3&lt;=$D$2)</f>
        <v>1</v>
      </c>
      <c r="O3" s="42" t="b">
        <f>AND(Valuation!O3&gt;=$D$3,Valuation!O3&lt;=$D$2)</f>
        <v>1</v>
      </c>
      <c r="P3" s="42" t="b">
        <f>AND(Valuation!P3&gt;=$D$3,Valuation!P3&lt;=$D$2)</f>
        <v>1</v>
      </c>
      <c r="Q3" s="42" t="b">
        <f>AND(Valuation!Q3&gt;=$D$3,Valuation!Q3&lt;=$D$2)</f>
        <v>1</v>
      </c>
      <c r="R3" s="42" t="b">
        <f>AND(Valuation!R3&gt;=$D$3,Valuation!R3&lt;=$D$2)</f>
        <v>1</v>
      </c>
      <c r="S3" s="42" t="b">
        <f>AND(Valuation!S3&gt;=$D$3,Valuation!S3&lt;=$D$2)</f>
        <v>1</v>
      </c>
      <c r="T3" s="42" t="b">
        <f>AND(Valuation!T3&gt;=$D$3,Valuation!T3&lt;=$D$2)</f>
        <v>1</v>
      </c>
      <c r="U3" s="42" t="b">
        <f>AND(Valuation!U3&gt;=$D$3,Valuation!U3&lt;=$D$2)</f>
        <v>1</v>
      </c>
      <c r="V3" s="42" t="b">
        <f>AND(Valuation!V3&gt;=$D$3,Valuation!V3&lt;=$D$2)</f>
        <v>1</v>
      </c>
      <c r="W3" s="42" t="b">
        <f>AND(Valuation!W3&gt;=$D$3,Valuation!W3&lt;=$D$2)</f>
        <v>1</v>
      </c>
      <c r="X3" s="42" t="b">
        <f>AND(Valuation!X3&gt;=$D$3,Valuation!X3&lt;=$D$2)</f>
        <v>0</v>
      </c>
      <c r="Y3" s="42" t="b">
        <f>AND(Valuation!Y3&gt;=$D$3,Valuation!Y3&lt;=$D$2)</f>
        <v>0</v>
      </c>
      <c r="Z3" s="42" t="b">
        <f>AND(Valuation!Z3&gt;=$D$3,Valuation!Z3&lt;=$D$2)</f>
        <v>0</v>
      </c>
      <c r="AA3" s="42" t="b">
        <f>AND(Valuation!AA3&gt;=$D$3,Valuation!AA3&lt;=$D$2)</f>
        <v>0</v>
      </c>
      <c r="AB3" s="42" t="b">
        <f>AND(Valuation!AB3&gt;=$D$3,Valuation!AB3&lt;=$D$2)</f>
        <v>0</v>
      </c>
      <c r="AC3" s="42" t="b">
        <f>AND(Valuation!AC3&gt;=$D$3,Valuation!AC3&lt;=$D$2)</f>
        <v>0</v>
      </c>
      <c r="AD3" s="42" t="b">
        <f>AND(Valuation!AD3&gt;=$D$3,Valuation!AD3&lt;=$D$2)</f>
        <v>0</v>
      </c>
      <c r="AE3" s="42" t="b">
        <f>AND(Valuation!AE3&gt;=$D$3,Valuation!AE3&lt;=$D$2)</f>
        <v>0</v>
      </c>
      <c r="AF3" s="42" t="b">
        <f>AND(Valuation!AF3&gt;=$D$3,Valuation!AF3&lt;=$D$2)</f>
        <v>0</v>
      </c>
      <c r="AG3" s="42" t="b">
        <f>AND(Valuation!AG3&gt;=$D$3,Valuation!AG3&lt;=$D$2)</f>
        <v>0</v>
      </c>
    </row>
    <row r="4" spans="1:33" x14ac:dyDescent="0.35">
      <c r="C4" s="42" t="s">
        <v>201</v>
      </c>
      <c r="H4" s="42" t="b">
        <f>Valuation!H3=$D$2</f>
        <v>0</v>
      </c>
      <c r="I4" s="42" t="b">
        <f>Valuation!I3=$D$2</f>
        <v>0</v>
      </c>
      <c r="J4" s="42" t="b">
        <f>Valuation!J3=$D$2</f>
        <v>0</v>
      </c>
      <c r="K4" s="42" t="b">
        <f>Valuation!K3=$D$2</f>
        <v>0</v>
      </c>
      <c r="L4" s="42" t="b">
        <f>Valuation!L3=$D$2</f>
        <v>0</v>
      </c>
      <c r="M4" s="42" t="b">
        <f>Valuation!M3=$D$2</f>
        <v>0</v>
      </c>
      <c r="N4" s="42" t="b">
        <f>Valuation!N3=$D$2</f>
        <v>0</v>
      </c>
      <c r="O4" s="42" t="b">
        <f>Valuation!O3=$D$2</f>
        <v>0</v>
      </c>
      <c r="P4" s="42" t="b">
        <f>Valuation!P3=$D$2</f>
        <v>0</v>
      </c>
      <c r="Q4" s="42" t="b">
        <f>Valuation!Q3=$D$2</f>
        <v>0</v>
      </c>
      <c r="R4" s="42" t="b">
        <f>Valuation!R3=$D$2</f>
        <v>0</v>
      </c>
      <c r="S4" s="42" t="b">
        <f>Valuation!S3=$D$2</f>
        <v>0</v>
      </c>
      <c r="T4" s="42" t="b">
        <f>Valuation!T3=$D$2</f>
        <v>0</v>
      </c>
      <c r="U4" s="42" t="b">
        <f>Valuation!U3=$D$2</f>
        <v>0</v>
      </c>
      <c r="V4" s="42" t="b">
        <f>Valuation!V3=$D$2</f>
        <v>0</v>
      </c>
      <c r="W4" s="42" t="b">
        <f>Valuation!W3=$D$2</f>
        <v>1</v>
      </c>
      <c r="X4" s="42" t="b">
        <f>Valuation!X3=$D$2</f>
        <v>0</v>
      </c>
      <c r="Y4" s="42" t="b">
        <f>Valuation!Y3=$D$2</f>
        <v>0</v>
      </c>
      <c r="Z4" s="42" t="b">
        <f>Valuation!Z3=$D$2</f>
        <v>0</v>
      </c>
      <c r="AA4" s="42" t="b">
        <f>Valuation!AA3=$D$2</f>
        <v>0</v>
      </c>
      <c r="AB4" s="42" t="b">
        <f>Valuation!AB3=$D$2</f>
        <v>0</v>
      </c>
      <c r="AC4" s="42" t="b">
        <f>Valuation!AC3=$D$2</f>
        <v>0</v>
      </c>
      <c r="AD4" s="42" t="b">
        <f>Valuation!AD3=$D$2</f>
        <v>0</v>
      </c>
      <c r="AE4" s="42" t="b">
        <f>Valuation!AE3=$D$2</f>
        <v>0</v>
      </c>
      <c r="AF4" s="42" t="b">
        <f>Valuation!AF3=$D$2</f>
        <v>0</v>
      </c>
      <c r="AG4" s="42" t="b">
        <f>Valuation!AG3=$D$2</f>
        <v>0</v>
      </c>
    </row>
    <row r="6" spans="1:33" s="1" customFormat="1" x14ac:dyDescent="0.35">
      <c r="A6" s="1" t="s">
        <v>388</v>
      </c>
    </row>
    <row r="8" spans="1:33" x14ac:dyDescent="0.35">
      <c r="B8" s="42" t="s">
        <v>447</v>
      </c>
    </row>
    <row r="9" spans="1:33" x14ac:dyDescent="0.35">
      <c r="C9" s="44" t="s">
        <v>132</v>
      </c>
      <c r="E9" s="43"/>
      <c r="F9" s="43"/>
      <c r="G9" s="43"/>
      <c r="H9" s="85">
        <f>'Historic Data from PDF'!C100</f>
        <v>0</v>
      </c>
      <c r="I9" s="85">
        <f>'Historic Data from PDF'!H100</f>
        <v>0</v>
      </c>
      <c r="J9" s="85">
        <f>'Historic Data from PDF'!I100</f>
        <v>0</v>
      </c>
      <c r="K9" s="85">
        <f>'Historic Data from PDF'!J100</f>
        <v>0</v>
      </c>
      <c r="L9" s="85">
        <f>'Historic Data from PDF'!K100</f>
        <v>0</v>
      </c>
      <c r="M9" s="85">
        <f>'Historic Data from PDF'!L100</f>
        <v>6314</v>
      </c>
      <c r="N9" s="85">
        <f>'Historic Data from PDF'!M100</f>
        <v>7035</v>
      </c>
      <c r="O9" s="85">
        <f>'Historic Data from PDF'!N100</f>
        <v>8134</v>
      </c>
      <c r="P9" s="85">
        <f>'Historic Data from PDF'!O100</f>
        <v>11610</v>
      </c>
      <c r="Q9" s="85">
        <f>'Historic Data from PDF'!P100</f>
        <v>13169</v>
      </c>
      <c r="R9" s="85">
        <f>'Historic Data from PDF'!Q100</f>
        <v>14236</v>
      </c>
      <c r="S9" s="85">
        <f>'Historic Data from PDF'!R100</f>
        <v>13600</v>
      </c>
      <c r="T9" s="85">
        <f>'Historic Data from PDF'!S100</f>
        <v>13812</v>
      </c>
      <c r="U9" s="85">
        <f>'Historic Data from PDF'!T100</f>
        <v>13592</v>
      </c>
      <c r="V9" s="85">
        <f>'Historic Data from PDF'!U100</f>
        <v>13338</v>
      </c>
      <c r="W9" s="85">
        <f>'Historic Data from PDF'!V100</f>
        <v>13213</v>
      </c>
    </row>
    <row r="10" spans="1:33" x14ac:dyDescent="0.35">
      <c r="C10" s="42" t="s">
        <v>435</v>
      </c>
      <c r="E10" s="43" t="b">
        <v>1</v>
      </c>
      <c r="F10" s="43"/>
      <c r="G10" s="43"/>
      <c r="H10" s="85">
        <f>IF($E$10,'Historic Data from PDF'!G106)</f>
        <v>0</v>
      </c>
      <c r="I10" s="85">
        <f>IF($E$10,'Historic Data from PDF'!H106)</f>
        <v>0</v>
      </c>
      <c r="J10" s="85">
        <f>IF($E$10,'Historic Data from PDF'!I106)</f>
        <v>0</v>
      </c>
      <c r="K10" s="85">
        <f>IF($E$10,'Historic Data from PDF'!J106)</f>
        <v>0</v>
      </c>
      <c r="L10" s="85">
        <f>IF($E$10,'Historic Data from PDF'!K106)</f>
        <v>0</v>
      </c>
      <c r="M10" s="85">
        <f>IF($E$10,'Historic Data from PDF'!L106)</f>
        <v>-537</v>
      </c>
      <c r="N10" s="85">
        <f>IF($E$10,'Historic Data from PDF'!M106)</f>
        <v>-477</v>
      </c>
      <c r="O10" s="85">
        <f>IF($E$10,'Historic Data from PDF'!N106)</f>
        <v>-379</v>
      </c>
      <c r="P10" s="85">
        <f>IF($E$10,'Historic Data from PDF'!O106)</f>
        <v>-482</v>
      </c>
      <c r="Q10" s="85">
        <f>IF($E$10,'Historic Data from PDF'!P106)</f>
        <v>-507</v>
      </c>
      <c r="R10" s="85">
        <f>IF($E$10,'Historic Data from PDF'!Q106)</f>
        <v>-446</v>
      </c>
      <c r="S10" s="85">
        <f>IF($E$10,'Historic Data from PDF'!R106)</f>
        <v>-448</v>
      </c>
      <c r="T10" s="85">
        <f>IF($E$10,'Historic Data from PDF'!S106)</f>
        <v>-324</v>
      </c>
      <c r="U10" s="85">
        <f>IF($E$10,'Historic Data from PDF'!T106)</f>
        <v>-617</v>
      </c>
      <c r="V10" s="85">
        <f>IF($E$10,'Historic Data from PDF'!U106)</f>
        <v>-397</v>
      </c>
      <c r="W10" s="85">
        <f>IF($E$10,'Historic Data from PDF'!V106)</f>
        <v>-586</v>
      </c>
    </row>
    <row r="11" spans="1:33" x14ac:dyDescent="0.35">
      <c r="C11" s="42" t="s">
        <v>204</v>
      </c>
      <c r="E11" s="43"/>
      <c r="F11" s="43"/>
      <c r="G11" s="43"/>
      <c r="H11" s="45"/>
      <c r="I11" s="45"/>
      <c r="J11" s="45"/>
      <c r="K11" s="45"/>
      <c r="L11" s="85">
        <f>-'Historic Data from PDF'!K82</f>
        <v>0</v>
      </c>
      <c r="M11" s="85">
        <f>-'Historic Data from PDF'!L82</f>
        <v>-232</v>
      </c>
      <c r="N11" s="85">
        <f>-'Historic Data from PDF'!M82</f>
        <v>-85</v>
      </c>
      <c r="O11" s="85">
        <f>-'Historic Data from PDF'!N82</f>
        <v>-101</v>
      </c>
      <c r="P11" s="85">
        <f>-'Historic Data from PDF'!O82</f>
        <v>-81</v>
      </c>
      <c r="Q11" s="85">
        <f>-'Historic Data from PDF'!P82</f>
        <v>-112</v>
      </c>
      <c r="R11" s="85">
        <f>-'Historic Data from PDF'!Q82</f>
        <v>-148</v>
      </c>
      <c r="S11" s="85">
        <f>-'Historic Data from PDF'!R82</f>
        <v>-180</v>
      </c>
      <c r="T11" s="85">
        <f>-'Historic Data from PDF'!S82</f>
        <v>-108</v>
      </c>
      <c r="U11" s="85">
        <f>-'Historic Data from PDF'!T82</f>
        <v>-370</v>
      </c>
      <c r="V11" s="85">
        <f>-'Historic Data from PDF'!U82</f>
        <v>-408</v>
      </c>
      <c r="W11" s="85">
        <f>-'Historic Data from PDF'!V82</f>
        <v>-364</v>
      </c>
    </row>
    <row r="12" spans="1:33" x14ac:dyDescent="0.35">
      <c r="C12" s="42" t="s">
        <v>140</v>
      </c>
      <c r="E12" s="43"/>
      <c r="F12" s="43"/>
      <c r="G12" s="43"/>
      <c r="H12" s="45">
        <f>H9+H10</f>
        <v>0</v>
      </c>
      <c r="I12" s="45">
        <f>I9+I10</f>
        <v>0</v>
      </c>
      <c r="J12" s="45">
        <f>J9+J10</f>
        <v>0</v>
      </c>
      <c r="K12" s="45">
        <f>K9+K10</f>
        <v>0</v>
      </c>
      <c r="L12" s="45">
        <f t="shared" ref="L12:W12" si="0">L9+L10+L11</f>
        <v>0</v>
      </c>
      <c r="M12" s="45">
        <f t="shared" si="0"/>
        <v>5545</v>
      </c>
      <c r="N12" s="45">
        <f t="shared" si="0"/>
        <v>6473</v>
      </c>
      <c r="O12" s="45">
        <f t="shared" si="0"/>
        <v>7654</v>
      </c>
      <c r="P12" s="45">
        <f t="shared" si="0"/>
        <v>11047</v>
      </c>
      <c r="Q12" s="45">
        <f t="shared" si="0"/>
        <v>12550</v>
      </c>
      <c r="R12" s="45">
        <f t="shared" si="0"/>
        <v>13642</v>
      </c>
      <c r="S12" s="45">
        <f t="shared" si="0"/>
        <v>12972</v>
      </c>
      <c r="T12" s="45">
        <f t="shared" si="0"/>
        <v>13380</v>
      </c>
      <c r="U12" s="45">
        <f t="shared" si="0"/>
        <v>12605</v>
      </c>
      <c r="V12" s="45">
        <f t="shared" si="0"/>
        <v>12533</v>
      </c>
      <c r="W12" s="45">
        <f t="shared" si="0"/>
        <v>12263</v>
      </c>
    </row>
    <row r="13" spans="1:33" x14ac:dyDescent="0.35"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</row>
    <row r="14" spans="1:33" x14ac:dyDescent="0.35">
      <c r="C14" s="42" t="s">
        <v>168</v>
      </c>
      <c r="E14" s="43"/>
      <c r="F14" s="43"/>
      <c r="G14" s="43"/>
      <c r="H14" s="85">
        <f>'Historic Data from PDF'!G143</f>
        <v>25650</v>
      </c>
      <c r="I14" s="85">
        <f>'Historic Data from PDF'!H143</f>
        <v>34419</v>
      </c>
      <c r="J14" s="85">
        <f>'Historic Data from PDF'!I143</f>
        <v>35544</v>
      </c>
      <c r="K14" s="85">
        <f>'Historic Data from PDF'!J143</f>
        <v>34626</v>
      </c>
      <c r="L14" s="85">
        <f>'Historic Data from PDF'!K143</f>
        <v>35987</v>
      </c>
      <c r="M14" s="85">
        <f>'Historic Data from PDF'!L143</f>
        <v>38047</v>
      </c>
      <c r="N14" s="85">
        <f>'Historic Data from PDF'!M143</f>
        <v>41083</v>
      </c>
      <c r="O14" s="85">
        <f>'Historic Data from PDF'!N143</f>
        <v>44750</v>
      </c>
      <c r="P14" s="85">
        <f>'Historic Data from PDF'!O143</f>
        <v>59944</v>
      </c>
      <c r="Q14" s="85">
        <f>'Historic Data from PDF'!P143</f>
        <v>59382</v>
      </c>
      <c r="R14" s="85">
        <f>'Historic Data from PDF'!Q143</f>
        <v>60054</v>
      </c>
      <c r="S14" s="85">
        <f>'Historic Data from PDF'!R143</f>
        <v>63561</v>
      </c>
      <c r="T14" s="85">
        <f>'Historic Data from PDF'!S143</f>
        <v>66468</v>
      </c>
      <c r="U14" s="85">
        <f>'Historic Data from PDF'!T143</f>
        <v>64350</v>
      </c>
      <c r="V14" s="85">
        <f>'Historic Data from PDF'!U143</f>
        <v>64506</v>
      </c>
      <c r="W14" s="85">
        <f>'Historic Data from PDF'!V143</f>
        <v>65354</v>
      </c>
    </row>
    <row r="15" spans="1:33" x14ac:dyDescent="0.35">
      <c r="C15" s="42" t="s">
        <v>141</v>
      </c>
      <c r="E15" s="43"/>
      <c r="F15" s="43"/>
      <c r="G15" s="43"/>
      <c r="H15" s="85">
        <f>-'Historic Data from PDF'!C76</f>
        <v>0</v>
      </c>
      <c r="I15" s="85">
        <f>-'Historic Data from PDF'!H76</f>
        <v>0</v>
      </c>
      <c r="J15" s="85">
        <f>-'Historic Data from PDF'!I76</f>
        <v>0</v>
      </c>
      <c r="K15" s="85">
        <f>-'Historic Data from PDF'!J76</f>
        <v>0</v>
      </c>
      <c r="L15" s="85">
        <f>-'Historic Data from PDF'!K76</f>
        <v>0</v>
      </c>
      <c r="M15" s="85">
        <f>-'Historic Data from PDF'!L76</f>
        <v>18879</v>
      </c>
      <c r="N15" s="85">
        <f>-'Historic Data from PDF'!M76</f>
        <v>20151</v>
      </c>
      <c r="O15" s="85">
        <f>-'Historic Data from PDF'!N76</f>
        <v>22423</v>
      </c>
      <c r="P15" s="85">
        <f>-'Historic Data from PDF'!O76</f>
        <v>31248</v>
      </c>
      <c r="Q15" s="85">
        <f>-'Historic Data from PDF'!P76</f>
        <v>30197</v>
      </c>
      <c r="R15" s="85">
        <f>-'Historic Data from PDF'!Q76</f>
        <v>28982</v>
      </c>
      <c r="S15" s="85">
        <f>-'Historic Data from PDF'!R76</f>
        <v>31788</v>
      </c>
      <c r="T15" s="85">
        <f>-'Historic Data from PDF'!S76</f>
        <v>33831</v>
      </c>
      <c r="U15" s="85">
        <f>-'Historic Data from PDF'!T76</f>
        <v>32423</v>
      </c>
      <c r="V15" s="85">
        <f>-'Historic Data from PDF'!U76</f>
        <v>32725</v>
      </c>
      <c r="W15" s="85">
        <f>-'Historic Data from PDF'!V76</f>
        <v>33429</v>
      </c>
    </row>
    <row r="16" spans="1:33" x14ac:dyDescent="0.35">
      <c r="C16" s="42" t="s">
        <v>142</v>
      </c>
      <c r="E16" s="43"/>
      <c r="F16" s="43"/>
      <c r="G16" s="43"/>
      <c r="H16" s="85">
        <f>'Historic Data from PDF'!C98</f>
        <v>0</v>
      </c>
      <c r="I16" s="85">
        <f>'Historic Data from PDF'!H98</f>
        <v>0</v>
      </c>
      <c r="J16" s="85">
        <f>'Historic Data from PDF'!I98</f>
        <v>0</v>
      </c>
      <c r="K16" s="85">
        <f>'Historic Data from PDF'!J98</f>
        <v>0</v>
      </c>
      <c r="L16" s="85">
        <f>'Historic Data from PDF'!K98</f>
        <v>0</v>
      </c>
      <c r="M16" s="85">
        <f>'Historic Data from PDF'!L98</f>
        <v>2796</v>
      </c>
      <c r="N16" s="85">
        <f>'Historic Data from PDF'!M98</f>
        <v>2953</v>
      </c>
      <c r="O16" s="85">
        <f>'Historic Data from PDF'!N98</f>
        <v>2768</v>
      </c>
      <c r="P16" s="85">
        <f>'Historic Data from PDF'!O98</f>
        <v>3627</v>
      </c>
      <c r="Q16" s="85">
        <f>'Historic Data from PDF'!P98</f>
        <v>3769</v>
      </c>
      <c r="R16" s="85">
        <f>'Historic Data from PDF'!Q98</f>
        <v>3987</v>
      </c>
      <c r="S16" s="85">
        <f>'Historic Data from PDF'!R98</f>
        <v>3780</v>
      </c>
      <c r="T16" s="85">
        <f>'Historic Data from PDF'!S98</f>
        <v>3991</v>
      </c>
      <c r="U16" s="85">
        <f>'Historic Data from PDF'!T98</f>
        <v>3863</v>
      </c>
      <c r="V16" s="85">
        <f>'Historic Data from PDF'!U98</f>
        <v>4103</v>
      </c>
      <c r="W16" s="85">
        <f>'Historic Data from PDF'!V98</f>
        <v>4674</v>
      </c>
    </row>
    <row r="17" spans="3:23" x14ac:dyDescent="0.35">
      <c r="C17" s="42" t="s">
        <v>144</v>
      </c>
      <c r="E17" s="43"/>
      <c r="F17" s="43"/>
      <c r="G17" s="43"/>
      <c r="H17" s="45">
        <f>H15+H16</f>
        <v>0</v>
      </c>
      <c r="I17" s="45">
        <f t="shared" ref="I17:W17" si="1">I15-I16</f>
        <v>0</v>
      </c>
      <c r="J17" s="45">
        <f t="shared" si="1"/>
        <v>0</v>
      </c>
      <c r="K17" s="45">
        <f t="shared" si="1"/>
        <v>0</v>
      </c>
      <c r="L17" s="45">
        <f t="shared" si="1"/>
        <v>0</v>
      </c>
      <c r="M17" s="45">
        <f t="shared" si="1"/>
        <v>16083</v>
      </c>
      <c r="N17" s="45">
        <f t="shared" si="1"/>
        <v>17198</v>
      </c>
      <c r="O17" s="45">
        <f t="shared" si="1"/>
        <v>19655</v>
      </c>
      <c r="P17" s="45">
        <f t="shared" si="1"/>
        <v>27621</v>
      </c>
      <c r="Q17" s="45">
        <f t="shared" si="1"/>
        <v>26428</v>
      </c>
      <c r="R17" s="45">
        <f t="shared" si="1"/>
        <v>24995</v>
      </c>
      <c r="S17" s="45">
        <f t="shared" si="1"/>
        <v>28008</v>
      </c>
      <c r="T17" s="45">
        <f t="shared" si="1"/>
        <v>29840</v>
      </c>
      <c r="U17" s="45">
        <f t="shared" si="1"/>
        <v>28560</v>
      </c>
      <c r="V17" s="45">
        <f t="shared" si="1"/>
        <v>28622</v>
      </c>
      <c r="W17" s="45">
        <f t="shared" si="1"/>
        <v>28755</v>
      </c>
    </row>
    <row r="18" spans="3:23" s="47" customFormat="1" x14ac:dyDescent="0.35">
      <c r="C18" s="47" t="s">
        <v>143</v>
      </c>
      <c r="H18" s="47">
        <f t="shared" ref="H18:W18" si="2">H17/H14</f>
        <v>0</v>
      </c>
      <c r="I18" s="47">
        <f t="shared" si="2"/>
        <v>0</v>
      </c>
      <c r="J18" s="47">
        <f t="shared" si="2"/>
        <v>0</v>
      </c>
      <c r="K18" s="47">
        <f t="shared" si="2"/>
        <v>0</v>
      </c>
      <c r="L18" s="47">
        <f t="shared" si="2"/>
        <v>0</v>
      </c>
      <c r="M18" s="47">
        <f t="shared" si="2"/>
        <v>0.42271401161721028</v>
      </c>
      <c r="N18" s="47">
        <f t="shared" si="2"/>
        <v>0.41861597254338778</v>
      </c>
      <c r="O18" s="47">
        <f t="shared" si="2"/>
        <v>0.43921787709497206</v>
      </c>
      <c r="P18" s="47">
        <f t="shared" si="2"/>
        <v>0.46078006139063127</v>
      </c>
      <c r="Q18" s="47">
        <f t="shared" si="2"/>
        <v>0.44505068876090398</v>
      </c>
      <c r="R18" s="47">
        <f t="shared" si="2"/>
        <v>0.41620874546241715</v>
      </c>
      <c r="S18" s="47">
        <f t="shared" si="2"/>
        <v>0.44064756690423373</v>
      </c>
      <c r="T18" s="47">
        <f t="shared" si="2"/>
        <v>0.44893783474754767</v>
      </c>
      <c r="U18" s="47">
        <f t="shared" si="2"/>
        <v>0.44382284382284382</v>
      </c>
      <c r="V18" s="47">
        <f t="shared" si="2"/>
        <v>0.44371066257402414</v>
      </c>
      <c r="W18" s="47">
        <f t="shared" si="2"/>
        <v>0.43998837102549193</v>
      </c>
    </row>
    <row r="20" spans="3:23" s="47" customFormat="1" x14ac:dyDescent="0.35">
      <c r="C20" s="47" t="s">
        <v>145</v>
      </c>
      <c r="H20" s="47">
        <f t="shared" ref="H20:W20" si="3">H12/H14</f>
        <v>0</v>
      </c>
      <c r="I20" s="47">
        <f t="shared" si="3"/>
        <v>0</v>
      </c>
      <c r="J20" s="47">
        <f t="shared" si="3"/>
        <v>0</v>
      </c>
      <c r="K20" s="47">
        <f t="shared" si="3"/>
        <v>0</v>
      </c>
      <c r="L20" s="47">
        <f t="shared" si="3"/>
        <v>0</v>
      </c>
      <c r="M20" s="47">
        <f t="shared" si="3"/>
        <v>0.14574079428075801</v>
      </c>
      <c r="N20" s="47">
        <f t="shared" si="3"/>
        <v>0.15755908770050872</v>
      </c>
      <c r="O20" s="47">
        <f t="shared" si="3"/>
        <v>0.17103910614525139</v>
      </c>
      <c r="P20" s="47">
        <f t="shared" si="3"/>
        <v>0.18428866942479646</v>
      </c>
      <c r="Q20" s="47">
        <f t="shared" si="3"/>
        <v>0.21134350476575392</v>
      </c>
      <c r="R20" s="47">
        <f t="shared" si="3"/>
        <v>0.22716222066806541</v>
      </c>
      <c r="S20" s="47">
        <f t="shared" si="3"/>
        <v>0.20408741209232076</v>
      </c>
      <c r="T20" s="47">
        <f t="shared" si="3"/>
        <v>0.20129987362339771</v>
      </c>
      <c r="U20" s="47">
        <f t="shared" si="3"/>
        <v>0.19588189588189589</v>
      </c>
      <c r="V20" s="47">
        <f t="shared" si="3"/>
        <v>0.1942920038446036</v>
      </c>
      <c r="W20" s="47">
        <f t="shared" si="3"/>
        <v>0.187639624200508</v>
      </c>
    </row>
    <row r="21" spans="3:23" s="47" customFormat="1" x14ac:dyDescent="0.35">
      <c r="C21" s="47" t="s">
        <v>146</v>
      </c>
      <c r="H21" s="82">
        <f>-'Historic Data from PDF'!C78/H14</f>
        <v>0</v>
      </c>
      <c r="I21" s="82">
        <f>-'Historic Data from PDF'!H78/I14</f>
        <v>0</v>
      </c>
      <c r="J21" s="82">
        <f>-'Historic Data from PDF'!I78/J14</f>
        <v>0</v>
      </c>
      <c r="K21" s="82">
        <f>-'Historic Data from PDF'!J78/K14</f>
        <v>0</v>
      </c>
      <c r="L21" s="82">
        <f>-'Historic Data from PDF'!K78/L14</f>
        <v>0</v>
      </c>
      <c r="M21" s="82">
        <f>-'Historic Data from PDF'!L78/M14</f>
        <v>0.35040870502273502</v>
      </c>
      <c r="N21" s="82">
        <f>-'Historic Data from PDF'!M78/N14</f>
        <v>0.34498454348513985</v>
      </c>
      <c r="O21" s="82">
        <f>-'Historic Data from PDF'!N78/O14</f>
        <v>0.32464804469273745</v>
      </c>
      <c r="P21" s="82">
        <f>-'Historic Data from PDF'!O78/P14</f>
        <v>0.29347390898171627</v>
      </c>
      <c r="Q21" s="82">
        <f>-'Historic Data from PDF'!P78/Q14</f>
        <v>0.26925667710754103</v>
      </c>
      <c r="R21" s="82">
        <f>-'Historic Data from PDF'!Q78/R14</f>
        <v>0.28570952809138445</v>
      </c>
      <c r="S21" s="82">
        <f>-'Historic Data from PDF'!R78/S14</f>
        <v>0.29079152310379008</v>
      </c>
      <c r="T21" s="82">
        <f>-'Historic Data from PDF'!S78/T14</f>
        <v>0.29555575615333696</v>
      </c>
      <c r="U21" s="82">
        <f>-'Historic Data from PDF'!T78/U14</f>
        <v>0.28253302253302254</v>
      </c>
      <c r="V21" s="82">
        <f>-'Historic Data from PDF'!U78/V14</f>
        <v>0.28981800142622394</v>
      </c>
      <c r="W21" s="82">
        <f>-'Historic Data from PDF'!V78/W14</f>
        <v>0.29314196529669184</v>
      </c>
    </row>
    <row r="22" spans="3:23" s="47" customFormat="1" x14ac:dyDescent="0.35">
      <c r="C22" s="47" t="s">
        <v>147</v>
      </c>
      <c r="H22" s="82">
        <f>-'Historic Data from PDF'!C79/H14</f>
        <v>0</v>
      </c>
      <c r="I22" s="82">
        <f>-'Historic Data from PDF'!H79/I14</f>
        <v>0</v>
      </c>
      <c r="J22" s="82">
        <f>-'Historic Data from PDF'!I79/J14</f>
        <v>0</v>
      </c>
      <c r="K22" s="82">
        <f>-'Historic Data from PDF'!J79/K14</f>
        <v>0</v>
      </c>
      <c r="L22" s="82">
        <f>-'Historic Data from PDF'!K79/L14</f>
        <v>0</v>
      </c>
      <c r="M22" s="82">
        <f>-'Historic Data from PDF'!L79/M14</f>
        <v>7.7824795647488634E-2</v>
      </c>
      <c r="N22" s="82">
        <f>-'Historic Data from PDF'!M79/N14</f>
        <v>7.4605067789596677E-2</v>
      </c>
      <c r="O22" s="82">
        <f>-'Historic Data from PDF'!N79/O14</f>
        <v>6.978770949720671E-2</v>
      </c>
      <c r="P22" s="82">
        <f>-'Historic Data from PDF'!O79/P14</f>
        <v>6.5627919391432005E-2</v>
      </c>
      <c r="Q22" s="82">
        <f>-'Historic Data from PDF'!P79/Q14</f>
        <v>6.522178437910478E-2</v>
      </c>
      <c r="R22" s="82">
        <f>-'Historic Data from PDF'!Q79/R14</f>
        <v>6.7272787824291469E-2</v>
      </c>
      <c r="S22" s="82">
        <f>-'Historic Data from PDF'!R79/S14</f>
        <v>6.1405578892717229E-2</v>
      </c>
      <c r="T22" s="82">
        <f>-'Historic Data from PDF'!S79/T14</f>
        <v>6.2962628633327314E-2</v>
      </c>
      <c r="U22" s="82">
        <f>-'Historic Data from PDF'!T79/U14</f>
        <v>6.8609168609168603E-2</v>
      </c>
      <c r="V22" s="82">
        <f>-'Historic Data from PDF'!U79/V14</f>
        <v>7.1822776175859609E-2</v>
      </c>
      <c r="W22" s="82">
        <f>-'Historic Data from PDF'!V79/W14</f>
        <v>7.5113994552743521E-2</v>
      </c>
    </row>
    <row r="24" spans="3:23" x14ac:dyDescent="0.35">
      <c r="C24" s="42" t="s">
        <v>169</v>
      </c>
      <c r="E24" s="43"/>
      <c r="F24" s="43"/>
      <c r="G24" s="43"/>
      <c r="H24" s="85">
        <f>'Historic Data from PDF'!C7</f>
        <v>0</v>
      </c>
      <c r="I24" s="85">
        <f>'Historic Data from PDF'!H7</f>
        <v>0</v>
      </c>
      <c r="J24" s="85">
        <f>'Historic Data from PDF'!I7</f>
        <v>0</v>
      </c>
      <c r="K24" s="85">
        <f>'Historic Data from PDF'!J7</f>
        <v>0</v>
      </c>
      <c r="L24" s="85">
        <f>'Historic Data from PDF'!K7</f>
        <v>0</v>
      </c>
      <c r="M24" s="85">
        <f>'Historic Data from PDF'!L7</f>
        <v>20355</v>
      </c>
      <c r="N24" s="85">
        <f>'Historic Data from PDF'!M7</f>
        <v>20367</v>
      </c>
      <c r="O24" s="85">
        <f>'Historic Data from PDF'!N7</f>
        <v>22109</v>
      </c>
      <c r="P24" s="85">
        <f>'Historic Data from PDF'!O7</f>
        <v>34043</v>
      </c>
      <c r="Q24" s="85">
        <f>'Historic Data from PDF'!P7</f>
        <v>31825</v>
      </c>
      <c r="R24" s="85">
        <f>'Historic Data from PDF'!Q7</f>
        <v>32420</v>
      </c>
      <c r="S24" s="85">
        <f>'Historic Data from PDF'!R7</f>
        <v>31848</v>
      </c>
      <c r="T24" s="85">
        <f>'Historic Data from PDF'!S7</f>
        <v>31991</v>
      </c>
      <c r="U24" s="85">
        <f>'Historic Data from PDF'!T7</f>
        <v>31738</v>
      </c>
      <c r="V24" s="85">
        <f>'Historic Data from PDF'!U7</f>
        <v>28748</v>
      </c>
      <c r="W24" s="85">
        <f>'Historic Data from PDF'!V7</f>
        <v>26678</v>
      </c>
    </row>
    <row r="25" spans="3:23" x14ac:dyDescent="0.35">
      <c r="C25" s="42" t="s">
        <v>170</v>
      </c>
      <c r="E25" s="43"/>
      <c r="F25" s="43"/>
      <c r="G25" s="43"/>
      <c r="H25" s="45">
        <f>IF(C24&gt;0,AVERAGE(H24,C24),H24)</f>
        <v>0</v>
      </c>
      <c r="I25" s="45">
        <f t="shared" ref="I25:W25" si="4">IF(H24&gt;0,AVERAGE(I24,H24),I24)</f>
        <v>0</v>
      </c>
      <c r="J25" s="45">
        <f t="shared" si="4"/>
        <v>0</v>
      </c>
      <c r="K25" s="45">
        <f t="shared" si="4"/>
        <v>0</v>
      </c>
      <c r="L25" s="45">
        <f t="shared" si="4"/>
        <v>0</v>
      </c>
      <c r="M25" s="45">
        <f t="shared" si="4"/>
        <v>20355</v>
      </c>
      <c r="N25" s="45">
        <f t="shared" si="4"/>
        <v>20361</v>
      </c>
      <c r="O25" s="45">
        <f t="shared" si="4"/>
        <v>21238</v>
      </c>
      <c r="P25" s="45">
        <f t="shared" si="4"/>
        <v>28076</v>
      </c>
      <c r="Q25" s="45">
        <f t="shared" si="4"/>
        <v>32934</v>
      </c>
      <c r="R25" s="45">
        <f t="shared" si="4"/>
        <v>32122.5</v>
      </c>
      <c r="S25" s="45">
        <f t="shared" si="4"/>
        <v>32134</v>
      </c>
      <c r="T25" s="45">
        <f t="shared" si="4"/>
        <v>31919.5</v>
      </c>
      <c r="U25" s="45">
        <f t="shared" si="4"/>
        <v>31864.5</v>
      </c>
      <c r="V25" s="45">
        <f t="shared" si="4"/>
        <v>30243</v>
      </c>
      <c r="W25" s="45">
        <f t="shared" si="4"/>
        <v>27713</v>
      </c>
    </row>
    <row r="26" spans="3:23" s="47" customFormat="1" x14ac:dyDescent="0.35">
      <c r="C26" s="47" t="s">
        <v>148</v>
      </c>
      <c r="H26" s="47" t="b">
        <f t="shared" ref="H26:W26" si="5">IF(H25,H16/H25)</f>
        <v>0</v>
      </c>
      <c r="I26" s="47" t="b">
        <f t="shared" si="5"/>
        <v>0</v>
      </c>
      <c r="J26" s="47" t="b">
        <f t="shared" si="5"/>
        <v>0</v>
      </c>
      <c r="K26" s="47" t="b">
        <f t="shared" si="5"/>
        <v>0</v>
      </c>
      <c r="L26" s="47" t="b">
        <f t="shared" si="5"/>
        <v>0</v>
      </c>
      <c r="M26" s="47">
        <f t="shared" si="5"/>
        <v>0.13736182756079587</v>
      </c>
      <c r="N26" s="47">
        <f t="shared" si="5"/>
        <v>0.14503216934335247</v>
      </c>
      <c r="O26" s="47">
        <f t="shared" si="5"/>
        <v>0.13033242301534984</v>
      </c>
      <c r="P26" s="47">
        <f t="shared" si="5"/>
        <v>0.12918506909816213</v>
      </c>
      <c r="Q26" s="47">
        <f t="shared" si="5"/>
        <v>0.11444100321855832</v>
      </c>
      <c r="R26" s="47">
        <f t="shared" si="5"/>
        <v>0.12411860845201961</v>
      </c>
      <c r="S26" s="47">
        <f t="shared" si="5"/>
        <v>0.1176324142652642</v>
      </c>
      <c r="T26" s="47">
        <f t="shared" si="5"/>
        <v>0.12503328686226289</v>
      </c>
      <c r="U26" s="47">
        <f t="shared" si="5"/>
        <v>0.12123209214015597</v>
      </c>
      <c r="V26" s="47">
        <f t="shared" si="5"/>
        <v>0.13566775782825777</v>
      </c>
      <c r="W26" s="47">
        <f t="shared" si="5"/>
        <v>0.16865730884422472</v>
      </c>
    </row>
    <row r="28" spans="3:23" x14ac:dyDescent="0.35">
      <c r="C28" s="42" t="s">
        <v>171</v>
      </c>
      <c r="E28" s="43"/>
      <c r="F28" s="43"/>
      <c r="G28" s="43"/>
      <c r="H28" s="85">
        <f>-'Historic Data from PDF'!C109-'Historic Data from PDF'!C124</f>
        <v>0</v>
      </c>
      <c r="I28" s="85">
        <f>-'Historic Data from PDF'!H109-'Historic Data from PDF'!H124</f>
        <v>0</v>
      </c>
      <c r="J28" s="85">
        <f>-'Historic Data from PDF'!I109-'Historic Data from PDF'!I124</f>
        <v>0</v>
      </c>
      <c r="K28" s="85">
        <f>-'Historic Data from PDF'!J109-'Historic Data from PDF'!J124</f>
        <v>0</v>
      </c>
      <c r="L28" s="85">
        <f>-'Historic Data from PDF'!K109-'Historic Data from PDF'!K124</f>
        <v>0</v>
      </c>
      <c r="M28" s="85">
        <f>-'Historic Data from PDF'!L109-'Historic Data from PDF'!L124</f>
        <v>3186</v>
      </c>
      <c r="N28" s="85">
        <f>-'Historic Data from PDF'!M109-'Historic Data from PDF'!M124</f>
        <v>3559</v>
      </c>
      <c r="O28" s="85">
        <f>-'Historic Data from PDF'!N109-'Historic Data from PDF'!N124</f>
        <v>5596</v>
      </c>
      <c r="P28" s="85">
        <f>-'Historic Data from PDF'!O109-'Historic Data from PDF'!O124</f>
        <v>6409</v>
      </c>
      <c r="Q28" s="85">
        <f>-'Historic Data from PDF'!P109-'Historic Data from PDF'!P124</f>
        <v>3155</v>
      </c>
      <c r="R28" s="85">
        <f>-'Historic Data from PDF'!Q109-'Historic Data from PDF'!Q124</f>
        <v>3377</v>
      </c>
      <c r="S28" s="85">
        <f>-'Historic Data from PDF'!R109-'Historic Data from PDF'!R124</f>
        <v>4365</v>
      </c>
      <c r="T28" s="85">
        <f>-'Historic Data from PDF'!S109-'Historic Data from PDF'!S124</f>
        <v>5073</v>
      </c>
      <c r="U28" s="85">
        <f>-'Historic Data from PDF'!T109-'Historic Data from PDF'!T124</f>
        <v>5600</v>
      </c>
      <c r="V28" s="85">
        <f>-'Historic Data from PDF'!U109-'Historic Data from PDF'!U124</f>
        <v>5908</v>
      </c>
      <c r="W28" s="85">
        <f>-'Historic Data from PDF'!V109-'Historic Data from PDF'!V124</f>
        <v>4150</v>
      </c>
    </row>
    <row r="29" spans="3:23" x14ac:dyDescent="0.35">
      <c r="C29" s="42" t="s">
        <v>172</v>
      </c>
      <c r="E29" s="43"/>
      <c r="F29" s="43"/>
      <c r="G29" s="43"/>
      <c r="H29" s="85">
        <f>-'Historic Data from PDF'!C109-'Historic Data from PDF'!C124-'Historic Data from PDF'!C110-'Historic Data from PDF'!C125</f>
        <v>0</v>
      </c>
      <c r="I29" s="85">
        <f>-'Historic Data from PDF'!H109-'Historic Data from PDF'!H124-'Historic Data from PDF'!H110-'Historic Data from PDF'!H125</f>
        <v>0</v>
      </c>
      <c r="J29" s="85">
        <f>-'Historic Data from PDF'!I109-'Historic Data from PDF'!I124-'Historic Data from PDF'!I110-'Historic Data from PDF'!I125</f>
        <v>0</v>
      </c>
      <c r="K29" s="85">
        <f>-'Historic Data from PDF'!J109-'Historic Data from PDF'!J124-'Historic Data from PDF'!J110-'Historic Data from PDF'!J125</f>
        <v>0</v>
      </c>
      <c r="L29" s="85">
        <f>-'Historic Data from PDF'!K109-'Historic Data from PDF'!K124-'Historic Data from PDF'!K110-'Historic Data from PDF'!K125</f>
        <v>0</v>
      </c>
      <c r="M29" s="85">
        <f>-'Historic Data from PDF'!L109-'Historic Data from PDF'!L124-'Historic Data from PDF'!L110-'Historic Data from PDF'!L125</f>
        <v>1501</v>
      </c>
      <c r="N29" s="85">
        <f>-'Historic Data from PDF'!M109-'Historic Data from PDF'!M124-'Historic Data from PDF'!M110-'Historic Data from PDF'!M125</f>
        <v>3069</v>
      </c>
      <c r="O29" s="85">
        <f>-'Historic Data from PDF'!N109-'Historic Data from PDF'!N124-'Historic Data from PDF'!N110-'Historic Data from PDF'!N125</f>
        <v>4640</v>
      </c>
      <c r="P29" s="85">
        <f>-'Historic Data from PDF'!O109-'Historic Data from PDF'!O124-'Historic Data from PDF'!O110-'Historic Data from PDF'!O125</f>
        <v>4712</v>
      </c>
      <c r="Q29" s="85">
        <f>-'Historic Data from PDF'!P109-'Historic Data from PDF'!P124-'Historic Data from PDF'!P110-'Historic Data from PDF'!P125</f>
        <v>2702</v>
      </c>
      <c r="R29" s="85">
        <f>-'Historic Data from PDF'!Q109-'Historic Data from PDF'!Q124-'Historic Data from PDF'!Q110-'Historic Data from PDF'!Q125</f>
        <v>2736</v>
      </c>
      <c r="S29" s="85">
        <f>-'Historic Data from PDF'!R109-'Historic Data from PDF'!R124-'Historic Data from PDF'!R110-'Historic Data from PDF'!R125</f>
        <v>4054</v>
      </c>
      <c r="T29" s="85">
        <f>-'Historic Data from PDF'!S109-'Historic Data from PDF'!S124-'Historic Data from PDF'!S110-'Historic Data from PDF'!S125</f>
        <v>2736</v>
      </c>
      <c r="U29" s="85">
        <f>-'Historic Data from PDF'!T109-'Historic Data from PDF'!T124-'Historic Data from PDF'!T110-'Historic Data from PDF'!T125</f>
        <v>5451</v>
      </c>
      <c r="V29" s="85">
        <f>-'Historic Data from PDF'!U109-'Historic Data from PDF'!U124-'Historic Data from PDF'!U110-'Historic Data from PDF'!U125</f>
        <v>5647</v>
      </c>
      <c r="W29" s="85">
        <f>-'Historic Data from PDF'!V109-'Historic Data from PDF'!V124-'Historic Data from PDF'!V110-'Historic Data from PDF'!V125</f>
        <v>2922</v>
      </c>
    </row>
    <row r="30" spans="3:23" s="47" customFormat="1" x14ac:dyDescent="0.35">
      <c r="C30" s="47" t="s">
        <v>164</v>
      </c>
      <c r="H30" s="47" t="b">
        <f t="shared" ref="H30:W30" si="6">IF(H16,H28/H16)</f>
        <v>0</v>
      </c>
      <c r="I30" s="47" t="b">
        <f t="shared" si="6"/>
        <v>0</v>
      </c>
      <c r="J30" s="47" t="b">
        <f t="shared" si="6"/>
        <v>0</v>
      </c>
      <c r="K30" s="47" t="b">
        <f t="shared" si="6"/>
        <v>0</v>
      </c>
      <c r="L30" s="47" t="b">
        <f t="shared" si="6"/>
        <v>0</v>
      </c>
      <c r="M30" s="47">
        <f t="shared" si="6"/>
        <v>1.1394849785407726</v>
      </c>
      <c r="N30" s="47">
        <f t="shared" si="6"/>
        <v>1.2052150355570606</v>
      </c>
      <c r="O30" s="47">
        <f t="shared" si="6"/>
        <v>2.0216763005780347</v>
      </c>
      <c r="P30" s="47">
        <f t="shared" si="6"/>
        <v>1.7670250896057347</v>
      </c>
      <c r="Q30" s="47">
        <f t="shared" si="6"/>
        <v>0.83709206686123638</v>
      </c>
      <c r="R30" s="47">
        <f t="shared" si="6"/>
        <v>0.84700275896664157</v>
      </c>
      <c r="S30" s="47">
        <f t="shared" si="6"/>
        <v>1.1547619047619047</v>
      </c>
      <c r="T30" s="47">
        <f t="shared" si="6"/>
        <v>1.2711099974943623</v>
      </c>
      <c r="U30" s="47">
        <f t="shared" si="6"/>
        <v>1.4496505306756406</v>
      </c>
      <c r="V30" s="47">
        <f t="shared" si="6"/>
        <v>1.4399220082866195</v>
      </c>
      <c r="W30" s="47">
        <f t="shared" si="6"/>
        <v>0.88789045785194698</v>
      </c>
    </row>
    <row r="32" spans="3:23" s="47" customFormat="1" x14ac:dyDescent="0.35">
      <c r="C32" s="47" t="s">
        <v>149</v>
      </c>
      <c r="H32" s="82">
        <f>-IF('Historic Data from PDF'!C87,'Historic Data from PDF'!C88/'Historic Data from PDF'!C87)</f>
        <v>0</v>
      </c>
      <c r="I32" s="82">
        <f>-IF('Historic Data from PDF'!H87,'Historic Data from PDF'!H88/'Historic Data from PDF'!H87)</f>
        <v>0</v>
      </c>
      <c r="J32" s="82">
        <f>-IF('Historic Data from PDF'!I87,'Historic Data from PDF'!I88/'Historic Data from PDF'!I87)</f>
        <v>0</v>
      </c>
      <c r="K32" s="82">
        <f>-IF('Historic Data from PDF'!J87,'Historic Data from PDF'!J88/'Historic Data from PDF'!J87)</f>
        <v>0</v>
      </c>
      <c r="L32" s="82">
        <f>-IF('Historic Data from PDF'!K87,'Historic Data from PDF'!K88/'Historic Data from PDF'!K87)</f>
        <v>0</v>
      </c>
      <c r="M32" s="82">
        <f>-IF('Historic Data from PDF'!L87,'Historic Data from PDF'!L88/'Historic Data from PDF'!L87)</f>
        <v>0.27536997885835096</v>
      </c>
      <c r="N32" s="82">
        <f>-IF('Historic Data from PDF'!M87,'Historic Data from PDF'!M88/'Historic Data from PDF'!M87)</f>
        <v>0.2832618025751073</v>
      </c>
      <c r="O32" s="82">
        <f>-IF('Historic Data from PDF'!N87,'Historic Data from PDF'!N88/'Historic Data from PDF'!N87)</f>
        <v>0.2856356631810677</v>
      </c>
      <c r="P32" s="82">
        <f>-IF('Historic Data from PDF'!O87,'Historic Data from PDF'!O88/'Historic Data from PDF'!O87)</f>
        <v>-0.11242192921582235</v>
      </c>
      <c r="Q32" s="82">
        <f>-IF('Historic Data from PDF'!P87,'Historic Data from PDF'!P88/'Historic Data from PDF'!P87)</f>
        <v>0.26958808063102541</v>
      </c>
      <c r="R32" s="82">
        <f>-IF('Historic Data from PDF'!Q87,'Historic Data from PDF'!Q88/'Historic Data from PDF'!Q87)</f>
        <v>0.2402804333970682</v>
      </c>
      <c r="S32" s="82">
        <f>-IF('Historic Data from PDF'!R87,'Historic Data from PDF'!R88/'Historic Data from PDF'!R87)</f>
        <v>0.24409030544488711</v>
      </c>
      <c r="T32" s="82">
        <f>-IF('Historic Data from PDF'!S87,'Historic Data from PDF'!S88/'Historic Data from PDF'!S87)</f>
        <v>0.22958302491981247</v>
      </c>
      <c r="U32" s="82">
        <f>-IF('Historic Data from PDF'!T87,'Historic Data from PDF'!T88/'Historic Data from PDF'!T87)</f>
        <v>0.23554356206630686</v>
      </c>
      <c r="V32" s="82">
        <f>-IF('Historic Data from PDF'!U87,'Historic Data from PDF'!U88/'Historic Data from PDF'!U87)</f>
        <v>0.2614418187256955</v>
      </c>
      <c r="W32" s="82">
        <f>-IF('Historic Data from PDF'!V87,'Historic Data from PDF'!V88/'Historic Data from PDF'!V87)</f>
        <v>-0.48990190421234853</v>
      </c>
    </row>
    <row r="34" spans="1:23" x14ac:dyDescent="0.35">
      <c r="C34" s="42" t="s">
        <v>181</v>
      </c>
      <c r="E34" s="46"/>
      <c r="F34" s="46"/>
      <c r="G34" s="46"/>
      <c r="H34" s="83">
        <f>'Historic Data from PDF'!C15+'Historic Data from PDF'!C16</f>
        <v>0</v>
      </c>
      <c r="I34" s="83">
        <f>'Historic Data from PDF'!H15+'Historic Data from PDF'!H16</f>
        <v>0</v>
      </c>
      <c r="J34" s="83">
        <f>'Historic Data from PDF'!I15+'Historic Data from PDF'!I16</f>
        <v>0</v>
      </c>
      <c r="K34" s="83">
        <f>'Historic Data from PDF'!J15+'Historic Data from PDF'!J16</f>
        <v>0</v>
      </c>
      <c r="L34" s="83">
        <f>'Historic Data from PDF'!K15+'Historic Data from PDF'!K16</f>
        <v>0</v>
      </c>
      <c r="M34" s="83">
        <f>'Historic Data from PDF'!L15+'Historic Data from PDF'!L16</f>
        <v>8994</v>
      </c>
      <c r="N34" s="83">
        <f>'Historic Data from PDF'!M15+'Historic Data from PDF'!M16</f>
        <v>7253</v>
      </c>
      <c r="O34" s="83">
        <f>'Historic Data from PDF'!N15+'Historic Data from PDF'!N16</f>
        <v>7794</v>
      </c>
      <c r="P34" s="83">
        <f>'Historic Data from PDF'!O15+'Historic Data from PDF'!O16</f>
        <v>9464</v>
      </c>
      <c r="Q34" s="83">
        <f>'Historic Data from PDF'!P15+'Historic Data from PDF'!P16</f>
        <v>7648</v>
      </c>
      <c r="R34" s="83">
        <f>'Historic Data from PDF'!Q15+'Historic Data from PDF'!Q16</f>
        <v>7453</v>
      </c>
      <c r="S34" s="83">
        <f>'Historic Data from PDF'!R15+'Historic Data from PDF'!R16</f>
        <v>9701</v>
      </c>
      <c r="T34" s="83">
        <f>'Historic Data from PDF'!S15+'Historic Data from PDF'!S16</f>
        <v>9921</v>
      </c>
      <c r="U34" s="83">
        <f>'Historic Data from PDF'!T15+'Historic Data from PDF'!T16</f>
        <v>9476</v>
      </c>
      <c r="V34" s="83">
        <f>'Historic Data from PDF'!U15+'Historic Data from PDF'!U16</f>
        <v>9486</v>
      </c>
      <c r="W34" s="83">
        <f>'Historic Data from PDF'!V15+'Historic Data from PDF'!V16</f>
        <v>8261</v>
      </c>
    </row>
    <row r="35" spans="1:23" s="47" customFormat="1" x14ac:dyDescent="0.35">
      <c r="C35" s="47" t="s">
        <v>182</v>
      </c>
      <c r="H35" s="47">
        <f t="shared" ref="H35:W35" si="7">IF(H14,H34/H14)</f>
        <v>0</v>
      </c>
      <c r="I35" s="47">
        <f t="shared" si="7"/>
        <v>0</v>
      </c>
      <c r="J35" s="47">
        <f t="shared" si="7"/>
        <v>0</v>
      </c>
      <c r="K35" s="47">
        <f t="shared" si="7"/>
        <v>0</v>
      </c>
      <c r="L35" s="47">
        <f t="shared" si="7"/>
        <v>0</v>
      </c>
      <c r="M35" s="47">
        <f t="shared" si="7"/>
        <v>0.23639183115620155</v>
      </c>
      <c r="N35" s="47">
        <f t="shared" si="7"/>
        <v>0.17654504296180903</v>
      </c>
      <c r="O35" s="47">
        <f t="shared" si="7"/>
        <v>0.17416759776536314</v>
      </c>
      <c r="P35" s="47">
        <f t="shared" si="7"/>
        <v>0.15788068864273322</v>
      </c>
      <c r="Q35" s="47">
        <f t="shared" si="7"/>
        <v>0.12879323700784751</v>
      </c>
      <c r="R35" s="47">
        <f t="shared" si="7"/>
        <v>0.12410497219169414</v>
      </c>
      <c r="S35" s="47">
        <f t="shared" si="7"/>
        <v>0.1526250373656802</v>
      </c>
      <c r="T35" s="47">
        <f t="shared" si="7"/>
        <v>0.14925979418667629</v>
      </c>
      <c r="U35" s="47">
        <f t="shared" si="7"/>
        <v>0.14725718725718726</v>
      </c>
      <c r="V35" s="47">
        <f t="shared" si="7"/>
        <v>0.1470560878057855</v>
      </c>
      <c r="W35" s="47">
        <f t="shared" si="7"/>
        <v>0.12640389264620375</v>
      </c>
    </row>
    <row r="37" spans="1:23" x14ac:dyDescent="0.35">
      <c r="C37" s="42" t="s">
        <v>183</v>
      </c>
      <c r="E37" s="43"/>
      <c r="F37" s="43"/>
      <c r="G37" s="43"/>
      <c r="H37" s="81">
        <f>'Historic Data from PDF'!C38</f>
        <v>0</v>
      </c>
      <c r="I37" s="81">
        <f>'Historic Data from PDF'!H38</f>
        <v>0</v>
      </c>
      <c r="J37" s="81">
        <f>'Historic Data from PDF'!I38</f>
        <v>0</v>
      </c>
      <c r="K37" s="81">
        <f>'Historic Data from PDF'!J38</f>
        <v>0</v>
      </c>
      <c r="L37" s="81">
        <f>'Historic Data from PDF'!K38</f>
        <v>0</v>
      </c>
      <c r="M37" s="81">
        <f>'Historic Data from PDF'!L38</f>
        <v>4513</v>
      </c>
      <c r="N37" s="81">
        <f>'Historic Data from PDF'!M38</f>
        <v>5147</v>
      </c>
      <c r="O37" s="81">
        <f>'Historic Data from PDF'!N38</f>
        <v>5833</v>
      </c>
      <c r="P37" s="81">
        <f>'Historic Data from PDF'!O38</f>
        <v>7993</v>
      </c>
      <c r="Q37" s="81">
        <f>'Historic Data from PDF'!P38</f>
        <v>7929</v>
      </c>
      <c r="R37" s="81">
        <f>'Historic Data from PDF'!Q38</f>
        <v>9385</v>
      </c>
      <c r="S37" s="81">
        <f>'Historic Data from PDF'!R38</f>
        <v>11021</v>
      </c>
      <c r="T37" s="81">
        <f>'Historic Data from PDF'!S38</f>
        <v>11862</v>
      </c>
      <c r="U37" s="81">
        <f>'Historic Data from PDF'!T38</f>
        <v>12927</v>
      </c>
      <c r="V37" s="81">
        <f>'Historic Data from PDF'!U38</f>
        <v>12048</v>
      </c>
      <c r="W37" s="81">
        <f>'Historic Data from PDF'!V38</f>
        <v>12260</v>
      </c>
    </row>
    <row r="38" spans="1:23" s="47" customFormat="1" x14ac:dyDescent="0.35">
      <c r="C38" s="47" t="s">
        <v>184</v>
      </c>
      <c r="H38" s="47" t="b">
        <f t="shared" ref="H38:W38" si="8">IF(H17,H37/H17)</f>
        <v>0</v>
      </c>
      <c r="I38" s="47" t="b">
        <f t="shared" si="8"/>
        <v>0</v>
      </c>
      <c r="J38" s="47" t="b">
        <f t="shared" si="8"/>
        <v>0</v>
      </c>
      <c r="K38" s="47" t="b">
        <f t="shared" si="8"/>
        <v>0</v>
      </c>
      <c r="L38" s="47" t="b">
        <f t="shared" si="8"/>
        <v>0</v>
      </c>
      <c r="M38" s="47">
        <f t="shared" si="8"/>
        <v>0.28060685195548096</v>
      </c>
      <c r="N38" s="47">
        <f t="shared" si="8"/>
        <v>0.29927898592859636</v>
      </c>
      <c r="O38" s="47">
        <f t="shared" si="8"/>
        <v>0.29676926990587638</v>
      </c>
      <c r="P38" s="47">
        <f t="shared" si="8"/>
        <v>0.28938126787589152</v>
      </c>
      <c r="Q38" s="47">
        <f t="shared" si="8"/>
        <v>0.30002270319358254</v>
      </c>
      <c r="R38" s="47">
        <f t="shared" si="8"/>
        <v>0.37547509501900378</v>
      </c>
      <c r="S38" s="47">
        <f t="shared" si="8"/>
        <v>0.393494715795487</v>
      </c>
      <c r="T38" s="47">
        <f t="shared" si="8"/>
        <v>0.39752010723860592</v>
      </c>
      <c r="U38" s="47">
        <f t="shared" si="8"/>
        <v>0.45262605042016807</v>
      </c>
      <c r="V38" s="47">
        <f t="shared" si="8"/>
        <v>0.42093494514708968</v>
      </c>
      <c r="W38" s="47">
        <f t="shared" si="8"/>
        <v>0.42636063293340287</v>
      </c>
    </row>
    <row r="40" spans="1:23" s="1" customFormat="1" x14ac:dyDescent="0.35">
      <c r="A40" s="1" t="s">
        <v>139</v>
      </c>
    </row>
    <row r="42" spans="1:23" x14ac:dyDescent="0.35">
      <c r="C42" s="42" t="s">
        <v>186</v>
      </c>
      <c r="E42" s="47"/>
      <c r="F42" s="47"/>
      <c r="G42" s="47"/>
      <c r="H42" s="47">
        <f t="shared" ref="H42:W42" si="9">IF(H32&gt;0,H32,0.25)</f>
        <v>0.25</v>
      </c>
      <c r="I42" s="47">
        <f t="shared" si="9"/>
        <v>0.25</v>
      </c>
      <c r="J42" s="47">
        <f t="shared" si="9"/>
        <v>0.25</v>
      </c>
      <c r="K42" s="47">
        <f t="shared" si="9"/>
        <v>0.25</v>
      </c>
      <c r="L42" s="47">
        <f t="shared" si="9"/>
        <v>0.25</v>
      </c>
      <c r="M42" s="47">
        <f t="shared" si="9"/>
        <v>0.27536997885835096</v>
      </c>
      <c r="N42" s="47">
        <f t="shared" si="9"/>
        <v>0.2832618025751073</v>
      </c>
      <c r="O42" s="47">
        <f t="shared" si="9"/>
        <v>0.2856356631810677</v>
      </c>
      <c r="P42" s="47">
        <f t="shared" si="9"/>
        <v>0.25</v>
      </c>
      <c r="Q42" s="47">
        <f t="shared" si="9"/>
        <v>0.26958808063102541</v>
      </c>
      <c r="R42" s="47">
        <f t="shared" si="9"/>
        <v>0.2402804333970682</v>
      </c>
      <c r="S42" s="47">
        <f t="shared" si="9"/>
        <v>0.24409030544488711</v>
      </c>
      <c r="T42" s="47">
        <f t="shared" si="9"/>
        <v>0.22958302491981247</v>
      </c>
      <c r="U42" s="47">
        <f t="shared" si="9"/>
        <v>0.23554356206630686</v>
      </c>
      <c r="V42" s="47">
        <f t="shared" si="9"/>
        <v>0.2614418187256955</v>
      </c>
      <c r="W42" s="47">
        <f t="shared" si="9"/>
        <v>0.25</v>
      </c>
    </row>
    <row r="43" spans="1:23" x14ac:dyDescent="0.35">
      <c r="C43" s="42" t="s">
        <v>188</v>
      </c>
      <c r="E43" s="46"/>
      <c r="F43" s="46"/>
      <c r="G43" s="46"/>
      <c r="H43" s="46">
        <f t="shared" ref="H43:W43" si="10">H12-H16</f>
        <v>0</v>
      </c>
      <c r="I43" s="46">
        <f t="shared" si="10"/>
        <v>0</v>
      </c>
      <c r="J43" s="46">
        <f t="shared" si="10"/>
        <v>0</v>
      </c>
      <c r="K43" s="46">
        <f t="shared" si="10"/>
        <v>0</v>
      </c>
      <c r="L43" s="46">
        <f t="shared" si="10"/>
        <v>0</v>
      </c>
      <c r="M43" s="46">
        <f t="shared" si="10"/>
        <v>2749</v>
      </c>
      <c r="N43" s="46">
        <f t="shared" si="10"/>
        <v>3520</v>
      </c>
      <c r="O43" s="46">
        <f t="shared" si="10"/>
        <v>4886</v>
      </c>
      <c r="P43" s="46">
        <f t="shared" si="10"/>
        <v>7420</v>
      </c>
      <c r="Q43" s="46">
        <f t="shared" si="10"/>
        <v>8781</v>
      </c>
      <c r="R43" s="46">
        <f t="shared" si="10"/>
        <v>9655</v>
      </c>
      <c r="S43" s="46">
        <f t="shared" si="10"/>
        <v>9192</v>
      </c>
      <c r="T43" s="46">
        <f t="shared" si="10"/>
        <v>9389</v>
      </c>
      <c r="U43" s="46">
        <f t="shared" si="10"/>
        <v>8742</v>
      </c>
      <c r="V43" s="46">
        <f t="shared" si="10"/>
        <v>8430</v>
      </c>
      <c r="W43" s="46">
        <f t="shared" si="10"/>
        <v>7589</v>
      </c>
    </row>
    <row r="44" spans="1:23" x14ac:dyDescent="0.35">
      <c r="C44" s="42" t="s">
        <v>152</v>
      </c>
      <c r="E44" s="46"/>
      <c r="F44" s="46"/>
      <c r="G44" s="46"/>
      <c r="H44" s="46">
        <f t="shared" ref="H44:W44" si="11">H43*(1-H42)</f>
        <v>0</v>
      </c>
      <c r="I44" s="46">
        <f t="shared" si="11"/>
        <v>0</v>
      </c>
      <c r="J44" s="46">
        <f t="shared" si="11"/>
        <v>0</v>
      </c>
      <c r="K44" s="46">
        <f t="shared" si="11"/>
        <v>0</v>
      </c>
      <c r="L44" s="46">
        <f t="shared" si="11"/>
        <v>0</v>
      </c>
      <c r="M44" s="46">
        <f t="shared" si="11"/>
        <v>1992.007928118393</v>
      </c>
      <c r="N44" s="46">
        <f t="shared" si="11"/>
        <v>2522.9184549356223</v>
      </c>
      <c r="O44" s="46">
        <f t="shared" si="11"/>
        <v>3490.3841496973032</v>
      </c>
      <c r="P44" s="46">
        <f t="shared" si="11"/>
        <v>5565</v>
      </c>
      <c r="Q44" s="46">
        <f t="shared" si="11"/>
        <v>6413.7470639789663</v>
      </c>
      <c r="R44" s="46">
        <f t="shared" si="11"/>
        <v>7335.0924155513067</v>
      </c>
      <c r="S44" s="46">
        <f t="shared" si="11"/>
        <v>6948.3219123505978</v>
      </c>
      <c r="T44" s="46">
        <f t="shared" si="11"/>
        <v>7233.4449790278804</v>
      </c>
      <c r="U44" s="46">
        <f t="shared" si="11"/>
        <v>6682.8781804163455</v>
      </c>
      <c r="V44" s="46">
        <f t="shared" si="11"/>
        <v>6226.0454681423871</v>
      </c>
      <c r="W44" s="46">
        <f t="shared" si="11"/>
        <v>5691.75</v>
      </c>
    </row>
    <row r="46" spans="1:23" x14ac:dyDescent="0.35">
      <c r="C46" s="42" t="s">
        <v>166</v>
      </c>
      <c r="E46" s="43"/>
      <c r="F46" s="43"/>
      <c r="G46" s="43"/>
      <c r="H46" s="81">
        <f>'Historic Data from PDF'!C48</f>
        <v>0</v>
      </c>
      <c r="I46" s="81">
        <f>'Historic Data from PDF'!H48</f>
        <v>0</v>
      </c>
      <c r="J46" s="81">
        <f>'Historic Data from PDF'!I48</f>
        <v>0</v>
      </c>
      <c r="K46" s="81">
        <f>'Historic Data from PDF'!J48</f>
        <v>0</v>
      </c>
      <c r="L46" s="81">
        <f>'Historic Data from PDF'!K48</f>
        <v>0</v>
      </c>
      <c r="M46" s="81">
        <f>'Historic Data from PDF'!L48</f>
        <v>41658</v>
      </c>
      <c r="N46" s="81">
        <f>'Historic Data from PDF'!M48</f>
        <v>40941</v>
      </c>
      <c r="O46" s="81">
        <f>'Historic Data from PDF'!N48</f>
        <v>42859</v>
      </c>
      <c r="P46" s="81">
        <f>'Historic Data from PDF'!O48</f>
        <v>107003</v>
      </c>
      <c r="Q46" s="81">
        <f>'Historic Data from PDF'!P48</f>
        <v>97026</v>
      </c>
      <c r="R46" s="81">
        <f>'Historic Data from PDF'!Q48</f>
        <v>102006</v>
      </c>
      <c r="S46" s="81">
        <f>'Historic Data from PDF'!R48</f>
        <v>104803</v>
      </c>
      <c r="T46" s="81">
        <f>'Historic Data from PDF'!S48</f>
        <v>107484</v>
      </c>
      <c r="U46" s="81">
        <f>'Historic Data from PDF'!T48</f>
        <v>110474</v>
      </c>
      <c r="V46" s="81">
        <f>'Historic Data from PDF'!U48</f>
        <v>94862</v>
      </c>
      <c r="W46" s="81">
        <f>'Historic Data from PDF'!V48</f>
        <v>82853</v>
      </c>
    </row>
    <row r="47" spans="1:23" x14ac:dyDescent="0.35">
      <c r="C47" s="42" t="s">
        <v>167</v>
      </c>
      <c r="E47" s="43"/>
      <c r="F47" s="43"/>
      <c r="G47" s="43"/>
      <c r="H47" s="43">
        <f>IF(C46&gt;0,AVERAGE(H46,C46),H46)</f>
        <v>0</v>
      </c>
      <c r="I47" s="43">
        <f t="shared" ref="I47:W47" si="12">IF(H46&gt;0,AVERAGE(I46,H46),I46)</f>
        <v>0</v>
      </c>
      <c r="J47" s="43">
        <f t="shared" si="12"/>
        <v>0</v>
      </c>
      <c r="K47" s="43">
        <f t="shared" si="12"/>
        <v>0</v>
      </c>
      <c r="L47" s="43">
        <f t="shared" si="12"/>
        <v>0</v>
      </c>
      <c r="M47" s="43">
        <f t="shared" si="12"/>
        <v>41658</v>
      </c>
      <c r="N47" s="43">
        <f t="shared" si="12"/>
        <v>41299.5</v>
      </c>
      <c r="O47" s="43">
        <f t="shared" si="12"/>
        <v>41900</v>
      </c>
      <c r="P47" s="43">
        <f t="shared" si="12"/>
        <v>74931</v>
      </c>
      <c r="Q47" s="43">
        <f t="shared" si="12"/>
        <v>102014.5</v>
      </c>
      <c r="R47" s="43">
        <f t="shared" si="12"/>
        <v>99516</v>
      </c>
      <c r="S47" s="43">
        <f t="shared" si="12"/>
        <v>103404.5</v>
      </c>
      <c r="T47" s="43">
        <f t="shared" si="12"/>
        <v>106143.5</v>
      </c>
      <c r="U47" s="43">
        <f t="shared" si="12"/>
        <v>108979</v>
      </c>
      <c r="V47" s="43">
        <f t="shared" si="12"/>
        <v>102668</v>
      </c>
      <c r="W47" s="43">
        <f t="shared" si="12"/>
        <v>88857.5</v>
      </c>
    </row>
    <row r="48" spans="1:23" x14ac:dyDescent="0.35">
      <c r="C48" s="42" t="s">
        <v>153</v>
      </c>
      <c r="E48" s="47"/>
      <c r="F48" s="47"/>
      <c r="G48" s="47"/>
      <c r="H48" s="47" t="b">
        <f t="shared" ref="H48:W48" si="13">IF(H47,H44/H47)</f>
        <v>0</v>
      </c>
      <c r="I48" s="47" t="b">
        <f t="shared" si="13"/>
        <v>0</v>
      </c>
      <c r="J48" s="47" t="b">
        <f t="shared" si="13"/>
        <v>0</v>
      </c>
      <c r="K48" s="47" t="b">
        <f t="shared" si="13"/>
        <v>0</v>
      </c>
      <c r="L48" s="47" t="b">
        <f t="shared" si="13"/>
        <v>0</v>
      </c>
      <c r="M48" s="47">
        <f t="shared" si="13"/>
        <v>4.7818136447222458E-2</v>
      </c>
      <c r="N48" s="47">
        <f t="shared" si="13"/>
        <v>6.1088353489403557E-2</v>
      </c>
      <c r="O48" s="47">
        <f t="shared" si="13"/>
        <v>8.3302724336451153E-2</v>
      </c>
      <c r="P48" s="47">
        <f t="shared" si="13"/>
        <v>7.4268326860711859E-2</v>
      </c>
      <c r="Q48" s="47">
        <f t="shared" si="13"/>
        <v>6.2870935641295755E-2</v>
      </c>
      <c r="R48" s="47">
        <f t="shared" si="13"/>
        <v>7.3707669274803114E-2</v>
      </c>
      <c r="S48" s="47">
        <f t="shared" si="13"/>
        <v>6.7195546734915776E-2</v>
      </c>
      <c r="T48" s="47">
        <f t="shared" si="13"/>
        <v>6.8147790293591984E-2</v>
      </c>
      <c r="U48" s="47">
        <f t="shared" si="13"/>
        <v>6.1322623445033864E-2</v>
      </c>
      <c r="V48" s="47">
        <f t="shared" si="13"/>
        <v>6.064251244927716E-2</v>
      </c>
      <c r="W48" s="47">
        <f t="shared" si="13"/>
        <v>6.4054806853670196E-2</v>
      </c>
    </row>
    <row r="50" spans="3:23" x14ac:dyDescent="0.35">
      <c r="C50" s="42" t="s">
        <v>187</v>
      </c>
      <c r="E50" s="43"/>
      <c r="F50" s="43"/>
      <c r="G50" s="43"/>
      <c r="H50" s="81">
        <f>'Historic Data from PDF'!C31-'Historic Data from PDF'!C30</f>
        <v>0</v>
      </c>
      <c r="I50" s="81">
        <f>'Historic Data from PDF'!H31-'Historic Data from PDF'!H30</f>
        <v>0</v>
      </c>
      <c r="J50" s="81">
        <f>'Historic Data from PDF'!I31-'Historic Data from PDF'!I30</f>
        <v>0</v>
      </c>
      <c r="K50" s="81">
        <f>'Historic Data from PDF'!J31-'Historic Data from PDF'!J30</f>
        <v>0</v>
      </c>
      <c r="L50" s="81">
        <f>'Historic Data from PDF'!K31-'Historic Data from PDF'!K30</f>
        <v>0</v>
      </c>
      <c r="M50" s="81">
        <f>'Historic Data from PDF'!L31-'Historic Data from PDF'!L30</f>
        <v>17968</v>
      </c>
      <c r="N50" s="81">
        <f>'Historic Data from PDF'!M31-'Historic Data from PDF'!M30</f>
        <v>17597</v>
      </c>
      <c r="O50" s="81">
        <f>'Historic Data from PDF'!N31-'Historic Data from PDF'!N30</f>
        <v>19942.677000045776</v>
      </c>
      <c r="P50" s="81">
        <f>'Historic Data from PDF'!O31-'Historic Data from PDF'!O30</f>
        <v>55521</v>
      </c>
      <c r="Q50" s="81">
        <f>'Historic Data from PDF'!P31-'Historic Data from PDF'!P30</f>
        <v>54829</v>
      </c>
      <c r="R50" s="81">
        <f>'Historic Data from PDF'!Q31-'Historic Data from PDF'!Q30</f>
        <v>64248</v>
      </c>
      <c r="S50" s="81">
        <f>'Historic Data from PDF'!R31-'Historic Data from PDF'!R30</f>
        <v>65866</v>
      </c>
      <c r="T50" s="81">
        <f>'Historic Data from PDF'!S31-'Historic Data from PDF'!S30</f>
        <v>70261</v>
      </c>
      <c r="U50" s="81">
        <f>'Historic Data from PDF'!T31-'Historic Data from PDF'!T30</f>
        <v>67811</v>
      </c>
      <c r="V50" s="81">
        <f>'Historic Data from PDF'!U31-'Historic Data from PDF'!U30</f>
        <v>52437</v>
      </c>
      <c r="W50" s="81">
        <f>'Historic Data from PDF'!V31-'Historic Data from PDF'!V30</f>
        <v>43489</v>
      </c>
    </row>
    <row r="51" spans="3:23" x14ac:dyDescent="0.35">
      <c r="C51" s="42" t="s">
        <v>170</v>
      </c>
      <c r="E51" s="43"/>
      <c r="F51" s="43"/>
      <c r="G51" s="43"/>
      <c r="H51" s="43">
        <f>IF(C50&gt;0,AVERAGE(H50,C50),H50)</f>
        <v>0</v>
      </c>
      <c r="I51" s="43">
        <f t="shared" ref="I51:W51" si="14">IF(H50&gt;0,AVERAGE(I50,H50),I50)</f>
        <v>0</v>
      </c>
      <c r="J51" s="43">
        <f t="shared" si="14"/>
        <v>0</v>
      </c>
      <c r="K51" s="43">
        <f t="shared" si="14"/>
        <v>0</v>
      </c>
      <c r="L51" s="43">
        <f t="shared" si="14"/>
        <v>0</v>
      </c>
      <c r="M51" s="43">
        <f t="shared" si="14"/>
        <v>17968</v>
      </c>
      <c r="N51" s="43">
        <f t="shared" si="14"/>
        <v>17782.5</v>
      </c>
      <c r="O51" s="43">
        <f t="shared" si="14"/>
        <v>18769.838500022888</v>
      </c>
      <c r="P51" s="43">
        <f t="shared" si="14"/>
        <v>37731.838500022888</v>
      </c>
      <c r="Q51" s="43">
        <f t="shared" si="14"/>
        <v>55175</v>
      </c>
      <c r="R51" s="43">
        <f t="shared" si="14"/>
        <v>59538.5</v>
      </c>
      <c r="S51" s="43">
        <f t="shared" si="14"/>
        <v>65057</v>
      </c>
      <c r="T51" s="43">
        <f t="shared" si="14"/>
        <v>68063.5</v>
      </c>
      <c r="U51" s="43">
        <f t="shared" si="14"/>
        <v>69036</v>
      </c>
      <c r="V51" s="43">
        <f t="shared" si="14"/>
        <v>60124</v>
      </c>
      <c r="W51" s="43">
        <f t="shared" si="14"/>
        <v>47963</v>
      </c>
    </row>
    <row r="52" spans="3:23" x14ac:dyDescent="0.35">
      <c r="C52" s="42" t="s">
        <v>190</v>
      </c>
      <c r="E52" s="43"/>
      <c r="F52" s="43"/>
      <c r="G52" s="43"/>
      <c r="H52" s="81">
        <f>'Historic Data from PDF'!C91+'Historic Data from PDF'!C84</f>
        <v>0</v>
      </c>
      <c r="I52" s="81">
        <f>'Historic Data from PDF'!H91</f>
        <v>0</v>
      </c>
      <c r="J52" s="81">
        <f>'Historic Data from PDF'!I91</f>
        <v>0</v>
      </c>
      <c r="K52" s="81">
        <f>'Historic Data from PDF'!J91</f>
        <v>0</v>
      </c>
      <c r="L52" s="81">
        <f>'Historic Data from PDF'!K91</f>
        <v>0</v>
      </c>
      <c r="M52" s="81">
        <f>'Historic Data from PDF'!L91</f>
        <v>1110</v>
      </c>
      <c r="N52" s="81">
        <f>'Historic Data from PDF'!M91</f>
        <v>1884</v>
      </c>
      <c r="O52" s="81">
        <f>'Historic Data from PDF'!N91</f>
        <v>2297</v>
      </c>
      <c r="P52" s="81">
        <f>'Historic Data from PDF'!O91</f>
        <v>2631</v>
      </c>
      <c r="Q52" s="81">
        <f>'Historic Data from PDF'!P91</f>
        <v>3602</v>
      </c>
      <c r="R52" s="81">
        <f>'Historic Data from PDF'!Q91</f>
        <v>5351</v>
      </c>
      <c r="S52" s="81">
        <f>'Historic Data from PDF'!R91</f>
        <v>5149</v>
      </c>
      <c r="T52" s="81">
        <f>'Historic Data from PDF'!S91</f>
        <v>5607</v>
      </c>
      <c r="U52" s="81">
        <f>'Historic Data from PDF'!T91</f>
        <v>5471</v>
      </c>
      <c r="V52" s="81">
        <f>'Historic Data from PDF'!U91</f>
        <v>4414</v>
      </c>
      <c r="W52" s="81">
        <f>'Historic Data from PDF'!V91</f>
        <v>-2926</v>
      </c>
    </row>
    <row r="53" spans="3:23" x14ac:dyDescent="0.35">
      <c r="C53" s="42" t="s">
        <v>154</v>
      </c>
      <c r="E53" s="47"/>
      <c r="F53" s="47"/>
      <c r="G53" s="47"/>
      <c r="H53" s="47" t="b">
        <f t="shared" ref="H53:W53" si="15">IF(H51,H52/H51)</f>
        <v>0</v>
      </c>
      <c r="I53" s="47" t="b">
        <f t="shared" si="15"/>
        <v>0</v>
      </c>
      <c r="J53" s="47" t="b">
        <f t="shared" si="15"/>
        <v>0</v>
      </c>
      <c r="K53" s="47" t="b">
        <f t="shared" si="15"/>
        <v>0</v>
      </c>
      <c r="L53" s="47" t="b">
        <f t="shared" si="15"/>
        <v>0</v>
      </c>
      <c r="M53" s="47">
        <f t="shared" si="15"/>
        <v>6.1776491540516475E-2</v>
      </c>
      <c r="N53" s="47">
        <f t="shared" si="15"/>
        <v>0.10594685786587937</v>
      </c>
      <c r="O53" s="47">
        <f t="shared" si="15"/>
        <v>0.12237718507792164</v>
      </c>
      <c r="P53" s="47">
        <f t="shared" si="15"/>
        <v>6.9728910771162236E-2</v>
      </c>
      <c r="Q53" s="47">
        <f t="shared" si="15"/>
        <v>6.5283189850475765E-2</v>
      </c>
      <c r="R53" s="47">
        <f t="shared" si="15"/>
        <v>8.987461894404461E-2</v>
      </c>
      <c r="S53" s="47">
        <f t="shared" si="15"/>
        <v>7.9145979679358103E-2</v>
      </c>
      <c r="T53" s="47">
        <f t="shared" si="15"/>
        <v>8.2378954946483798E-2</v>
      </c>
      <c r="U53" s="47">
        <f t="shared" si="15"/>
        <v>7.9248508024798658E-2</v>
      </c>
      <c r="V53" s="47">
        <f t="shared" si="15"/>
        <v>7.3414942452265319E-2</v>
      </c>
      <c r="W53" s="47">
        <f t="shared" si="15"/>
        <v>-6.1005358297020619E-2</v>
      </c>
    </row>
    <row r="55" spans="3:23" x14ac:dyDescent="0.35">
      <c r="C55" s="42" t="s">
        <v>192</v>
      </c>
      <c r="E55" s="43"/>
      <c r="F55" s="43"/>
      <c r="G55" s="43"/>
      <c r="H55" s="81">
        <f>'Historic Data from PDF'!C30</f>
        <v>0</v>
      </c>
      <c r="I55" s="81">
        <f>'Historic Data from PDF'!H30</f>
        <v>0</v>
      </c>
      <c r="J55" s="81">
        <f>'Historic Data from PDF'!I30</f>
        <v>0</v>
      </c>
      <c r="K55" s="81">
        <f>'Historic Data from PDF'!J30</f>
        <v>0</v>
      </c>
      <c r="L55" s="81">
        <f>'Historic Data from PDF'!K30</f>
        <v>0</v>
      </c>
      <c r="M55" s="81">
        <f>'Historic Data from PDF'!L30</f>
        <v>1528</v>
      </c>
      <c r="N55" s="81">
        <f>'Historic Data from PDF'!M30</f>
        <v>1390</v>
      </c>
      <c r="O55" s="43"/>
      <c r="P55" s="81">
        <f>'Historic Data from PDF'!O30</f>
        <v>5230</v>
      </c>
      <c r="Q55" s="81">
        <f>'Historic Data from PDF'!P30</f>
        <v>4660</v>
      </c>
      <c r="R55" s="81">
        <f>'Historic Data from PDF'!Q30</f>
        <v>5381</v>
      </c>
      <c r="S55" s="81">
        <f>'Historic Data from PDF'!R30</f>
        <v>5763</v>
      </c>
      <c r="T55" s="81">
        <f>'Historic Data from PDF'!S30</f>
        <v>3389</v>
      </c>
      <c r="U55" s="81">
        <f>'Historic Data from PDF'!T30</f>
        <v>3688</v>
      </c>
      <c r="V55" s="81">
        <f>'Historic Data from PDF'!U30</f>
        <v>3560</v>
      </c>
      <c r="W55" s="81">
        <f>'Historic Data from PDF'!V30</f>
        <v>3742</v>
      </c>
    </row>
    <row r="56" spans="3:23" x14ac:dyDescent="0.35">
      <c r="C56" s="42" t="s">
        <v>170</v>
      </c>
      <c r="E56" s="43"/>
      <c r="F56" s="43"/>
      <c r="G56" s="43"/>
      <c r="H56" s="43">
        <f>IF(C55&gt;0,AVERAGE(H55,C55),H55)</f>
        <v>0</v>
      </c>
      <c r="I56" s="43">
        <f t="shared" ref="I56:W56" si="16">IF(H55&gt;0,AVERAGE(I55,H55),I55)</f>
        <v>0</v>
      </c>
      <c r="J56" s="43">
        <f t="shared" si="16"/>
        <v>0</v>
      </c>
      <c r="K56" s="43">
        <f t="shared" si="16"/>
        <v>0</v>
      </c>
      <c r="L56" s="43">
        <f t="shared" si="16"/>
        <v>0</v>
      </c>
      <c r="M56" s="43">
        <f t="shared" si="16"/>
        <v>1528</v>
      </c>
      <c r="N56" s="43">
        <f t="shared" si="16"/>
        <v>1459</v>
      </c>
      <c r="O56" s="43">
        <f t="shared" si="16"/>
        <v>1390</v>
      </c>
      <c r="P56" s="43">
        <f t="shared" si="16"/>
        <v>5230</v>
      </c>
      <c r="Q56" s="43">
        <f t="shared" si="16"/>
        <v>4945</v>
      </c>
      <c r="R56" s="43">
        <f t="shared" si="16"/>
        <v>5020.5</v>
      </c>
      <c r="S56" s="43">
        <f t="shared" si="16"/>
        <v>5572</v>
      </c>
      <c r="T56" s="43">
        <f t="shared" si="16"/>
        <v>4576</v>
      </c>
      <c r="U56" s="43">
        <f t="shared" si="16"/>
        <v>3538.5</v>
      </c>
      <c r="V56" s="43">
        <f t="shared" si="16"/>
        <v>3624</v>
      </c>
      <c r="W56" s="43">
        <f t="shared" si="16"/>
        <v>3651</v>
      </c>
    </row>
    <row r="57" spans="3:23" x14ac:dyDescent="0.35">
      <c r="C57" s="42" t="s">
        <v>193</v>
      </c>
      <c r="E57" s="43"/>
      <c r="F57" s="43"/>
      <c r="G57" s="43"/>
      <c r="H57" s="81">
        <f>'Historic Data from PDF'!C90</f>
        <v>0</v>
      </c>
      <c r="I57" s="81">
        <f>'Historic Data from PDF'!H90</f>
        <v>0</v>
      </c>
      <c r="J57" s="81">
        <f>'Historic Data from PDF'!I90</f>
        <v>0</v>
      </c>
      <c r="K57" s="81">
        <f>'Historic Data from PDF'!J90</f>
        <v>0</v>
      </c>
      <c r="L57" s="81">
        <f>'Historic Data from PDF'!K90</f>
        <v>0</v>
      </c>
      <c r="M57" s="81">
        <f>'Historic Data from PDF'!L90</f>
        <v>261</v>
      </c>
      <c r="N57" s="81">
        <f>'Historic Data from PDF'!M90</f>
        <v>287</v>
      </c>
      <c r="O57" s="81">
        <f>'Historic Data from PDF'!N90</f>
        <v>299</v>
      </c>
      <c r="P57" s="81">
        <f>'Historic Data from PDF'!O90</f>
        <v>575</v>
      </c>
      <c r="Q57" s="81">
        <f>'Historic Data from PDF'!P90</f>
        <v>565</v>
      </c>
      <c r="R57" s="81">
        <f>'Historic Data from PDF'!Q90</f>
        <v>609</v>
      </c>
      <c r="S57" s="81">
        <f>'Historic Data from PDF'!R90</f>
        <v>543</v>
      </c>
      <c r="T57" s="81">
        <f>'Historic Data from PDF'!S90</f>
        <v>638</v>
      </c>
      <c r="U57" s="81">
        <f>'Historic Data from PDF'!T90</f>
        <v>478</v>
      </c>
      <c r="V57" s="81">
        <f>'Historic Data from PDF'!U90</f>
        <v>524</v>
      </c>
      <c r="W57" s="81">
        <f>'Historic Data from PDF'!V90</f>
        <v>344</v>
      </c>
    </row>
    <row r="58" spans="3:23" x14ac:dyDescent="0.35">
      <c r="C58" s="42" t="s">
        <v>165</v>
      </c>
      <c r="E58" s="47"/>
      <c r="F58" s="47"/>
      <c r="G58" s="47"/>
      <c r="H58" s="47" t="b">
        <f t="shared" ref="H58:W58" si="17">IF(H56,H57/H56)</f>
        <v>0</v>
      </c>
      <c r="I58" s="47" t="b">
        <f t="shared" si="17"/>
        <v>0</v>
      </c>
      <c r="J58" s="47" t="b">
        <f t="shared" si="17"/>
        <v>0</v>
      </c>
      <c r="K58" s="47" t="b">
        <f t="shared" si="17"/>
        <v>0</v>
      </c>
      <c r="L58" s="47" t="b">
        <f t="shared" si="17"/>
        <v>0</v>
      </c>
      <c r="M58" s="47">
        <f t="shared" si="17"/>
        <v>0.17081151832460734</v>
      </c>
      <c r="N58" s="47">
        <f t="shared" si="17"/>
        <v>0.19671007539410554</v>
      </c>
      <c r="O58" s="47">
        <f t="shared" si="17"/>
        <v>0.21510791366906476</v>
      </c>
      <c r="P58" s="47">
        <f t="shared" si="17"/>
        <v>0.10994263862332695</v>
      </c>
      <c r="Q58" s="47">
        <f t="shared" si="17"/>
        <v>0.11425682507583418</v>
      </c>
      <c r="R58" s="47">
        <f t="shared" si="17"/>
        <v>0.12130265909769944</v>
      </c>
      <c r="S58" s="47">
        <f t="shared" si="17"/>
        <v>9.7451543431442925E-2</v>
      </c>
      <c r="T58" s="47">
        <f t="shared" si="17"/>
        <v>0.13942307692307693</v>
      </c>
      <c r="U58" s="47">
        <f t="shared" si="17"/>
        <v>0.13508548820121521</v>
      </c>
      <c r="V58" s="47">
        <f t="shared" si="17"/>
        <v>0.14459161147902869</v>
      </c>
      <c r="W58" s="47">
        <f t="shared" si="17"/>
        <v>9.4220761435223233E-2</v>
      </c>
    </row>
    <row r="60" spans="3:23" x14ac:dyDescent="0.35">
      <c r="C60" s="42" t="s">
        <v>173</v>
      </c>
      <c r="E60" s="43"/>
      <c r="F60" s="43"/>
      <c r="G60" s="43"/>
      <c r="H60" s="81">
        <f>'Historic Data from PDF'!C32+'Historic Data from PDF'!C37</f>
        <v>0</v>
      </c>
      <c r="I60" s="81">
        <f>'Historic Data from PDF'!H32+'Historic Data from PDF'!H37</f>
        <v>0</v>
      </c>
      <c r="J60" s="81">
        <f>'Historic Data from PDF'!I32+'Historic Data from PDF'!I37</f>
        <v>0</v>
      </c>
      <c r="K60" s="81">
        <f>'Historic Data from PDF'!J32+'Historic Data from PDF'!J37</f>
        <v>0</v>
      </c>
      <c r="L60" s="81">
        <f>'Historic Data from PDF'!K32+'Historic Data from PDF'!K37</f>
        <v>0</v>
      </c>
      <c r="M60" s="81">
        <f>'Historic Data from PDF'!L32+'Historic Data from PDF'!L37</f>
        <v>25978</v>
      </c>
      <c r="N60" s="81">
        <f>'Historic Data from PDF'!M32+'Historic Data from PDF'!M37</f>
        <v>22797</v>
      </c>
      <c r="O60" s="81">
        <f>'Historic Data from PDF'!N32+'Historic Data from PDF'!N37</f>
        <v>23254</v>
      </c>
      <c r="P60" s="81">
        <f>'Historic Data from PDF'!O32+'Historic Data from PDF'!O37</f>
        <v>48521</v>
      </c>
      <c r="Q60" s="81">
        <f>'Historic Data from PDF'!P32+'Historic Data from PDF'!P37</f>
        <v>39397</v>
      </c>
      <c r="R60" s="81">
        <f>'Historic Data from PDF'!Q32+'Historic Data from PDF'!Q37</f>
        <v>36546</v>
      </c>
      <c r="S60" s="81">
        <f>'Historic Data from PDF'!R32+'Historic Data from PDF'!R37</f>
        <v>36239</v>
      </c>
      <c r="T60" s="81">
        <f>'Historic Data from PDF'!S32+'Historic Data from PDF'!S37</f>
        <v>40058</v>
      </c>
      <c r="U60" s="81">
        <f>'Historic Data from PDF'!T32+'Historic Data from PDF'!T37</f>
        <v>40211</v>
      </c>
      <c r="V60" s="81">
        <f>'Historic Data from PDF'!U32+'Historic Data from PDF'!U37</f>
        <v>40525</v>
      </c>
      <c r="W60" s="81">
        <f>'Historic Data from PDF'!V32+'Historic Data from PDF'!V37</f>
        <v>36028</v>
      </c>
    </row>
    <row r="61" spans="3:23" x14ac:dyDescent="0.35">
      <c r="C61" s="42" t="s">
        <v>174</v>
      </c>
      <c r="E61" s="43"/>
      <c r="F61" s="43"/>
      <c r="G61" s="43"/>
      <c r="H61" s="43">
        <f>IF(C60&gt;0,AVERAGE(H60,C60),H60)</f>
        <v>0</v>
      </c>
      <c r="I61" s="43">
        <f t="shared" ref="I61:W61" si="18">IF(H60&gt;0,AVERAGE(I60,H60),I60)</f>
        <v>0</v>
      </c>
      <c r="J61" s="43">
        <f t="shared" si="18"/>
        <v>0</v>
      </c>
      <c r="K61" s="43">
        <f t="shared" si="18"/>
        <v>0</v>
      </c>
      <c r="L61" s="43">
        <f t="shared" si="18"/>
        <v>0</v>
      </c>
      <c r="M61" s="43">
        <f t="shared" si="18"/>
        <v>25978</v>
      </c>
      <c r="N61" s="43">
        <f t="shared" si="18"/>
        <v>24387.5</v>
      </c>
      <c r="O61" s="43">
        <f t="shared" si="18"/>
        <v>23025.5</v>
      </c>
      <c r="P61" s="43">
        <f t="shared" si="18"/>
        <v>35887.5</v>
      </c>
      <c r="Q61" s="43">
        <f t="shared" si="18"/>
        <v>43959</v>
      </c>
      <c r="R61" s="43">
        <f t="shared" si="18"/>
        <v>37971.5</v>
      </c>
      <c r="S61" s="43">
        <f t="shared" si="18"/>
        <v>36392.5</v>
      </c>
      <c r="T61" s="43">
        <f t="shared" si="18"/>
        <v>38148.5</v>
      </c>
      <c r="U61" s="43">
        <f t="shared" si="18"/>
        <v>40134.5</v>
      </c>
      <c r="V61" s="43">
        <f t="shared" si="18"/>
        <v>40368</v>
      </c>
      <c r="W61" s="43">
        <f t="shared" si="18"/>
        <v>38276.5</v>
      </c>
    </row>
    <row r="62" spans="3:23" x14ac:dyDescent="0.35">
      <c r="C62" s="42" t="s">
        <v>175</v>
      </c>
      <c r="E62" s="43"/>
      <c r="F62" s="43"/>
      <c r="G62" s="43"/>
      <c r="H62" s="81">
        <f>-'Historic Data from PDF'!C104</f>
        <v>0</v>
      </c>
      <c r="I62" s="81">
        <f>-'Historic Data from PDF'!H104</f>
        <v>0</v>
      </c>
      <c r="J62" s="81">
        <f>-'Historic Data from PDF'!I104</f>
        <v>0</v>
      </c>
      <c r="K62" s="81">
        <f>-'Historic Data from PDF'!J104</f>
        <v>0</v>
      </c>
      <c r="L62" s="81">
        <f>-'Historic Data from PDF'!K104</f>
        <v>0</v>
      </c>
      <c r="M62" s="81">
        <f>-'Historic Data from PDF'!L104</f>
        <v>1235</v>
      </c>
      <c r="N62" s="81">
        <f>-'Historic Data from PDF'!M104</f>
        <v>1512</v>
      </c>
      <c r="O62" s="81">
        <f>-'Historic Data from PDF'!N104</f>
        <v>1507</v>
      </c>
      <c r="P62" s="81">
        <f>-'Historic Data from PDF'!O104</f>
        <v>3010</v>
      </c>
      <c r="Q62" s="81">
        <f>-'Historic Data from PDF'!P104</f>
        <v>1852</v>
      </c>
      <c r="R62" s="81">
        <f>-'Historic Data from PDF'!Q104</f>
        <v>2344</v>
      </c>
      <c r="S62" s="81">
        <f>-'Historic Data from PDF'!R104</f>
        <v>2288</v>
      </c>
      <c r="T62" s="81">
        <f>-'Historic Data from PDF'!S104</f>
        <v>2350</v>
      </c>
      <c r="U62" s="81">
        <f>-'Historic Data from PDF'!T104</f>
        <v>2424</v>
      </c>
      <c r="V62" s="81">
        <f>-'Historic Data from PDF'!U104</f>
        <v>2219</v>
      </c>
      <c r="W62" s="81">
        <f>-'Historic Data from PDF'!V104</f>
        <v>2050</v>
      </c>
    </row>
    <row r="63" spans="3:23" s="47" customFormat="1" x14ac:dyDescent="0.35">
      <c r="C63" s="47" t="s">
        <v>150</v>
      </c>
      <c r="H63" s="47" t="b">
        <f t="shared" ref="H63:W63" si="19">IF(H61,H62/H61)</f>
        <v>0</v>
      </c>
      <c r="I63" s="47" t="b">
        <f t="shared" si="19"/>
        <v>0</v>
      </c>
      <c r="J63" s="47" t="b">
        <f t="shared" si="19"/>
        <v>0</v>
      </c>
      <c r="K63" s="47" t="b">
        <f t="shared" si="19"/>
        <v>0</v>
      </c>
      <c r="L63" s="47" t="b">
        <f t="shared" si="19"/>
        <v>0</v>
      </c>
      <c r="M63" s="47">
        <f t="shared" si="19"/>
        <v>4.7540226345369162E-2</v>
      </c>
      <c r="N63" s="47">
        <f t="shared" si="19"/>
        <v>6.1998974884674526E-2</v>
      </c>
      <c r="O63" s="47">
        <f t="shared" si="19"/>
        <v>6.5449175913660937E-2</v>
      </c>
      <c r="P63" s="47">
        <f t="shared" si="19"/>
        <v>8.3873214907697669E-2</v>
      </c>
      <c r="Q63" s="47">
        <f t="shared" si="19"/>
        <v>4.2130166746286314E-2</v>
      </c>
      <c r="R63" s="47">
        <f t="shared" si="19"/>
        <v>6.1730508407621502E-2</v>
      </c>
      <c r="S63" s="47">
        <f t="shared" si="19"/>
        <v>6.2870096860616884E-2</v>
      </c>
      <c r="T63" s="47">
        <f t="shared" si="19"/>
        <v>6.1601373579564071E-2</v>
      </c>
      <c r="U63" s="47">
        <f t="shared" si="19"/>
        <v>6.0396915372061447E-2</v>
      </c>
      <c r="V63" s="47">
        <f t="shared" si="19"/>
        <v>5.4969282600079272E-2</v>
      </c>
      <c r="W63" s="47">
        <f t="shared" si="19"/>
        <v>5.3557665930793044E-2</v>
      </c>
    </row>
    <row r="65" spans="3:23" x14ac:dyDescent="0.35">
      <c r="C65" s="42" t="s">
        <v>176</v>
      </c>
      <c r="E65" s="43"/>
      <c r="F65" s="43"/>
      <c r="G65" s="43"/>
      <c r="H65" s="81">
        <f>'Historic Data from PDF'!C17+'Historic Data from PDF'!C20</f>
        <v>0</v>
      </c>
      <c r="I65" s="81">
        <f>'Historic Data from PDF'!H17+'Historic Data from PDF'!H20</f>
        <v>0</v>
      </c>
      <c r="J65" s="81">
        <f>'Historic Data from PDF'!I17+'Historic Data from PDF'!I20</f>
        <v>0</v>
      </c>
      <c r="K65" s="81">
        <f>'Historic Data from PDF'!J17+'Historic Data from PDF'!J20</f>
        <v>0</v>
      </c>
      <c r="L65" s="81">
        <f>'Historic Data from PDF'!K17+'Historic Data from PDF'!K20</f>
        <v>0</v>
      </c>
      <c r="M65" s="81">
        <f>'Historic Data from PDF'!L17+'Historic Data from PDF'!L20</f>
        <v>4950</v>
      </c>
      <c r="N65" s="81">
        <f>'Historic Data from PDF'!M17+'Historic Data from PDF'!M20</f>
        <v>2660</v>
      </c>
      <c r="O65" s="81">
        <f>'Historic Data from PDF'!N17+'Historic Data from PDF'!N20</f>
        <v>2372</v>
      </c>
      <c r="P65" s="81">
        <f>'Historic Data from PDF'!O17+'Historic Data from PDF'!O20</f>
        <v>2975</v>
      </c>
      <c r="Q65" s="81">
        <f>'Historic Data from PDF'!P17+'Historic Data from PDF'!P20</f>
        <v>2828</v>
      </c>
      <c r="R65" s="81">
        <f>'Historic Data from PDF'!Q17+'Historic Data from PDF'!Q20</f>
        <v>2859</v>
      </c>
      <c r="S65" s="81">
        <f>'Historic Data from PDF'!R17+'Historic Data from PDF'!R20</f>
        <v>3279</v>
      </c>
      <c r="T65" s="81">
        <f>'Historic Data from PDF'!S17+'Historic Data from PDF'!S20</f>
        <v>5760</v>
      </c>
      <c r="U65" s="81">
        <f>'Historic Data from PDF'!T17+'Historic Data from PDF'!T20</f>
        <v>3612</v>
      </c>
      <c r="V65" s="81">
        <f>'Historic Data from PDF'!U17+'Historic Data from PDF'!U20</f>
        <v>2418</v>
      </c>
      <c r="W65" s="81">
        <f>'Historic Data from PDF'!V17+'Historic Data from PDF'!V20</f>
        <v>3131</v>
      </c>
    </row>
    <row r="66" spans="3:23" x14ac:dyDescent="0.35">
      <c r="C66" s="42" t="s">
        <v>177</v>
      </c>
      <c r="E66" s="43"/>
      <c r="F66" s="43"/>
      <c r="G66" s="43"/>
      <c r="H66" s="43">
        <f>IF(C65&gt;0,AVERAGE(H65,C65),H65)</f>
        <v>0</v>
      </c>
      <c r="I66" s="43">
        <f t="shared" ref="I66:W66" si="20">IF(H65&gt;0,AVERAGE(I65,H65),I65)</f>
        <v>0</v>
      </c>
      <c r="J66" s="43">
        <f t="shared" si="20"/>
        <v>0</v>
      </c>
      <c r="K66" s="43">
        <f t="shared" si="20"/>
        <v>0</v>
      </c>
      <c r="L66" s="43">
        <f t="shared" si="20"/>
        <v>0</v>
      </c>
      <c r="M66" s="43">
        <f t="shared" si="20"/>
        <v>4950</v>
      </c>
      <c r="N66" s="43">
        <f t="shared" si="20"/>
        <v>3805</v>
      </c>
      <c r="O66" s="43">
        <f t="shared" si="20"/>
        <v>2516</v>
      </c>
      <c r="P66" s="43">
        <f t="shared" si="20"/>
        <v>2673.5</v>
      </c>
      <c r="Q66" s="43">
        <f t="shared" si="20"/>
        <v>2901.5</v>
      </c>
      <c r="R66" s="43">
        <f t="shared" si="20"/>
        <v>2843.5</v>
      </c>
      <c r="S66" s="43">
        <f t="shared" si="20"/>
        <v>3069</v>
      </c>
      <c r="T66" s="43">
        <f t="shared" si="20"/>
        <v>4519.5</v>
      </c>
      <c r="U66" s="43">
        <f t="shared" si="20"/>
        <v>4686</v>
      </c>
      <c r="V66" s="43">
        <f t="shared" si="20"/>
        <v>3015</v>
      </c>
      <c r="W66" s="43">
        <f t="shared" si="20"/>
        <v>2774.5</v>
      </c>
    </row>
    <row r="67" spans="3:23" x14ac:dyDescent="0.35">
      <c r="C67" s="42" t="s">
        <v>178</v>
      </c>
      <c r="E67" s="44"/>
      <c r="F67" s="44"/>
      <c r="G67" s="44"/>
      <c r="H67" s="80">
        <f>'Historic Data from PDF'!C105</f>
        <v>0</v>
      </c>
      <c r="I67" s="80">
        <f>'Historic Data from PDF'!H105</f>
        <v>0</v>
      </c>
      <c r="J67" s="80">
        <f>'Historic Data from PDF'!I105</f>
        <v>0</v>
      </c>
      <c r="K67" s="80">
        <f>'Historic Data from PDF'!J105</f>
        <v>0</v>
      </c>
      <c r="L67" s="80">
        <f>'Historic Data from PDF'!K105</f>
        <v>0</v>
      </c>
      <c r="M67" s="80">
        <f>'Historic Data from PDF'!L105</f>
        <v>123</v>
      </c>
      <c r="N67" s="80">
        <f>'Historic Data from PDF'!M105</f>
        <v>186</v>
      </c>
      <c r="O67" s="80">
        <f>'Historic Data from PDF'!N105</f>
        <v>187</v>
      </c>
      <c r="P67" s="80">
        <f>'Historic Data from PDF'!O105</f>
        <v>256</v>
      </c>
      <c r="Q67" s="80">
        <f>'Historic Data from PDF'!P105</f>
        <v>255</v>
      </c>
      <c r="R67" s="80">
        <f>'Historic Data from PDF'!Q105</f>
        <v>255</v>
      </c>
      <c r="S67" s="80">
        <f>'Historic Data from PDF'!R105</f>
        <v>218</v>
      </c>
      <c r="T67" s="80">
        <f>'Historic Data from PDF'!S105</f>
        <v>354</v>
      </c>
      <c r="U67" s="80">
        <f>'Historic Data from PDF'!T105</f>
        <v>329</v>
      </c>
      <c r="V67" s="80">
        <f>'Historic Data from PDF'!U105</f>
        <v>224</v>
      </c>
      <c r="W67" s="80">
        <f>'Historic Data from PDF'!V105</f>
        <v>232</v>
      </c>
    </row>
    <row r="68" spans="3:23" s="48" customFormat="1" x14ac:dyDescent="0.35">
      <c r="C68" s="48" t="s">
        <v>189</v>
      </c>
      <c r="H68" s="48" t="b">
        <f t="shared" ref="H68:W68" si="21">IF(H66,H67/H66)</f>
        <v>0</v>
      </c>
      <c r="I68" s="48" t="b">
        <f t="shared" si="21"/>
        <v>0</v>
      </c>
      <c r="J68" s="48" t="b">
        <f t="shared" si="21"/>
        <v>0</v>
      </c>
      <c r="K68" s="48" t="b">
        <f t="shared" si="21"/>
        <v>0</v>
      </c>
      <c r="L68" s="48" t="b">
        <f t="shared" si="21"/>
        <v>0</v>
      </c>
      <c r="M68" s="48">
        <f t="shared" si="21"/>
        <v>2.4848484848484849E-2</v>
      </c>
      <c r="N68" s="48">
        <f t="shared" si="21"/>
        <v>4.8883048620236534E-2</v>
      </c>
      <c r="O68" s="48">
        <f t="shared" si="21"/>
        <v>7.4324324324324328E-2</v>
      </c>
      <c r="P68" s="48">
        <f t="shared" si="21"/>
        <v>9.5754628763792787E-2</v>
      </c>
      <c r="Q68" s="48">
        <f t="shared" si="21"/>
        <v>8.7885576425986559E-2</v>
      </c>
      <c r="R68" s="48">
        <f t="shared" si="21"/>
        <v>8.9678213469315982E-2</v>
      </c>
      <c r="S68" s="48">
        <f t="shared" si="21"/>
        <v>7.1032909742587164E-2</v>
      </c>
      <c r="T68" s="48">
        <f t="shared" si="21"/>
        <v>7.832724858944573E-2</v>
      </c>
      <c r="U68" s="48">
        <f t="shared" si="21"/>
        <v>7.0209133589415273E-2</v>
      </c>
      <c r="V68" s="48">
        <f t="shared" si="21"/>
        <v>7.4295190713101159E-2</v>
      </c>
      <c r="W68" s="48">
        <f t="shared" si="21"/>
        <v>8.3618670030636152E-2</v>
      </c>
    </row>
    <row r="70" spans="3:23" x14ac:dyDescent="0.35">
      <c r="C70" s="42" t="s">
        <v>179</v>
      </c>
      <c r="E70" s="44"/>
      <c r="F70" s="44"/>
      <c r="G70" s="44"/>
      <c r="H70" s="80">
        <f>'Historic Data from PDF'!C82</f>
        <v>0</v>
      </c>
      <c r="I70" s="80">
        <f>'Historic Data from PDF'!H82</f>
        <v>0</v>
      </c>
      <c r="J70" s="80">
        <f>'Historic Data from PDF'!I82</f>
        <v>0</v>
      </c>
      <c r="K70" s="80">
        <f>'Historic Data from PDF'!J82</f>
        <v>0</v>
      </c>
      <c r="L70" s="80">
        <f>'Historic Data from PDF'!K82</f>
        <v>0</v>
      </c>
      <c r="M70" s="80">
        <f>'Historic Data from PDF'!L82</f>
        <v>232</v>
      </c>
      <c r="N70" s="80">
        <f>'Historic Data from PDF'!M82</f>
        <v>85</v>
      </c>
      <c r="O70" s="80">
        <f>'Historic Data from PDF'!N82</f>
        <v>101</v>
      </c>
      <c r="P70" s="80">
        <f>'Historic Data from PDF'!O82</f>
        <v>81</v>
      </c>
      <c r="Q70" s="80">
        <f>'Historic Data from PDF'!P82</f>
        <v>112</v>
      </c>
      <c r="R70" s="80">
        <f>'Historic Data from PDF'!Q82</f>
        <v>148</v>
      </c>
      <c r="S70" s="80">
        <f>'Historic Data from PDF'!R82</f>
        <v>180</v>
      </c>
      <c r="T70" s="80">
        <f>'Historic Data from PDF'!S82</f>
        <v>108</v>
      </c>
      <c r="U70" s="80">
        <f>'Historic Data from PDF'!T82</f>
        <v>370</v>
      </c>
      <c r="V70" s="80">
        <f>'Historic Data from PDF'!U82</f>
        <v>408</v>
      </c>
      <c r="W70" s="80">
        <f>'Historic Data from PDF'!V82</f>
        <v>364</v>
      </c>
    </row>
    <row r="71" spans="3:23" x14ac:dyDescent="0.35">
      <c r="C71" s="42" t="s">
        <v>180</v>
      </c>
      <c r="E71" s="44"/>
      <c r="F71" s="44"/>
      <c r="G71" s="44"/>
      <c r="H71" s="80">
        <f>'Historic Data from PDF'!C8</f>
        <v>0</v>
      </c>
      <c r="I71" s="80">
        <f>'Historic Data from PDF'!H8</f>
        <v>0</v>
      </c>
      <c r="J71" s="80">
        <f>'Historic Data from PDF'!I8</f>
        <v>0</v>
      </c>
      <c r="K71" s="80">
        <f>'Historic Data from PDF'!J8</f>
        <v>0</v>
      </c>
      <c r="L71" s="80">
        <f>'Historic Data from PDF'!K8</f>
        <v>0</v>
      </c>
      <c r="M71" s="80">
        <f>'Historic Data from PDF'!L8</f>
        <v>1105</v>
      </c>
      <c r="N71" s="80">
        <f>'Historic Data from PDF'!M8</f>
        <v>579</v>
      </c>
      <c r="O71" s="80">
        <f>'Historic Data from PDF'!N8</f>
        <v>622</v>
      </c>
      <c r="P71" s="80">
        <f>'Historic Data from PDF'!O8</f>
        <v>2224</v>
      </c>
      <c r="Q71" s="80">
        <f>'Historic Data from PDF'!P8</f>
        <v>2667</v>
      </c>
      <c r="R71" s="80">
        <f>'Historic Data from PDF'!Q8</f>
        <v>4877</v>
      </c>
      <c r="S71" s="80">
        <f>'Historic Data from PDF'!R8</f>
        <v>5051</v>
      </c>
      <c r="T71" s="80">
        <f>'Historic Data from PDF'!S8</f>
        <v>6241</v>
      </c>
      <c r="U71" s="80">
        <f>'Historic Data from PDF'!T8</f>
        <v>3771</v>
      </c>
      <c r="V71" s="80">
        <f>'Historic Data from PDF'!U8</f>
        <v>4277</v>
      </c>
      <c r="W71" s="80">
        <f>'Historic Data from PDF'!V8</f>
        <v>4676</v>
      </c>
    </row>
    <row r="72" spans="3:23" x14ac:dyDescent="0.35">
      <c r="C72" s="42" t="s">
        <v>185</v>
      </c>
      <c r="E72" s="43"/>
      <c r="F72" s="43"/>
      <c r="G72" s="43"/>
      <c r="H72" s="43">
        <f>IF(C71&gt;0,AVERAGE(H71,C71),H71)</f>
        <v>0</v>
      </c>
      <c r="I72" s="43">
        <f t="shared" ref="I72:W72" si="22">IF(H71&gt;0,AVERAGE(I71,H71),I71)</f>
        <v>0</v>
      </c>
      <c r="J72" s="43">
        <f t="shared" si="22"/>
        <v>0</v>
      </c>
      <c r="K72" s="43">
        <f t="shared" si="22"/>
        <v>0</v>
      </c>
      <c r="L72" s="43">
        <f t="shared" si="22"/>
        <v>0</v>
      </c>
      <c r="M72" s="43">
        <f t="shared" si="22"/>
        <v>1105</v>
      </c>
      <c r="N72" s="43">
        <f t="shared" si="22"/>
        <v>842</v>
      </c>
      <c r="O72" s="43">
        <f t="shared" si="22"/>
        <v>600.5</v>
      </c>
      <c r="P72" s="43">
        <f t="shared" si="22"/>
        <v>1423</v>
      </c>
      <c r="Q72" s="43">
        <f t="shared" si="22"/>
        <v>2445.5</v>
      </c>
      <c r="R72" s="43">
        <f t="shared" si="22"/>
        <v>3772</v>
      </c>
      <c r="S72" s="43">
        <f t="shared" si="22"/>
        <v>4964</v>
      </c>
      <c r="T72" s="43">
        <f t="shared" si="22"/>
        <v>5646</v>
      </c>
      <c r="U72" s="43">
        <f t="shared" si="22"/>
        <v>5006</v>
      </c>
      <c r="V72" s="43">
        <f t="shared" si="22"/>
        <v>4024</v>
      </c>
      <c r="W72" s="43">
        <f t="shared" si="22"/>
        <v>4476.5</v>
      </c>
    </row>
    <row r="73" spans="3:23" s="47" customFormat="1" x14ac:dyDescent="0.35">
      <c r="C73" s="47" t="s">
        <v>151</v>
      </c>
      <c r="H73" s="47" t="b">
        <f t="shared" ref="H73:W73" si="23">IF(H72,H70/H72)</f>
        <v>0</v>
      </c>
      <c r="I73" s="47" t="b">
        <f t="shared" si="23"/>
        <v>0</v>
      </c>
      <c r="J73" s="47" t="b">
        <f t="shared" si="23"/>
        <v>0</v>
      </c>
      <c r="K73" s="47" t="b">
        <f t="shared" si="23"/>
        <v>0</v>
      </c>
      <c r="L73" s="47" t="b">
        <f t="shared" si="23"/>
        <v>0</v>
      </c>
      <c r="M73" s="47">
        <f t="shared" si="23"/>
        <v>0.20995475113122172</v>
      </c>
      <c r="N73" s="47">
        <f t="shared" si="23"/>
        <v>0.10095011876484561</v>
      </c>
      <c r="O73" s="47">
        <f t="shared" si="23"/>
        <v>0.16819317235636969</v>
      </c>
      <c r="P73" s="47">
        <f t="shared" si="23"/>
        <v>5.6921995783555869E-2</v>
      </c>
      <c r="Q73" s="47">
        <f t="shared" si="23"/>
        <v>4.5798405234103452E-2</v>
      </c>
      <c r="R73" s="47">
        <f t="shared" si="23"/>
        <v>3.9236479321314952E-2</v>
      </c>
      <c r="S73" s="47">
        <f t="shared" si="23"/>
        <v>3.6261079774375503E-2</v>
      </c>
      <c r="T73" s="47">
        <f t="shared" si="23"/>
        <v>1.9128586609989374E-2</v>
      </c>
      <c r="U73" s="47">
        <f t="shared" si="23"/>
        <v>7.3911306432281262E-2</v>
      </c>
      <c r="V73" s="47">
        <f t="shared" si="23"/>
        <v>0.10139165009940358</v>
      </c>
      <c r="W73" s="47">
        <f t="shared" si="23"/>
        <v>8.1313526192337768E-2</v>
      </c>
    </row>
    <row r="75" spans="3:23" x14ac:dyDescent="0.35">
      <c r="C75" s="42" t="s">
        <v>440</v>
      </c>
      <c r="H75" s="46">
        <f>'Historic Data from PDF'!G186</f>
        <v>440.10000610351563</v>
      </c>
      <c r="I75" s="46">
        <f>'Historic Data from PDF'!H186</f>
        <v>329.79998779296875</v>
      </c>
      <c r="J75" s="46">
        <f>'Historic Data from PDF'!I186</f>
        <v>295.10000610351563</v>
      </c>
      <c r="K75" s="46">
        <f>'Historic Data from PDF'!J186</f>
        <v>259.5</v>
      </c>
      <c r="L75" s="46">
        <f>'Historic Data from PDF'!K186</f>
        <v>278.10000610351563</v>
      </c>
      <c r="M75" s="46">
        <f>'Historic Data from PDF'!L186</f>
        <v>272.79998779296875</v>
      </c>
      <c r="N75" s="46">
        <f>'Historic Data from PDF'!M186</f>
        <v>561</v>
      </c>
      <c r="O75" s="46">
        <f>'Historic Data from PDF'!N186</f>
        <v>498.10000610351563</v>
      </c>
      <c r="P75" s="46">
        <f>'Historic Data from PDF'!O186</f>
        <v>171.30000305175781</v>
      </c>
      <c r="Q75" s="46">
        <f>'Historic Data from PDF'!P186</f>
        <v>384</v>
      </c>
      <c r="R75" s="46">
        <f>'Historic Data from PDF'!Q186</f>
        <v>558.5</v>
      </c>
      <c r="S75" s="46">
        <f>'Historic Data from PDF'!R186</f>
        <v>405</v>
      </c>
      <c r="T75" s="46">
        <f>'Historic Data from PDF'!S186</f>
        <v>554</v>
      </c>
      <c r="U75" s="46">
        <f>'Historic Data from PDF'!T186</f>
        <v>600</v>
      </c>
      <c r="V75" s="46">
        <f>'Historic Data from PDF'!U186</f>
        <v>478.79998779296875</v>
      </c>
      <c r="W75" s="46">
        <f>'Historic Data from PDF'!V186</f>
        <v>612.5</v>
      </c>
    </row>
    <row r="76" spans="3:23" x14ac:dyDescent="0.35">
      <c r="C76" s="42" t="s">
        <v>155</v>
      </c>
      <c r="E76" s="43"/>
      <c r="F76" s="43"/>
      <c r="G76" s="43"/>
      <c r="H76" s="81">
        <f>'Historic Data from PDF'!G186*H90/1000</f>
        <v>28037.010988830567</v>
      </c>
      <c r="I76" s="81">
        <f>'Historic Data from PDF'!H186*I90/1000</f>
        <v>21010.238022338868</v>
      </c>
      <c r="J76" s="81">
        <f>'Historic Data from PDF'!I186*J90/1000</f>
        <v>18858.66099005127</v>
      </c>
      <c r="K76" s="81">
        <f>'Historic Data from PDF'!J186*K90/1000</f>
        <v>15793.689</v>
      </c>
      <c r="L76" s="81">
        <f>'Historic Data from PDF'!K186*L90/1000</f>
        <v>21157.292264343261</v>
      </c>
      <c r="M76" s="81">
        <f>'Historic Data from PDF'!L186*M90/1000</f>
        <v>20808.637468872072</v>
      </c>
      <c r="N76" s="81">
        <f>'Historic Data from PDF'!M186*N90/1000</f>
        <v>42791.957999999999</v>
      </c>
      <c r="O76" s="81">
        <f>'Historic Data from PDF'!N186*O90/1000</f>
        <v>37978.133065368653</v>
      </c>
      <c r="P76" s="81">
        <f>'Historic Data from PDF'!O186*P90/1000</f>
        <v>26132.500665557862</v>
      </c>
      <c r="Q76" s="81">
        <f>'Historic Data from PDF'!P186*Q90/1000</f>
        <v>58580.351999999999</v>
      </c>
      <c r="R76" s="81">
        <f>'Historic Data from PDF'!Q186*R90/1000</f>
        <v>85193.031499999997</v>
      </c>
      <c r="S76" s="81">
        <f>'Historic Data from PDF'!R186*S90/1000</f>
        <v>61771.815000000002</v>
      </c>
      <c r="T76" s="81">
        <f>'Historic Data from PDF'!S186*T90/1000</f>
        <v>84515.47</v>
      </c>
      <c r="U76" s="81">
        <f>'Historic Data from PDF'!T186*U90/1000</f>
        <v>91519.8</v>
      </c>
      <c r="V76" s="81">
        <f>'Historic Data from PDF'!U186*V90/1000</f>
        <v>73035.192537963871</v>
      </c>
      <c r="W76" s="81">
        <f>'Historic Data from PDF'!V186*W90/1000</f>
        <v>93438.1</v>
      </c>
    </row>
    <row r="77" spans="3:23" x14ac:dyDescent="0.35">
      <c r="C77" s="42" t="s">
        <v>191</v>
      </c>
      <c r="E77" s="43"/>
      <c r="F77" s="43"/>
      <c r="G77" s="43"/>
      <c r="H77" s="81">
        <f>'Historic Data from PDF'!G155</f>
        <v>1698</v>
      </c>
      <c r="I77" s="81">
        <f>'Historic Data from PDF'!H155</f>
        <v>1370</v>
      </c>
      <c r="J77" s="81">
        <f>'Historic Data from PDF'!I155</f>
        <v>1011</v>
      </c>
      <c r="K77" s="81">
        <f>'Historic Data from PDF'!J155</f>
        <v>1179</v>
      </c>
      <c r="L77" s="81">
        <f>'Historic Data from PDF'!K155</f>
        <v>1425</v>
      </c>
      <c r="M77" s="81">
        <f>'Historic Data from PDF'!L155</f>
        <v>1110</v>
      </c>
      <c r="N77" s="81">
        <f>'Historic Data from PDF'!M155</f>
        <v>1884</v>
      </c>
      <c r="O77" s="81">
        <f>'Historic Data from PDF'!N155</f>
        <v>2297</v>
      </c>
      <c r="P77" s="81">
        <f>'Historic Data from PDF'!O155</f>
        <v>4077</v>
      </c>
      <c r="Q77" s="81">
        <f>'Historic Data from PDF'!P155</f>
        <v>4170</v>
      </c>
      <c r="R77" s="81">
        <f>'Historic Data from PDF'!Q155</f>
        <v>5425</v>
      </c>
      <c r="S77" s="81">
        <f>'Historic Data from PDF'!R155</f>
        <v>5203</v>
      </c>
      <c r="T77" s="81">
        <f>'Historic Data from PDF'!S155</f>
        <v>5504</v>
      </c>
      <c r="U77" s="81">
        <f>'Historic Data from PDF'!T155</f>
        <v>5772</v>
      </c>
      <c r="V77" s="81">
        <f>'Historic Data from PDF'!U155</f>
        <v>5496</v>
      </c>
      <c r="W77" s="81">
        <f>'Historic Data from PDF'!V155</f>
        <v>4557</v>
      </c>
    </row>
    <row r="78" spans="3:23" x14ac:dyDescent="0.35">
      <c r="C78" s="42" t="s">
        <v>156</v>
      </c>
      <c r="E78" s="46"/>
      <c r="F78" s="46"/>
      <c r="G78" s="46"/>
      <c r="H78" s="46">
        <f t="shared" ref="H78:W78" si="24">H76/H77</f>
        <v>16.511785034646977</v>
      </c>
      <c r="I78" s="46">
        <f t="shared" si="24"/>
        <v>15.335940162291145</v>
      </c>
      <c r="J78" s="46">
        <f t="shared" si="24"/>
        <v>18.65347278936822</v>
      </c>
      <c r="K78" s="46">
        <f t="shared" si="24"/>
        <v>13.395834605597965</v>
      </c>
      <c r="L78" s="46">
        <f t="shared" si="24"/>
        <v>14.847222641644393</v>
      </c>
      <c r="M78" s="46">
        <f t="shared" si="24"/>
        <v>18.746520242227092</v>
      </c>
      <c r="N78" s="46">
        <f t="shared" si="24"/>
        <v>22.713353503184713</v>
      </c>
      <c r="O78" s="46">
        <f t="shared" si="24"/>
        <v>16.533797590495713</v>
      </c>
      <c r="P78" s="46">
        <f t="shared" si="24"/>
        <v>6.4097377153686192</v>
      </c>
      <c r="Q78" s="46">
        <f t="shared" si="24"/>
        <v>14.048046043165467</v>
      </c>
      <c r="R78" s="46">
        <f t="shared" si="24"/>
        <v>15.70378460829493</v>
      </c>
      <c r="S78" s="46">
        <f t="shared" si="24"/>
        <v>11.87234576206035</v>
      </c>
      <c r="T78" s="46">
        <f t="shared" si="24"/>
        <v>15.355281613372092</v>
      </c>
      <c r="U78" s="46">
        <f t="shared" si="24"/>
        <v>15.855821205821206</v>
      </c>
      <c r="V78" s="46">
        <f t="shared" si="24"/>
        <v>13.2887904908959</v>
      </c>
      <c r="W78" s="46">
        <f t="shared" si="24"/>
        <v>20.504301075268817</v>
      </c>
    </row>
    <row r="79" spans="3:23" x14ac:dyDescent="0.35">
      <c r="C79" s="42" t="s">
        <v>157</v>
      </c>
      <c r="E79" s="46"/>
      <c r="F79" s="46"/>
      <c r="G79" s="46"/>
      <c r="H79" s="46">
        <f t="shared" ref="H79:W79" si="25">IF(I77,H76/I77)</f>
        <v>20.464971524693844</v>
      </c>
      <c r="I79" s="46">
        <f t="shared" si="25"/>
        <v>20.781639982531026</v>
      </c>
      <c r="J79" s="46">
        <f t="shared" si="25"/>
        <v>15.995471577651628</v>
      </c>
      <c r="K79" s="46">
        <f t="shared" si="25"/>
        <v>11.083290526315789</v>
      </c>
      <c r="L79" s="46">
        <f t="shared" si="25"/>
        <v>19.060623661570506</v>
      </c>
      <c r="M79" s="46">
        <f t="shared" si="25"/>
        <v>11.044924346535069</v>
      </c>
      <c r="N79" s="46">
        <f t="shared" si="25"/>
        <v>18.629498476273401</v>
      </c>
      <c r="O79" s="46">
        <f t="shared" si="25"/>
        <v>9.315215370460793</v>
      </c>
      <c r="P79" s="46">
        <f t="shared" si="25"/>
        <v>6.2667867303496072</v>
      </c>
      <c r="Q79" s="46">
        <f t="shared" si="25"/>
        <v>10.798221566820276</v>
      </c>
      <c r="R79" s="46">
        <f t="shared" si="25"/>
        <v>16.373828848741109</v>
      </c>
      <c r="S79" s="46">
        <f t="shared" si="25"/>
        <v>11.223076853197675</v>
      </c>
      <c r="T79" s="46">
        <f t="shared" si="25"/>
        <v>14.64231981981982</v>
      </c>
      <c r="U79" s="46">
        <f t="shared" si="25"/>
        <v>16.652074235807859</v>
      </c>
      <c r="V79" s="46">
        <f t="shared" si="25"/>
        <v>16.02703369277241</v>
      </c>
      <c r="W79" s="46" t="b">
        <f t="shared" si="25"/>
        <v>0</v>
      </c>
    </row>
    <row r="81" spans="1:33" x14ac:dyDescent="0.35">
      <c r="C81" s="42" t="s">
        <v>158</v>
      </c>
      <c r="E81" s="43"/>
      <c r="F81" s="43"/>
      <c r="G81" s="43"/>
      <c r="H81" s="81">
        <f>'Historic Data from PDF'!C50</f>
        <v>0</v>
      </c>
      <c r="I81" s="81">
        <f>'Historic Data from PDF'!H50</f>
        <v>0</v>
      </c>
      <c r="J81" s="81">
        <f>'Historic Data from PDF'!I50</f>
        <v>0</v>
      </c>
      <c r="K81" s="81">
        <f>'Historic Data from PDF'!J50</f>
        <v>0</v>
      </c>
      <c r="L81" s="81">
        <f>'Historic Data from PDF'!K50</f>
        <v>0</v>
      </c>
      <c r="M81" s="81">
        <f>'Historic Data from PDF'!L50</f>
        <v>23068</v>
      </c>
      <c r="N81" s="81">
        <f>'Historic Data from PDF'!M50</f>
        <v>22129</v>
      </c>
      <c r="O81" s="81">
        <f>'Historic Data from PDF'!N50</f>
        <v>23091</v>
      </c>
      <c r="P81" s="81">
        <f>'Historic Data from PDF'!O50</f>
        <v>47337</v>
      </c>
      <c r="Q81" s="81">
        <f>'Historic Data from PDF'!P50</f>
        <v>38720</v>
      </c>
      <c r="R81" s="81">
        <f>'Historic Data from PDF'!Q50</f>
        <v>36113</v>
      </c>
      <c r="S81" s="81">
        <f>'Historic Data from PDF'!R50</f>
        <v>36218</v>
      </c>
      <c r="T81" s="81">
        <f>'Historic Data from PDF'!S50</f>
        <v>38255</v>
      </c>
      <c r="U81" s="81">
        <f>'Historic Data from PDF'!T50</f>
        <v>39692</v>
      </c>
      <c r="V81" s="81">
        <f>'Historic Data from PDF'!U50</f>
        <v>42733</v>
      </c>
      <c r="W81" s="81">
        <f>'Historic Data from PDF'!V50</f>
        <v>38132</v>
      </c>
    </row>
    <row r="82" spans="1:33" x14ac:dyDescent="0.35">
      <c r="C82" s="42" t="s">
        <v>159</v>
      </c>
      <c r="E82" s="43"/>
      <c r="F82" s="43"/>
      <c r="G82" s="43"/>
      <c r="H82" s="43">
        <f t="shared" ref="H82:W82" si="26">H81+H76</f>
        <v>28037.010988830567</v>
      </c>
      <c r="I82" s="43">
        <f t="shared" si="26"/>
        <v>21010.238022338868</v>
      </c>
      <c r="J82" s="43">
        <f t="shared" si="26"/>
        <v>18858.66099005127</v>
      </c>
      <c r="K82" s="43">
        <f t="shared" si="26"/>
        <v>15793.689</v>
      </c>
      <c r="L82" s="43">
        <f t="shared" si="26"/>
        <v>21157.292264343261</v>
      </c>
      <c r="M82" s="43">
        <f t="shared" si="26"/>
        <v>43876.637468872068</v>
      </c>
      <c r="N82" s="43">
        <f t="shared" si="26"/>
        <v>64920.957999999999</v>
      </c>
      <c r="O82" s="43">
        <f t="shared" si="26"/>
        <v>61069.133065368653</v>
      </c>
      <c r="P82" s="43">
        <f t="shared" si="26"/>
        <v>73469.500665557862</v>
      </c>
      <c r="Q82" s="43">
        <f t="shared" si="26"/>
        <v>97300.351999999999</v>
      </c>
      <c r="R82" s="43">
        <f t="shared" si="26"/>
        <v>121306.0315</v>
      </c>
      <c r="S82" s="43">
        <f t="shared" si="26"/>
        <v>97989.815000000002</v>
      </c>
      <c r="T82" s="43">
        <f t="shared" si="26"/>
        <v>122770.47</v>
      </c>
      <c r="U82" s="43">
        <f t="shared" si="26"/>
        <v>131211.79999999999</v>
      </c>
      <c r="V82" s="43">
        <f t="shared" si="26"/>
        <v>115768.19253796387</v>
      </c>
      <c r="W82" s="43">
        <f t="shared" si="26"/>
        <v>131570.1</v>
      </c>
    </row>
    <row r="84" spans="1:33" x14ac:dyDescent="0.35">
      <c r="C84" s="42" t="s">
        <v>160</v>
      </c>
      <c r="E84" s="46"/>
      <c r="F84" s="46"/>
      <c r="G84" s="46"/>
      <c r="H84" s="46" t="b">
        <f t="shared" ref="H84:W84" si="27">IF(H81,H82/H12)</f>
        <v>0</v>
      </c>
      <c r="I84" s="46" t="b">
        <f t="shared" si="27"/>
        <v>0</v>
      </c>
      <c r="J84" s="46" t="b">
        <f t="shared" si="27"/>
        <v>0</v>
      </c>
      <c r="K84" s="46" t="b">
        <f t="shared" si="27"/>
        <v>0</v>
      </c>
      <c r="L84" s="46" t="b">
        <f t="shared" si="27"/>
        <v>0</v>
      </c>
      <c r="M84" s="46">
        <f t="shared" si="27"/>
        <v>7.9128291197244485</v>
      </c>
      <c r="N84" s="46">
        <f t="shared" si="27"/>
        <v>10.029500695195427</v>
      </c>
      <c r="O84" s="46">
        <f t="shared" si="27"/>
        <v>7.9787213307249347</v>
      </c>
      <c r="P84" s="46">
        <f t="shared" si="27"/>
        <v>6.6506291903284023</v>
      </c>
      <c r="Q84" s="46">
        <f t="shared" si="27"/>
        <v>7.7530160956175296</v>
      </c>
      <c r="R84" s="46">
        <f t="shared" si="27"/>
        <v>8.8921002419000139</v>
      </c>
      <c r="S84" s="46">
        <f t="shared" si="27"/>
        <v>7.5539481190255939</v>
      </c>
      <c r="T84" s="46">
        <f t="shared" si="27"/>
        <v>9.1756704035874446</v>
      </c>
      <c r="U84" s="46">
        <f t="shared" si="27"/>
        <v>10.409504165013882</v>
      </c>
      <c r="V84" s="46">
        <f t="shared" si="27"/>
        <v>9.2370695394529534</v>
      </c>
      <c r="W84" s="46">
        <f t="shared" si="27"/>
        <v>10.729030416700645</v>
      </c>
    </row>
    <row r="85" spans="1:33" x14ac:dyDescent="0.35">
      <c r="C85" s="42" t="s">
        <v>161</v>
      </c>
      <c r="E85" s="46"/>
      <c r="F85" s="46"/>
      <c r="G85" s="46"/>
      <c r="H85" s="46" t="b">
        <f t="shared" ref="H85:W85" si="28">IF(H81,H82/H43)</f>
        <v>0</v>
      </c>
      <c r="I85" s="46" t="b">
        <f t="shared" si="28"/>
        <v>0</v>
      </c>
      <c r="J85" s="46" t="b">
        <f t="shared" si="28"/>
        <v>0</v>
      </c>
      <c r="K85" s="46" t="b">
        <f t="shared" si="28"/>
        <v>0</v>
      </c>
      <c r="L85" s="46" t="b">
        <f t="shared" si="28"/>
        <v>0</v>
      </c>
      <c r="M85" s="46">
        <f t="shared" si="28"/>
        <v>15.960944877727199</v>
      </c>
      <c r="N85" s="46">
        <f t="shared" si="28"/>
        <v>18.443453977272728</v>
      </c>
      <c r="O85" s="46">
        <f t="shared" si="28"/>
        <v>12.498799235646469</v>
      </c>
      <c r="P85" s="46">
        <f t="shared" si="28"/>
        <v>9.901549954926935</v>
      </c>
      <c r="Q85" s="46">
        <f t="shared" si="28"/>
        <v>11.080782598792847</v>
      </c>
      <c r="R85" s="46">
        <f t="shared" si="28"/>
        <v>12.564063335059554</v>
      </c>
      <c r="S85" s="46">
        <f t="shared" si="28"/>
        <v>10.660336705831158</v>
      </c>
      <c r="T85" s="46">
        <f t="shared" si="28"/>
        <v>13.075989988284162</v>
      </c>
      <c r="U85" s="46">
        <f t="shared" si="28"/>
        <v>15.00935712651567</v>
      </c>
      <c r="V85" s="46">
        <f t="shared" si="28"/>
        <v>13.73288167710129</v>
      </c>
      <c r="W85" s="46">
        <f t="shared" si="28"/>
        <v>17.336948214521019</v>
      </c>
    </row>
    <row r="87" spans="1:33" x14ac:dyDescent="0.35">
      <c r="C87" s="42" t="s">
        <v>162</v>
      </c>
      <c r="E87" s="46"/>
      <c r="F87" s="46"/>
      <c r="G87" s="46"/>
      <c r="H87" s="83">
        <f>H76/'Historic Data from PDF'!G157</f>
        <v>2.2377692544361536</v>
      </c>
      <c r="I87" s="83">
        <f>I76/'Historic Data from PDF'!H157</f>
        <v>1.7448914560533899</v>
      </c>
      <c r="J87" s="83">
        <f>J76/'Historic Data from PDF'!I157</f>
        <v>1.7403710769704015</v>
      </c>
      <c r="K87" s="83">
        <f>K76/'Historic Data from PDF'!J157</f>
        <v>1.400646417169209</v>
      </c>
      <c r="L87" s="83">
        <f>L76/'Historic Data from PDF'!K157</f>
        <v>1.4682367983583109</v>
      </c>
      <c r="M87" s="46">
        <f t="shared" ref="M87:W87" si="29">M76/M50</f>
        <v>1.1580942491580628</v>
      </c>
      <c r="N87" s="46">
        <f t="shared" si="29"/>
        <v>2.4317757572313461</v>
      </c>
      <c r="O87" s="46">
        <f t="shared" si="29"/>
        <v>1.9043648485748166</v>
      </c>
      <c r="P87" s="46">
        <f t="shared" si="29"/>
        <v>0.47067777355519286</v>
      </c>
      <c r="Q87" s="46">
        <f t="shared" si="29"/>
        <v>1.0684191212679421</v>
      </c>
      <c r="R87" s="46">
        <f t="shared" si="29"/>
        <v>1.3260028561200348</v>
      </c>
      <c r="S87" s="46">
        <f t="shared" si="29"/>
        <v>0.93784069170740603</v>
      </c>
      <c r="T87" s="46">
        <f t="shared" si="29"/>
        <v>1.2028788374774058</v>
      </c>
      <c r="U87" s="46">
        <f t="shared" si="29"/>
        <v>1.34963059090708</v>
      </c>
      <c r="V87" s="46">
        <f t="shared" si="29"/>
        <v>1.3928179060198691</v>
      </c>
      <c r="W87" s="46">
        <f t="shared" si="29"/>
        <v>2.1485456092345192</v>
      </c>
    </row>
    <row r="88" spans="1:33" x14ac:dyDescent="0.35">
      <c r="C88" s="42" t="s">
        <v>163</v>
      </c>
      <c r="E88" s="46"/>
      <c r="F88" s="46"/>
      <c r="G88" s="46"/>
      <c r="H88" s="46" t="b">
        <f t="shared" ref="H88:W88" si="30">IF(H81,H82/H46)</f>
        <v>0</v>
      </c>
      <c r="I88" s="46" t="b">
        <f t="shared" si="30"/>
        <v>0</v>
      </c>
      <c r="J88" s="46" t="b">
        <f t="shared" si="30"/>
        <v>0</v>
      </c>
      <c r="K88" s="46" t="b">
        <f t="shared" si="30"/>
        <v>0</v>
      </c>
      <c r="L88" s="46" t="b">
        <f t="shared" si="30"/>
        <v>0</v>
      </c>
      <c r="M88" s="46">
        <f t="shared" si="30"/>
        <v>1.0532583769953447</v>
      </c>
      <c r="N88" s="46">
        <f t="shared" si="30"/>
        <v>1.5857198895972253</v>
      </c>
      <c r="O88" s="46">
        <f t="shared" si="30"/>
        <v>1.4248846931885637</v>
      </c>
      <c r="P88" s="46">
        <f t="shared" si="30"/>
        <v>0.68661159654923565</v>
      </c>
      <c r="Q88" s="46">
        <f t="shared" si="30"/>
        <v>1.0028276132170759</v>
      </c>
      <c r="R88" s="46">
        <f t="shared" si="30"/>
        <v>1.1892048654000744</v>
      </c>
      <c r="S88" s="46">
        <f t="shared" si="30"/>
        <v>0.93499055370552375</v>
      </c>
      <c r="T88" s="46">
        <f t="shared" si="30"/>
        <v>1.1422208886904097</v>
      </c>
      <c r="U88" s="46">
        <f t="shared" si="30"/>
        <v>1.1877165667939966</v>
      </c>
      <c r="V88" s="46">
        <f t="shared" si="30"/>
        <v>1.2203853232902939</v>
      </c>
      <c r="W88" s="46">
        <f t="shared" si="30"/>
        <v>1.5879943997199861</v>
      </c>
    </row>
    <row r="90" spans="1:33" x14ac:dyDescent="0.35">
      <c r="C90" s="42" t="s">
        <v>13</v>
      </c>
      <c r="H90" s="16">
        <v>63706</v>
      </c>
      <c r="I90" s="16">
        <v>63706</v>
      </c>
      <c r="J90" s="16">
        <v>63906</v>
      </c>
      <c r="K90" s="16">
        <v>60862</v>
      </c>
      <c r="L90" s="16">
        <v>76078</v>
      </c>
      <c r="M90" s="16">
        <v>76278</v>
      </c>
      <c r="N90" s="16">
        <v>76278</v>
      </c>
      <c r="O90" s="16">
        <v>76246</v>
      </c>
      <c r="P90" s="16">
        <v>152554</v>
      </c>
      <c r="Q90" s="16">
        <v>152553</v>
      </c>
      <c r="R90" s="16">
        <v>152539</v>
      </c>
      <c r="S90" s="16">
        <v>152523</v>
      </c>
      <c r="T90" s="16">
        <v>152555</v>
      </c>
      <c r="U90" s="16">
        <v>152533</v>
      </c>
      <c r="V90" s="16">
        <v>152538</v>
      </c>
      <c r="W90" s="16">
        <v>152552</v>
      </c>
    </row>
    <row r="93" spans="1:33" s="1" customFormat="1" x14ac:dyDescent="0.35">
      <c r="A93" s="1" t="s">
        <v>205</v>
      </c>
    </row>
    <row r="95" spans="1:33" x14ac:dyDescent="0.35">
      <c r="C95" s="42" t="s">
        <v>209</v>
      </c>
      <c r="I95" s="84">
        <f>IF(I2,'Historic Data from PDF'!H141+'Historic Data from PDF'!H142)</f>
        <v>88.200000762939453</v>
      </c>
      <c r="J95" s="84">
        <f>IF(J2,'Historic Data from PDF'!I141+'Historic Data from PDF'!I142)</f>
        <v>99.499998092651367</v>
      </c>
      <c r="K95" s="84">
        <f>IF(K2,'Historic Data from PDF'!J141+'Historic Data from PDF'!J142)</f>
        <v>102.60000228881836</v>
      </c>
      <c r="L95" s="84">
        <f>IF(L2,'Historic Data from PDF'!K141+'Historic Data from PDF'!K142)</f>
        <v>111.39999961853027</v>
      </c>
      <c r="M95" s="84">
        <f>IF(M2,'Historic Data from PDF'!L141+'Historic Data from PDF'!L142)</f>
        <v>120.69999885559082</v>
      </c>
      <c r="N95" s="84">
        <f>IF(N2,'Historic Data from PDF'!M141+'Historic Data from PDF'!M142)</f>
        <v>120.89999771118164</v>
      </c>
      <c r="O95" s="84">
        <f>IF(O2,'Historic Data from PDF'!N141+'Historic Data from PDF'!N142)</f>
        <v>135.99999618530273</v>
      </c>
      <c r="P95" s="84">
        <f>IF(P2,'Historic Data from PDF'!O141+'Historic Data from PDF'!O142)</f>
        <v>149.10000228881836</v>
      </c>
      <c r="Q95" s="84">
        <f>IF(Q2,'Historic Data from PDF'!P141+'Historic Data from PDF'!P142)</f>
        <v>159.20000076293945</v>
      </c>
      <c r="R95" s="84">
        <f>IF(R2,'Historic Data from PDF'!Q141+'Historic Data from PDF'!Q142)</f>
        <v>159</v>
      </c>
      <c r="S95" s="84">
        <f>IF(S2,'Historic Data from PDF'!R141+'Historic Data from PDF'!R142)</f>
        <v>162.00000381469727</v>
      </c>
      <c r="T95" s="84">
        <f>IF(T2,'Historic Data from PDF'!S141+'Historic Data from PDF'!S142)</f>
        <v>162.89999389648438</v>
      </c>
      <c r="U95" s="84">
        <f>IF(U2,'Historic Data from PDF'!T141+'Historic Data from PDF'!T142)</f>
        <v>160.19999694824219</v>
      </c>
      <c r="V95" s="84">
        <f>IF(V2,'Historic Data from PDF'!U141+'Historic Data from PDF'!U142)</f>
        <v>157.20000076293945</v>
      </c>
      <c r="W95" s="84">
        <f>IF(W2,'Historic Data from PDF'!V141+'Historic Data from PDF'!V142)</f>
        <v>155.10000228881836</v>
      </c>
      <c r="X95" s="84" t="b">
        <f>IF(X2,'Historic Data from PDF'!W141+'Historic Data from PDF'!W142)</f>
        <v>0</v>
      </c>
      <c r="Y95" s="84" t="b">
        <f>IF(Y2,'Historic Data from PDF'!X141+'Historic Data from PDF'!X142)</f>
        <v>0</v>
      </c>
      <c r="Z95" s="42" t="b">
        <f>IF(Z2,'Historic Data from PDF'!Y141+'Historic Data from PDF'!Y142)</f>
        <v>0</v>
      </c>
      <c r="AA95" s="42" t="b">
        <f>IF(AA2,'Historic Data from PDF'!Z141+'Historic Data from PDF'!Z142)</f>
        <v>0</v>
      </c>
      <c r="AB95" s="42" t="b">
        <f>IF(AB2,'Historic Data from PDF'!AA141+'Historic Data from PDF'!AA142)</f>
        <v>0</v>
      </c>
      <c r="AC95" s="42" t="b">
        <f>IF(AC2,'Historic Data from PDF'!AB141+'Historic Data from PDF'!AB142)</f>
        <v>0</v>
      </c>
      <c r="AD95" s="42" t="b">
        <f>IF(AD2,'Historic Data from PDF'!AC141+'Historic Data from PDF'!AC142)</f>
        <v>0</v>
      </c>
      <c r="AE95" s="42" t="b">
        <f>IF(AE2,'Historic Data from PDF'!AD141+'Historic Data from PDF'!AD142)</f>
        <v>0</v>
      </c>
      <c r="AF95" s="42" t="b">
        <f>IF(AF2,'Historic Data from PDF'!AE141+'Historic Data from PDF'!AE142)</f>
        <v>0</v>
      </c>
      <c r="AG95" s="42" t="b">
        <f>IF(AG2,'Historic Data from PDF'!AF141+'Historic Data from PDF'!AF142)</f>
        <v>0</v>
      </c>
    </row>
    <row r="96" spans="1:33" x14ac:dyDescent="0.35">
      <c r="C96" s="42" t="str">
        <f>INDEX('Scenario analysis'!C36:C38,$D$96)</f>
        <v>Bear case Volumes</v>
      </c>
      <c r="D96" s="19">
        <f>'Scenario analysis'!E24</f>
        <v>2</v>
      </c>
      <c r="I96" s="42">
        <f>IF(I2,I95,(1+INDEX('Scenario analysis'!#REF!,$D$96))*H96)</f>
        <v>88.200000762939453</v>
      </c>
      <c r="J96" s="42">
        <f>IF(J2,J95,(1+INDEX('Scenario analysis'!#REF!,$D$96))*I96)</f>
        <v>99.499998092651367</v>
      </c>
      <c r="K96" s="42">
        <f>IF(K2,K95,(1+INDEX('Scenario analysis'!#REF!,$D$96))*J96)</f>
        <v>102.60000228881836</v>
      </c>
      <c r="L96" s="42">
        <f>IF(L2,L95,(1+INDEX('Scenario analysis'!#REF!,$D$96))*K96)</f>
        <v>111.39999961853027</v>
      </c>
      <c r="M96" s="42">
        <f>IF(M2,M95,(1+INDEX('Scenario analysis'!#REF!,$D$96))*L96)</f>
        <v>120.69999885559082</v>
      </c>
      <c r="N96" s="42">
        <f>IF(N2,N95,(1+INDEX('Scenario analysis'!#REF!,$D$96))*M96)</f>
        <v>120.89999771118164</v>
      </c>
      <c r="O96" s="42">
        <f>IF(O2,O95,(1+INDEX('Scenario analysis'!#REF!,$D$96))*N96)</f>
        <v>135.99999618530273</v>
      </c>
      <c r="P96" s="42">
        <f>IF(P2,P95,(1+INDEX('Scenario analysis'!#REF!,$D$96))*O96)</f>
        <v>149.10000228881836</v>
      </c>
      <c r="Q96" s="42">
        <f>IF(Q2,Q95,(1+INDEX('Scenario analysis'!P36:P38,$D$96))*P96)</f>
        <v>159.20000076293945</v>
      </c>
      <c r="R96" s="42">
        <f>IF(R2,R95,(1+INDEX('Scenario analysis'!Q36:Q38,$D$96))*Q96)</f>
        <v>159</v>
      </c>
      <c r="S96" s="42">
        <f>IF(S2,S95,(1+INDEX('Scenario analysis'!R36:R38,$D$96))*R96)</f>
        <v>162.00000381469727</v>
      </c>
      <c r="T96" s="42">
        <f>IF(T2,T95,(1+INDEX('Scenario analysis'!S36:S38,$D$96))*S96)</f>
        <v>162.89999389648438</v>
      </c>
      <c r="U96" s="42">
        <f>IF(U2,U95,(1+INDEX('Scenario analysis'!T36:T38,$D$96))*T96)</f>
        <v>160.19999694824219</v>
      </c>
      <c r="V96" s="42">
        <f>IF(V2,V95,(1+INDEX('Scenario analysis'!U36:U38,$D$96))*U96)</f>
        <v>157.20000076293945</v>
      </c>
      <c r="W96" s="42">
        <f>IF(W2,W95,(1+INDEX('Scenario analysis'!V36:V38,$D$96))*V96)</f>
        <v>155.10000228881836</v>
      </c>
      <c r="X96" s="49">
        <f>IF(X2,X95,(1+INDEX('Scenario analysis'!F36:F38,$D$96))*W96)</f>
        <v>153.54900226593017</v>
      </c>
      <c r="Y96" s="49">
        <f>IF(Y2,Y95,(1+INDEX('Scenario analysis'!G36:G38,$D$96))*X96)</f>
        <v>152.01351224327087</v>
      </c>
      <c r="Z96" s="49">
        <f>IF(Z2,Z95,(1+INDEX('Scenario analysis'!H36:H38,$D$96))*Y96)</f>
        <v>150.49337712083815</v>
      </c>
      <c r="AA96" s="42">
        <f>IF(AA2,AA95,(1+INDEX('Scenario analysis'!I36:I38,$D$96))*Z96)</f>
        <v>150.49337712083815</v>
      </c>
      <c r="AB96" s="42">
        <f>IF(AB2,AB95,(1+INDEX('Scenario analysis'!J36:J38,$D$96))*AA96)</f>
        <v>150.49337712083815</v>
      </c>
      <c r="AC96" s="42">
        <f>IF(AC2,AC95,(1+INDEX('Scenario analysis'!K36:K38,$D$96))*AB96)</f>
        <v>150.49337712083815</v>
      </c>
      <c r="AD96" s="42">
        <f>IF(AD2,AD95,(1+INDEX('Scenario analysis'!L36:L38,$D$96))*AC96)</f>
        <v>150.49337712083815</v>
      </c>
      <c r="AE96" s="42">
        <f>IF(AE2,AE95,(1+INDEX('Scenario analysis'!M36:M38,$D$96))*AD96)</f>
        <v>150.49337712083815</v>
      </c>
      <c r="AF96" s="42">
        <f>IF(AF2,AF95,(1+INDEX('Scenario analysis'!N36:N38,$D$96))*AE96)</f>
        <v>150.49337712083815</v>
      </c>
      <c r="AG96" s="42">
        <f>IF(AG2,AG95,(1+INDEX('Scenario analysis'!O36:O38,$D$96))*AF96)</f>
        <v>150.49337712083815</v>
      </c>
    </row>
    <row r="98" spans="2:33" x14ac:dyDescent="0.35">
      <c r="C98" s="42" t="s">
        <v>211</v>
      </c>
      <c r="H98" s="45"/>
      <c r="I98" s="85">
        <f>IF(I2,'Historic Data from PDF'!H143/I96)</f>
        <v>390.23809186249395</v>
      </c>
      <c r="J98" s="85">
        <f>IF(J2,'Historic Data from PDF'!I143/J96)</f>
        <v>357.22613750105313</v>
      </c>
      <c r="K98" s="85">
        <f>IF(K2,'Historic Data from PDF'!J143/K96)</f>
        <v>337.48537258827764</v>
      </c>
      <c r="L98" s="85">
        <f>IF(L2,'Historic Data from PDF'!K143/L96)</f>
        <v>323.04308907747901</v>
      </c>
      <c r="M98" s="85">
        <f>IF(M2,'Historic Data from PDF'!L143/M96)</f>
        <v>315.21955559850994</v>
      </c>
      <c r="N98" s="85">
        <f>IF(N2,'Historic Data from PDF'!M143/N96)</f>
        <v>339.80976656544942</v>
      </c>
      <c r="O98" s="85">
        <f>IF(O2,'Historic Data from PDF'!N143/O96)</f>
        <v>329.04412687649801</v>
      </c>
      <c r="P98" s="85">
        <f>IF(P2,'Historic Data from PDF'!O143/P96)</f>
        <v>402.03889389541246</v>
      </c>
      <c r="Q98" s="85">
        <f>IF(Q2,'Historic Data from PDF'!P143/Q96)</f>
        <v>373.00251077526173</v>
      </c>
      <c r="R98" s="85">
        <f>IF(R2,'Historic Data from PDF'!Q143/R96)</f>
        <v>377.69811320754718</v>
      </c>
      <c r="S98" s="85">
        <f>IF(S2,'Historic Data from PDF'!R143/S96)</f>
        <v>392.35184261294137</v>
      </c>
      <c r="T98" s="85">
        <f>IF(T2,'Historic Data from PDF'!S143/T96)</f>
        <v>408.02948121801296</v>
      </c>
      <c r="U98" s="85">
        <f>IF(U2,'Historic Data from PDF'!T143/U96)</f>
        <v>401.68540091040302</v>
      </c>
      <c r="V98" s="85">
        <f>IF(V2,'Historic Data from PDF'!U143/V96)</f>
        <v>410.34350945885973</v>
      </c>
      <c r="W98" s="85">
        <f>IF(W2,'Historic Data from PDF'!V143/W96)</f>
        <v>421.36685387213288</v>
      </c>
      <c r="X98" s="85" t="b">
        <f>IF(X2,'Historic Data from PDF'!W143/X96)</f>
        <v>0</v>
      </c>
      <c r="Y98" s="85" t="b">
        <f>IF(Y2,'Historic Data from PDF'!X143/Y96)</f>
        <v>0</v>
      </c>
      <c r="Z98" s="45" t="b">
        <f>IF(Z2,'Historic Data from PDF'!Y143/Z96)</f>
        <v>0</v>
      </c>
      <c r="AA98" s="45" t="b">
        <f>IF(AA2,'Historic Data from PDF'!Z143/AA96)</f>
        <v>0</v>
      </c>
      <c r="AB98" s="45" t="b">
        <f>IF(AB2,'Historic Data from PDF'!AA143/AB96)</f>
        <v>0</v>
      </c>
      <c r="AC98" s="45" t="b">
        <f>IF(AC2,'Historic Data from PDF'!AB143/AC96)</f>
        <v>0</v>
      </c>
      <c r="AD98" s="45" t="b">
        <f>IF(AD2,'Historic Data from PDF'!AC143/AD96)</f>
        <v>0</v>
      </c>
      <c r="AE98" s="45" t="b">
        <f>IF(AE2,'Historic Data from PDF'!AD143/AE96)</f>
        <v>0</v>
      </c>
      <c r="AF98" s="45" t="b">
        <f>IF(AF2,'Historic Data from PDF'!AE143/AF96)</f>
        <v>0</v>
      </c>
      <c r="AG98" s="45" t="b">
        <f>IF(AG2,'Historic Data from PDF'!AF143/AG96)</f>
        <v>0</v>
      </c>
    </row>
    <row r="99" spans="2:33" x14ac:dyDescent="0.35">
      <c r="C99" s="42" t="str">
        <f>INDEX('Scenario analysis'!C41:C43,$D$99)</f>
        <v>Bear case Price</v>
      </c>
      <c r="D99" s="19">
        <f>'Scenario analysis'!F24</f>
        <v>3</v>
      </c>
      <c r="H99" s="45"/>
      <c r="I99" s="45">
        <f>IF(I2,I98,(1+INDEX('Scenario analysis'!#REF!,$D$99))*H99)</f>
        <v>390.23809186249395</v>
      </c>
      <c r="J99" s="45">
        <f>IF(J2,J98,(1+INDEX('Scenario analysis'!#REF!,$D$99))*I99)</f>
        <v>357.22613750105313</v>
      </c>
      <c r="K99" s="45">
        <f>IF(K2,K98,(1+INDEX('Scenario analysis'!#REF!,$D$99))*J99)</f>
        <v>337.48537258827764</v>
      </c>
      <c r="L99" s="45">
        <f>IF(L2,L98,(1+INDEX('Scenario analysis'!#REF!,$D$99))*K99)</f>
        <v>323.04308907747901</v>
      </c>
      <c r="M99" s="45">
        <f>IF(M2,M98,(1+INDEX('Scenario analysis'!#REF!,$D$99))*L99)</f>
        <v>315.21955559850994</v>
      </c>
      <c r="N99" s="45">
        <f>IF(N2,N98,(1+INDEX('Scenario analysis'!#REF!,$D$99))*M99)</f>
        <v>339.80976656544942</v>
      </c>
      <c r="O99" s="45">
        <f>IF(O2,O98,(1+INDEX('Scenario analysis'!#REF!,$D$99))*N99)</f>
        <v>329.04412687649801</v>
      </c>
      <c r="P99" s="45">
        <f>IF(P2,P98,(1+INDEX('Scenario analysis'!#REF!,$D$99))*O99)</f>
        <v>402.03889389541246</v>
      </c>
      <c r="Q99" s="45">
        <f>IF(Q2,Q98,(1+INDEX('Scenario analysis'!P41:P43,$D$99))*P99)</f>
        <v>373.00251077526173</v>
      </c>
      <c r="R99" s="45">
        <f>IF(R2,R98,(1+INDEX('Scenario analysis'!Q41:Q43,$D$99))*Q99)</f>
        <v>377.69811320754718</v>
      </c>
      <c r="S99" s="45">
        <f>IF(S2,S98,(1+INDEX('Scenario analysis'!R41:R43,$D$99))*R99)</f>
        <v>392.35184261294137</v>
      </c>
      <c r="T99" s="45">
        <f>IF(T2,T98,(1+INDEX('Scenario analysis'!S41:S43,$D$99))*S99)</f>
        <v>408.02948121801296</v>
      </c>
      <c r="U99" s="45">
        <f>IF(U2,U98,(1+INDEX('Scenario analysis'!T41:T43,$D$99))*T99)</f>
        <v>401.68540091040302</v>
      </c>
      <c r="V99" s="45">
        <f>IF(V2,V98,(1+INDEX('Scenario analysis'!U41:U43,$D$99))*U99)</f>
        <v>410.34350945885973</v>
      </c>
      <c r="W99" s="45">
        <f>IF(W2,W98,(1+INDEX('Scenario analysis'!V41:V43,$D$99))*V99)</f>
        <v>421.36685387213288</v>
      </c>
      <c r="X99" s="45">
        <f>IF(X2,X98,(1+INDEX('Scenario analysis'!F41:F43,$D$99))*W99)</f>
        <v>421.36685387213288</v>
      </c>
      <c r="Y99" s="45">
        <f>IF(Y2,Y98,(1+INDEX('Scenario analysis'!G41:G43,$D$99))*X99)</f>
        <v>421.36685387213288</v>
      </c>
      <c r="Z99" s="45">
        <f>IF(Z2,Z98,(1+INDEX('Scenario analysis'!H41:H43,$D$99))*Y99)</f>
        <v>421.36685387213288</v>
      </c>
      <c r="AA99" s="45">
        <f>IF(AA2,AA98,(1+INDEX('Scenario analysis'!I41:I43,$D$99))*Z99)</f>
        <v>421.36685387213288</v>
      </c>
      <c r="AB99" s="45">
        <f>IF(AB2,AB98,(1+INDEX('Scenario analysis'!J41:J43,$D$99))*AA99)</f>
        <v>421.36685387213288</v>
      </c>
      <c r="AC99" s="45">
        <f>IF(AC2,AC98,(1+INDEX('Scenario analysis'!K41:K43,$D$99))*AB99)</f>
        <v>421.36685387213288</v>
      </c>
      <c r="AD99" s="45">
        <f>IF(AD2,AD98,(1+INDEX('Scenario analysis'!L41:L43,$D$99))*AC99)</f>
        <v>421.36685387213288</v>
      </c>
      <c r="AE99" s="45">
        <f>IF(AE2,AE98,(1+INDEX('Scenario analysis'!M41:M43,$D$99))*AD99)</f>
        <v>421.36685387213288</v>
      </c>
      <c r="AF99" s="45">
        <f>IF(AF2,AF98,(1+INDEX('Scenario analysis'!N41:N43,$D$99))*AE99)</f>
        <v>421.36685387213288</v>
      </c>
      <c r="AG99" s="45">
        <f>IF(AG2,AG98,(1+INDEX('Scenario analysis'!O41:O43,$D$99))*AF99)</f>
        <v>421.36685387213288</v>
      </c>
    </row>
    <row r="101" spans="2:33" x14ac:dyDescent="0.35">
      <c r="D101" s="42" t="s">
        <v>213</v>
      </c>
      <c r="E101" s="42" t="s">
        <v>214</v>
      </c>
      <c r="F101" s="42" t="s">
        <v>202</v>
      </c>
    </row>
    <row r="102" spans="2:33" x14ac:dyDescent="0.35">
      <c r="C102" s="42" t="s">
        <v>212</v>
      </c>
      <c r="D102" s="49">
        <f>AVERAGEIF($3:$3,TRUE,102:102)</f>
        <v>166.39032634224728</v>
      </c>
      <c r="E102" s="49">
        <f>AVERAGEIF($4:$4,TRUE,102:102)</f>
        <v>185.39651563933623</v>
      </c>
      <c r="F102" s="16">
        <v>245</v>
      </c>
      <c r="H102" s="49"/>
      <c r="I102" s="86">
        <f>IF(I2,I17/SUM('Historic Data from PDF'!H141:H142),$F102)</f>
        <v>0</v>
      </c>
      <c r="J102" s="86">
        <f>IF(J2,J17/SUM('Historic Data from PDF'!I141:I142),$F102)</f>
        <v>0</v>
      </c>
      <c r="K102" s="86">
        <f>IF(K2,K17/SUM('Historic Data from PDF'!J141:J142),$F102)</f>
        <v>0</v>
      </c>
      <c r="L102" s="86">
        <f>IF(L2,L17/SUM('Historic Data from PDF'!K141:K142),$F102)</f>
        <v>0</v>
      </c>
      <c r="M102" s="86">
        <f>IF(M2,M17/SUM('Historic Data from PDF'!L141:L142),$F102)</f>
        <v>133.2477228872404</v>
      </c>
      <c r="N102" s="86">
        <f>IF(N2,N17/SUM('Historic Data from PDF'!M141:M142),$F102)</f>
        <v>142.24979591053719</v>
      </c>
      <c r="O102" s="86">
        <f>IF(O2,O17/SUM('Historic Data from PDF'!N141:N142),$F102)</f>
        <v>144.52206287726409</v>
      </c>
      <c r="P102" s="86">
        <f>IF(P2,P17/SUM('Historic Data from PDF'!O141:O142),$F102)</f>
        <v>185.25150621054965</v>
      </c>
      <c r="Q102" s="86">
        <f>IF(Q2,Q17/SUM('Historic Data from PDF'!P141:P142),$F102)</f>
        <v>166.00502433007674</v>
      </c>
      <c r="R102" s="86">
        <f>IF(R2,R17/SUM('Historic Data from PDF'!Q141:Q142),$F102)</f>
        <v>157.20125786163521</v>
      </c>
      <c r="S102" s="86">
        <f>IF(S2,S17/SUM('Historic Data from PDF'!R141:R142),$F102)</f>
        <v>172.88888481778545</v>
      </c>
      <c r="T102" s="86">
        <f>IF(T2,T17/SUM('Historic Data from PDF'!S141:S142),$F102)</f>
        <v>183.17987181117994</v>
      </c>
      <c r="U102" s="86">
        <f>IF(U2,U17/SUM('Historic Data from PDF'!T141:T142),$F102)</f>
        <v>178.27715695417419</v>
      </c>
      <c r="V102" s="86">
        <f>IF(V2,V17/SUM('Historic Data from PDF'!U141:U142),$F102)</f>
        <v>182.07379046494097</v>
      </c>
      <c r="W102" s="86">
        <f>IF(W2,W17/SUM('Historic Data from PDF'!V141:V142),$F102)</f>
        <v>185.39651563933623</v>
      </c>
      <c r="X102" s="86">
        <f>IF(X2,X17/SUM('Historic Data from PDF'!W141:W142),$F102)</f>
        <v>245</v>
      </c>
      <c r="Y102" s="86">
        <f>IF(Y2,Y17/SUM('Historic Data from PDF'!X141:X142),$F102)</f>
        <v>245</v>
      </c>
      <c r="Z102" s="49">
        <f>IF(Z2,Z17/SUM('Historic Data from PDF'!Y141:Y142),$F102)</f>
        <v>245</v>
      </c>
      <c r="AA102" s="49">
        <f>IF(AA2,AA17/SUM('Historic Data from PDF'!Z141:Z142),$F102)</f>
        <v>245</v>
      </c>
      <c r="AB102" s="49">
        <f>IF(AB2,AB17/SUM('Historic Data from PDF'!AA141:AA142),$F102)</f>
        <v>245</v>
      </c>
      <c r="AC102" s="49">
        <f>IF(AC2,AC17/SUM('Historic Data from PDF'!AB141:AB142),$F102)</f>
        <v>245</v>
      </c>
      <c r="AD102" s="49">
        <f>IF(AD2,AD17/SUM('Historic Data from PDF'!AC141:AC142),$F102)</f>
        <v>245</v>
      </c>
      <c r="AE102" s="49">
        <f>IF(AE2,AE17/SUM('Historic Data from PDF'!AD141:AD142),$F102)</f>
        <v>245</v>
      </c>
      <c r="AF102" s="49">
        <f>IF(AF2,AF17/SUM('Historic Data from PDF'!AE141:AE142),$F102)</f>
        <v>245</v>
      </c>
      <c r="AG102" s="49">
        <f>IF(AG2,AG17/SUM('Historic Data from PDF'!AF141:AF142),$F102)</f>
        <v>245</v>
      </c>
    </row>
    <row r="103" spans="2:33" x14ac:dyDescent="0.35">
      <c r="C103" s="42" t="s">
        <v>216</v>
      </c>
      <c r="D103" s="50">
        <f>AVERAGEIF($3:$3,TRUE,103:103)</f>
        <v>0.43815405781306027</v>
      </c>
      <c r="E103" s="50">
        <f>AVERAGEIF($4:$4,TRUE,103:103)</f>
        <v>0.43998837102549193</v>
      </c>
      <c r="F103" s="2">
        <f>'Scenario analysis'!G24</f>
        <v>0.44500000000000001</v>
      </c>
      <c r="H103" s="51"/>
      <c r="I103" s="51">
        <f t="shared" ref="I103:AG103" si="31">IF(I$2,I18,$F103)</f>
        <v>0</v>
      </c>
      <c r="J103" s="51">
        <f t="shared" si="31"/>
        <v>0</v>
      </c>
      <c r="K103" s="51">
        <f t="shared" si="31"/>
        <v>0</v>
      </c>
      <c r="L103" s="51">
        <f t="shared" si="31"/>
        <v>0</v>
      </c>
      <c r="M103" s="51">
        <f t="shared" si="31"/>
        <v>0.42271401161721028</v>
      </c>
      <c r="N103" s="51">
        <f t="shared" si="31"/>
        <v>0.41861597254338778</v>
      </c>
      <c r="O103" s="51">
        <f t="shared" si="31"/>
        <v>0.43921787709497206</v>
      </c>
      <c r="P103" s="51">
        <f t="shared" si="31"/>
        <v>0.46078006139063127</v>
      </c>
      <c r="Q103" s="51">
        <f t="shared" si="31"/>
        <v>0.44505068876090398</v>
      </c>
      <c r="R103" s="51">
        <f t="shared" si="31"/>
        <v>0.41620874546241715</v>
      </c>
      <c r="S103" s="51">
        <f t="shared" si="31"/>
        <v>0.44064756690423373</v>
      </c>
      <c r="T103" s="51">
        <f t="shared" si="31"/>
        <v>0.44893783474754767</v>
      </c>
      <c r="U103" s="51">
        <f t="shared" si="31"/>
        <v>0.44382284382284382</v>
      </c>
      <c r="V103" s="51">
        <f t="shared" si="31"/>
        <v>0.44371066257402414</v>
      </c>
      <c r="W103" s="51">
        <f t="shared" si="31"/>
        <v>0.43998837102549193</v>
      </c>
      <c r="X103" s="51">
        <f t="shared" si="31"/>
        <v>0.44500000000000001</v>
      </c>
      <c r="Y103" s="51">
        <f t="shared" si="31"/>
        <v>0.44500000000000001</v>
      </c>
      <c r="Z103" s="51">
        <f t="shared" si="31"/>
        <v>0.44500000000000001</v>
      </c>
      <c r="AA103" s="51">
        <f t="shared" si="31"/>
        <v>0.44500000000000001</v>
      </c>
      <c r="AB103" s="51">
        <f t="shared" si="31"/>
        <v>0.44500000000000001</v>
      </c>
      <c r="AC103" s="51">
        <f t="shared" si="31"/>
        <v>0.44500000000000001</v>
      </c>
      <c r="AD103" s="51">
        <f t="shared" si="31"/>
        <v>0.44500000000000001</v>
      </c>
      <c r="AE103" s="51">
        <f t="shared" si="31"/>
        <v>0.44500000000000001</v>
      </c>
      <c r="AF103" s="51">
        <f t="shared" si="31"/>
        <v>0.44500000000000001</v>
      </c>
      <c r="AG103" s="51">
        <f t="shared" si="31"/>
        <v>0.44500000000000001</v>
      </c>
    </row>
    <row r="104" spans="2:33" x14ac:dyDescent="0.35">
      <c r="C104" s="47" t="str">
        <f>C21</f>
        <v>SG&amp;A as Pct of Sales</v>
      </c>
      <c r="D104" s="50">
        <f>AVERAGEIF($3:$3,TRUE,104:104)</f>
        <v>0.30184742508130175</v>
      </c>
      <c r="E104" s="50">
        <f>AVERAGEIF($4:$4,TRUE,104:104)</f>
        <v>0.29314196529669184</v>
      </c>
      <c r="F104" s="3">
        <f>'Scenario analysis'!H24</f>
        <v>0.3</v>
      </c>
      <c r="H104" s="51"/>
      <c r="I104" s="51">
        <f t="shared" ref="I104:AG104" si="32">IF(I$2,I21,$F104)</f>
        <v>0</v>
      </c>
      <c r="J104" s="51">
        <f t="shared" si="32"/>
        <v>0</v>
      </c>
      <c r="K104" s="51">
        <f t="shared" si="32"/>
        <v>0</v>
      </c>
      <c r="L104" s="51">
        <f t="shared" si="32"/>
        <v>0</v>
      </c>
      <c r="M104" s="51">
        <f t="shared" si="32"/>
        <v>0.35040870502273502</v>
      </c>
      <c r="N104" s="51">
        <f t="shared" si="32"/>
        <v>0.34498454348513985</v>
      </c>
      <c r="O104" s="51">
        <f t="shared" si="32"/>
        <v>0.32464804469273745</v>
      </c>
      <c r="P104" s="51">
        <f t="shared" si="32"/>
        <v>0.29347390898171627</v>
      </c>
      <c r="Q104" s="51">
        <f t="shared" si="32"/>
        <v>0.26925667710754103</v>
      </c>
      <c r="R104" s="51">
        <f t="shared" si="32"/>
        <v>0.28570952809138445</v>
      </c>
      <c r="S104" s="51">
        <f t="shared" si="32"/>
        <v>0.29079152310379008</v>
      </c>
      <c r="T104" s="51">
        <f t="shared" si="32"/>
        <v>0.29555575615333696</v>
      </c>
      <c r="U104" s="51">
        <f t="shared" si="32"/>
        <v>0.28253302253302254</v>
      </c>
      <c r="V104" s="51">
        <f t="shared" si="32"/>
        <v>0.28981800142622394</v>
      </c>
      <c r="W104" s="51">
        <f t="shared" si="32"/>
        <v>0.29314196529669184</v>
      </c>
      <c r="X104" s="51">
        <f t="shared" si="32"/>
        <v>0.3</v>
      </c>
      <c r="Y104" s="51">
        <f t="shared" si="32"/>
        <v>0.3</v>
      </c>
      <c r="Z104" s="51">
        <f t="shared" si="32"/>
        <v>0.3</v>
      </c>
      <c r="AA104" s="51">
        <f t="shared" si="32"/>
        <v>0.3</v>
      </c>
      <c r="AB104" s="51">
        <f t="shared" si="32"/>
        <v>0.3</v>
      </c>
      <c r="AC104" s="51">
        <f t="shared" si="32"/>
        <v>0.3</v>
      </c>
      <c r="AD104" s="51">
        <f t="shared" si="32"/>
        <v>0.3</v>
      </c>
      <c r="AE104" s="51">
        <f t="shared" si="32"/>
        <v>0.3</v>
      </c>
      <c r="AF104" s="51">
        <f t="shared" si="32"/>
        <v>0.3</v>
      </c>
      <c r="AG104" s="51">
        <f t="shared" si="32"/>
        <v>0.3</v>
      </c>
    </row>
    <row r="105" spans="2:33" x14ac:dyDescent="0.35">
      <c r="C105" s="47" t="str">
        <f>C22</f>
        <v>Admin as Pct of Sales</v>
      </c>
      <c r="D105" s="50">
        <f>AVERAGEIF($3:$3,TRUE,105:105)</f>
        <v>6.9114019217539679E-2</v>
      </c>
      <c r="E105" s="50">
        <f>AVERAGEIF($4:$4,TRUE,105:105)</f>
        <v>7.5113994552743521E-2</v>
      </c>
      <c r="F105" s="2">
        <f>'Scenario analysis'!I24</f>
        <v>7.4999999999999997E-2</v>
      </c>
      <c r="H105" s="51"/>
      <c r="I105" s="51">
        <f t="shared" ref="I105:AG105" si="33">IF(I$2,I22,$F105)</f>
        <v>0</v>
      </c>
      <c r="J105" s="51">
        <f t="shared" si="33"/>
        <v>0</v>
      </c>
      <c r="K105" s="51">
        <f t="shared" si="33"/>
        <v>0</v>
      </c>
      <c r="L105" s="51">
        <f t="shared" si="33"/>
        <v>0</v>
      </c>
      <c r="M105" s="51">
        <f t="shared" si="33"/>
        <v>7.7824795647488634E-2</v>
      </c>
      <c r="N105" s="51">
        <f t="shared" si="33"/>
        <v>7.4605067789596677E-2</v>
      </c>
      <c r="O105" s="51">
        <f t="shared" si="33"/>
        <v>6.978770949720671E-2</v>
      </c>
      <c r="P105" s="51">
        <f t="shared" si="33"/>
        <v>6.5627919391432005E-2</v>
      </c>
      <c r="Q105" s="51">
        <f t="shared" si="33"/>
        <v>6.522178437910478E-2</v>
      </c>
      <c r="R105" s="51">
        <f t="shared" si="33"/>
        <v>6.7272787824291469E-2</v>
      </c>
      <c r="S105" s="51">
        <f t="shared" si="33"/>
        <v>6.1405578892717229E-2</v>
      </c>
      <c r="T105" s="51">
        <f t="shared" si="33"/>
        <v>6.2962628633327314E-2</v>
      </c>
      <c r="U105" s="51">
        <f t="shared" si="33"/>
        <v>6.8609168609168603E-2</v>
      </c>
      <c r="V105" s="51">
        <f t="shared" si="33"/>
        <v>7.1822776175859609E-2</v>
      </c>
      <c r="W105" s="51">
        <f t="shared" si="33"/>
        <v>7.5113994552743521E-2</v>
      </c>
      <c r="X105" s="51">
        <f t="shared" si="33"/>
        <v>7.4999999999999997E-2</v>
      </c>
      <c r="Y105" s="51">
        <f t="shared" si="33"/>
        <v>7.4999999999999997E-2</v>
      </c>
      <c r="Z105" s="51">
        <f t="shared" si="33"/>
        <v>7.4999999999999997E-2</v>
      </c>
      <c r="AA105" s="51">
        <f t="shared" si="33"/>
        <v>7.4999999999999997E-2</v>
      </c>
      <c r="AB105" s="51">
        <f t="shared" si="33"/>
        <v>7.4999999999999997E-2</v>
      </c>
      <c r="AC105" s="51">
        <f t="shared" si="33"/>
        <v>7.4999999999999997E-2</v>
      </c>
      <c r="AD105" s="51">
        <f t="shared" si="33"/>
        <v>7.4999999999999997E-2</v>
      </c>
      <c r="AE105" s="51">
        <f t="shared" si="33"/>
        <v>7.4999999999999997E-2</v>
      </c>
      <c r="AF105" s="51">
        <f t="shared" si="33"/>
        <v>7.4999999999999997E-2</v>
      </c>
      <c r="AG105" s="51">
        <f t="shared" si="33"/>
        <v>7.4999999999999997E-2</v>
      </c>
    </row>
    <row r="106" spans="2:33" x14ac:dyDescent="0.35">
      <c r="C106" s="47" t="s">
        <v>250</v>
      </c>
      <c r="D106" s="45">
        <f>AVERAGEIF($3:$3,TRUE,106:106)</f>
        <v>-191.54545454545453</v>
      </c>
      <c r="E106" s="45">
        <f>AVERAGEIF($4:$4,TRUE,106:106)</f>
        <v>-351</v>
      </c>
      <c r="F106" s="17">
        <v>-351</v>
      </c>
      <c r="H106" s="45"/>
      <c r="I106" s="85">
        <f>IF(I$2,'Historic Data from PDF'!H80+'Historic Data from PDF'!H81+'Historic Data from PDF'!H106,$F106)</f>
        <v>0</v>
      </c>
      <c r="J106" s="85">
        <f>IF(J$2,'Historic Data from PDF'!I80+'Historic Data from PDF'!I81+'Historic Data from PDF'!I106,$F106)</f>
        <v>0</v>
      </c>
      <c r="K106" s="85">
        <f>IF(K$2,'Historic Data from PDF'!J80+'Historic Data from PDF'!J81+'Historic Data from PDF'!J106,$F106)</f>
        <v>0</v>
      </c>
      <c r="L106" s="85">
        <f>IF(L$2,'Historic Data from PDF'!K80+'Historic Data from PDF'!K81+'Historic Data from PDF'!K106,$F106)</f>
        <v>0</v>
      </c>
      <c r="M106" s="85">
        <f>IF(M$2,'Historic Data from PDF'!L80+'Historic Data from PDF'!L81+'Historic Data from PDF'!L106,$F106)</f>
        <v>-126</v>
      </c>
      <c r="N106" s="85">
        <f>IF(N$2,'Historic Data from PDF'!M80+'Historic Data from PDF'!M81+'Historic Data from PDF'!M106,$F106)</f>
        <v>-210</v>
      </c>
      <c r="O106" s="85">
        <f>IF(O$2,'Historic Data from PDF'!N80+'Historic Data from PDF'!N81+'Historic Data from PDF'!N106,$F106)</f>
        <v>106</v>
      </c>
      <c r="P106" s="85">
        <f>IF(P$2,'Historic Data from PDF'!O80+'Historic Data from PDF'!O81+'Historic Data from PDF'!O106,$F106)</f>
        <v>246</v>
      </c>
      <c r="Q106" s="85">
        <f>IF(Q$2,'Historic Data from PDF'!P80+'Historic Data from PDF'!P81+'Historic Data from PDF'!P106,$F106)</f>
        <v>-552</v>
      </c>
      <c r="R106" s="85">
        <f>IF(R$2,'Historic Data from PDF'!Q80+'Historic Data from PDF'!Q81+'Historic Data from PDF'!Q106,$F106)</f>
        <v>-219</v>
      </c>
      <c r="S106" s="85">
        <f>IF(S$2,'Historic Data from PDF'!R80+'Historic Data from PDF'!R81+'Historic Data from PDF'!R106,$F106)</f>
        <v>-199</v>
      </c>
      <c r="T106" s="85">
        <f>IF(T$2,'Historic Data from PDF'!S80+'Historic Data from PDF'!S81+'Historic Data from PDF'!S106,$F106)</f>
        <v>-179</v>
      </c>
      <c r="U106" s="85">
        <f>IF(U$2,'Historic Data from PDF'!T80+'Historic Data from PDF'!T81+'Historic Data from PDF'!T106,$F106)</f>
        <v>-595</v>
      </c>
      <c r="V106" s="85">
        <f>IF(V$2,'Historic Data from PDF'!U80+'Historic Data from PDF'!U81+'Historic Data from PDF'!U106,$F106)</f>
        <v>-28</v>
      </c>
      <c r="W106" s="85">
        <f>IF(W$2,'Historic Data from PDF'!V80+'Historic Data from PDF'!V81+'Historic Data from PDF'!V106,$F106)</f>
        <v>-351</v>
      </c>
      <c r="X106" s="85">
        <f>IF(X$2,'Historic Data from PDF'!W80+'Historic Data from PDF'!W81+'Historic Data from PDF'!W106,$F106)</f>
        <v>-351</v>
      </c>
      <c r="Y106" s="85">
        <f>IF(Y$2,'Historic Data from PDF'!X80+'Historic Data from PDF'!X81+'Historic Data from PDF'!X106,$F106)</f>
        <v>-351</v>
      </c>
      <c r="Z106" s="45">
        <f>IF(Z$2,'Historic Data from PDF'!Y80+'Historic Data from PDF'!Y81+'Historic Data from PDF'!Y106,$F106)</f>
        <v>-351</v>
      </c>
      <c r="AA106" s="45">
        <f>IF(AA$2,'Historic Data from PDF'!Z80+'Historic Data from PDF'!Z81+'Historic Data from PDF'!Z106,$F106)</f>
        <v>-351</v>
      </c>
      <c r="AB106" s="45">
        <f>IF(AB$2,'Historic Data from PDF'!AA80+'Historic Data from PDF'!AA81+'Historic Data from PDF'!AA106,$F106)</f>
        <v>-351</v>
      </c>
      <c r="AC106" s="45">
        <f>IF(AC$2,'Historic Data from PDF'!AB80+'Historic Data from PDF'!AB81+'Historic Data from PDF'!AB106,$F106)</f>
        <v>-351</v>
      </c>
      <c r="AD106" s="45">
        <f>IF(AD$2,'Historic Data from PDF'!AC80+'Historic Data from PDF'!AC81+'Historic Data from PDF'!AC106,$F106)</f>
        <v>-351</v>
      </c>
      <c r="AE106" s="45">
        <f>IF(AE$2,'Historic Data from PDF'!AD80+'Historic Data from PDF'!AD81+'Historic Data from PDF'!AD106,$F106)</f>
        <v>-351</v>
      </c>
      <c r="AF106" s="45">
        <f>IF(AF$2,'Historic Data from PDF'!AE80+'Historic Data from PDF'!AE81+'Historic Data from PDF'!AE106,$F106)</f>
        <v>-351</v>
      </c>
      <c r="AG106" s="45">
        <f>IF(AG$2,'Historic Data from PDF'!AF80+'Historic Data from PDF'!AF81+'Historic Data from PDF'!AF106,$F106)</f>
        <v>-351</v>
      </c>
    </row>
    <row r="108" spans="2:33" x14ac:dyDescent="0.35">
      <c r="B108" s="42" t="s">
        <v>236</v>
      </c>
    </row>
    <row r="109" spans="2:33" x14ac:dyDescent="0.35">
      <c r="C109" s="52" t="s">
        <v>239</v>
      </c>
      <c r="D109" s="50">
        <f>AVERAGEIF($3:$3,TRUE,109:109)</f>
        <v>0.20609757124247263</v>
      </c>
      <c r="E109" s="50">
        <f>AVERAGEIF($4:$4,TRUE,109:109)</f>
        <v>0.17616366251491875</v>
      </c>
      <c r="F109" s="18">
        <v>0.18</v>
      </c>
      <c r="H109" s="51"/>
      <c r="I109" s="87" t="b">
        <f>IFERROR(IF(I$2,'Historic Data from PDF'!H52/'Historic Data from PDF'!H75,$F109),FALSE)</f>
        <v>0</v>
      </c>
      <c r="J109" s="87" t="b">
        <f>IFERROR(IF(J$2,'Historic Data from PDF'!I52/'Historic Data from PDF'!I75,$F109),FALSE)</f>
        <v>0</v>
      </c>
      <c r="K109" s="87" t="b">
        <f>IFERROR(IF(K$2,'Historic Data from PDF'!J52/'Historic Data from PDF'!J75,$F109),FALSE)</f>
        <v>0</v>
      </c>
      <c r="L109" s="87" t="b">
        <f>IFERROR(IF(L$2,'Historic Data from PDF'!K52/'Historic Data from PDF'!K75,$F109),FALSE)</f>
        <v>0</v>
      </c>
      <c r="M109" s="87">
        <f>IFERROR(IF(M$2,'Historic Data from PDF'!L52/'Historic Data from PDF'!L75,$F109),FALSE)</f>
        <v>0.28774936263043077</v>
      </c>
      <c r="N109" s="87">
        <f>IFERROR(IF(N$2,'Historic Data from PDF'!M52/'Historic Data from PDF'!M75,$F109),FALSE)</f>
        <v>0.22863471508896624</v>
      </c>
      <c r="O109" s="87">
        <f>IFERROR(IF(O$2,'Historic Data from PDF'!N52/'Historic Data from PDF'!N75,$F109),FALSE)</f>
        <v>0.22976536312849161</v>
      </c>
      <c r="P109" s="87">
        <f>IFERROR(IF(P$2,'Historic Data from PDF'!O52/'Historic Data from PDF'!O75,$F109),FALSE)</f>
        <v>0.21093020152142</v>
      </c>
      <c r="Q109" s="87">
        <f>IFERROR(IF(Q$2,'Historic Data from PDF'!P52/'Historic Data from PDF'!P75,$F109),FALSE)</f>
        <v>0.1699673301673908</v>
      </c>
      <c r="R109" s="87">
        <f>IFERROR(IF(R$2,'Historic Data from PDF'!Q52/'Historic Data from PDF'!Q75,$F109),FALSE)</f>
        <v>0.17167882239317947</v>
      </c>
      <c r="S109" s="87">
        <f>IFERROR(IF(S$2,'Historic Data from PDF'!R52/'Historic Data from PDF'!R75,$F109),FALSE)</f>
        <v>0.19425433835213418</v>
      </c>
      <c r="T109" s="87">
        <f>IFERROR(IF(T$2,'Historic Data from PDF'!S52/'Historic Data from PDF'!S75,$F109),FALSE)</f>
        <v>0.19407449293909318</v>
      </c>
      <c r="U109" s="87">
        <f>IFERROR(IF(U$2,'Historic Data from PDF'!T52/'Historic Data from PDF'!T75,$F109),FALSE)</f>
        <v>0.20557886557886557</v>
      </c>
      <c r="V109" s="87">
        <f>IFERROR(IF(V$2,'Historic Data from PDF'!U52/'Historic Data from PDF'!U75,$F109),FALSE)</f>
        <v>0.19827612935230832</v>
      </c>
      <c r="W109" s="87">
        <f>IFERROR(IF(W$2,'Historic Data from PDF'!V52/'Historic Data from PDF'!V75,$F109),FALSE)</f>
        <v>0.17616366251491875</v>
      </c>
      <c r="X109" s="87">
        <f>IFERROR(IF(X$2,'Historic Data from PDF'!W52/'Historic Data from PDF'!W75,$F109),FALSE)</f>
        <v>0.18</v>
      </c>
      <c r="Y109" s="87">
        <f>IFERROR(IF(Y$2,'Historic Data from PDF'!X52/'Historic Data from PDF'!X75,$F109),FALSE)</f>
        <v>0.18</v>
      </c>
      <c r="Z109" s="51">
        <f>IFERROR(IF(Z$2,'Historic Data from PDF'!Y52/'Historic Data from PDF'!Y75,$F109),FALSE)</f>
        <v>0.18</v>
      </c>
      <c r="AA109" s="51">
        <f>IFERROR(IF(AA$2,'Historic Data from PDF'!Z52/'Historic Data from PDF'!Z75,$F109),FALSE)</f>
        <v>0.18</v>
      </c>
      <c r="AB109" s="51">
        <f>IFERROR(IF(AB$2,'Historic Data from PDF'!AA52/'Historic Data from PDF'!AA75,$F109),FALSE)</f>
        <v>0.18</v>
      </c>
      <c r="AC109" s="51">
        <f>IFERROR(IF(AC$2,'Historic Data from PDF'!AB52/'Historic Data from PDF'!AB75,$F109),FALSE)</f>
        <v>0.18</v>
      </c>
      <c r="AD109" s="51">
        <f>IFERROR(IF(AD$2,'Historic Data from PDF'!AC52/'Historic Data from PDF'!AC75,$F109),FALSE)</f>
        <v>0.18</v>
      </c>
      <c r="AE109" s="51">
        <f>IFERROR(IF(AE$2,'Historic Data from PDF'!AD52/'Historic Data from PDF'!AD75,$F109),FALSE)</f>
        <v>0.18</v>
      </c>
      <c r="AF109" s="51">
        <f>IFERROR(IF(AF$2,'Historic Data from PDF'!AE52/'Historic Data from PDF'!AE75,$F109),FALSE)</f>
        <v>0.18</v>
      </c>
      <c r="AG109" s="51">
        <f>IFERROR(IF(AG$2,'Historic Data from PDF'!AF52/'Historic Data from PDF'!AF75,$F109),FALSE)</f>
        <v>0.18</v>
      </c>
    </row>
    <row r="110" spans="2:33" x14ac:dyDescent="0.35">
      <c r="C110" s="52" t="s">
        <v>238</v>
      </c>
      <c r="D110" s="50">
        <f>AVERAGEIF($3:$3,TRUE,110:110)</f>
        <v>0.16493461995608141</v>
      </c>
      <c r="E110" s="50">
        <f>AVERAGEIF($4:$4,TRUE,110:110)</f>
        <v>0.13274213180316466</v>
      </c>
      <c r="F110" s="18">
        <v>0.15</v>
      </c>
      <c r="H110" s="51"/>
      <c r="I110" s="87" t="b">
        <f>IFERROR(IF(I$2,'Historic Data from PDF'!H13/I17,$F110),FALSE)</f>
        <v>0</v>
      </c>
      <c r="J110" s="87" t="b">
        <f>IFERROR(IF(J$2,'Historic Data from PDF'!I13/J17,$F110),FALSE)</f>
        <v>0</v>
      </c>
      <c r="K110" s="87" t="b">
        <f>IFERROR(IF(K$2,'Historic Data from PDF'!J13/K17,$F110),FALSE)</f>
        <v>0</v>
      </c>
      <c r="L110" s="87" t="b">
        <f>IFERROR(IF(L$2,'Historic Data from PDF'!K13/L17,$F110),FALSE)</f>
        <v>0</v>
      </c>
      <c r="M110" s="87">
        <f>IFERROR(IF(M$2,'Historic Data from PDF'!L13/M17,$F110),FALSE)</f>
        <v>0.17820058446807188</v>
      </c>
      <c r="N110" s="87">
        <f>IFERROR(IF(N$2,'Historic Data from PDF'!M13/N17,$F110),FALSE)</f>
        <v>0.18723107338062567</v>
      </c>
      <c r="O110" s="87">
        <f>IFERROR(IF(O$2,'Historic Data from PDF'!N13/O17,$F110),FALSE)</f>
        <v>0.19425082676163827</v>
      </c>
      <c r="P110" s="87">
        <f>IFERROR(IF(P$2,'Historic Data from PDF'!O13/P17,$F110),FALSE)</f>
        <v>0.19249846131566561</v>
      </c>
      <c r="Q110" s="87">
        <f>IFERROR(IF(Q$2,'Historic Data from PDF'!P13/Q17,$F110),FALSE)</f>
        <v>0.13625700015135461</v>
      </c>
      <c r="R110" s="87">
        <f>IFERROR(IF(R$2,'Historic Data from PDF'!Q13/R17,$F110),FALSE)</f>
        <v>0.16767353470694138</v>
      </c>
      <c r="S110" s="87">
        <f>IFERROR(IF(S$2,'Historic Data from PDF'!R13/S17,$F110),FALSE)</f>
        <v>0.1553127677806341</v>
      </c>
      <c r="T110" s="87">
        <f>IFERROR(IF(T$2,'Historic Data from PDF'!S13/T17,$F110),FALSE)</f>
        <v>0.15217828418230564</v>
      </c>
      <c r="U110" s="87">
        <f>IFERROR(IF(U$2,'Historic Data from PDF'!T13/U17,$F110),FALSE)</f>
        <v>0.16078431372549021</v>
      </c>
      <c r="V110" s="87">
        <f>IFERROR(IF(V$2,'Historic Data from PDF'!U13/V17,$F110),FALSE)</f>
        <v>0.15715184124100343</v>
      </c>
      <c r="W110" s="87">
        <f>IFERROR(IF(W$2,'Historic Data from PDF'!V13/W17,$F110),FALSE)</f>
        <v>0.13274213180316466</v>
      </c>
      <c r="X110" s="87">
        <f>IFERROR(IF(X$2,'Historic Data from PDF'!W13/X17,$F110),FALSE)</f>
        <v>0.15</v>
      </c>
      <c r="Y110" s="87">
        <f>IFERROR(IF(Y$2,'Historic Data from PDF'!X13/Y17,$F110),FALSE)</f>
        <v>0.15</v>
      </c>
      <c r="Z110" s="51">
        <f>IFERROR(IF(Z$2,'Historic Data from PDF'!Y13/Z17,$F110),FALSE)</f>
        <v>0.15</v>
      </c>
      <c r="AA110" s="51">
        <f>IFERROR(IF(AA$2,'Historic Data from PDF'!Z13/AA17,$F110),FALSE)</f>
        <v>0.15</v>
      </c>
      <c r="AB110" s="51">
        <f>IFERROR(IF(AB$2,'Historic Data from PDF'!AA13/AB17,$F110),FALSE)</f>
        <v>0.15</v>
      </c>
      <c r="AC110" s="51">
        <f>IFERROR(IF(AC$2,'Historic Data from PDF'!AB13/AC17,$F110),FALSE)</f>
        <v>0.15</v>
      </c>
      <c r="AD110" s="51">
        <f>IFERROR(IF(AD$2,'Historic Data from PDF'!AC13/AD17,$F110),FALSE)</f>
        <v>0.15</v>
      </c>
      <c r="AE110" s="51">
        <f>IFERROR(IF(AE$2,'Historic Data from PDF'!AD13/AE17,$F110),FALSE)</f>
        <v>0.15</v>
      </c>
      <c r="AF110" s="51">
        <f>IFERROR(IF(AF$2,'Historic Data from PDF'!AE13/AF17,$F110),FALSE)</f>
        <v>0.15</v>
      </c>
      <c r="AG110" s="51">
        <f>IFERROR(IF(AG$2,'Historic Data from PDF'!AF13/AG17,$F110),FALSE)</f>
        <v>0.15</v>
      </c>
    </row>
    <row r="111" spans="2:33" x14ac:dyDescent="0.35">
      <c r="C111" s="52" t="s">
        <v>241</v>
      </c>
      <c r="D111" s="50">
        <f>AVERAGEIF($3:$3,TRUE,111:111)</f>
        <v>0.35749732958301683</v>
      </c>
      <c r="E111" s="50">
        <f>AVERAGEIF($4:$4,TRUE,111:111)</f>
        <v>0.42636063293340287</v>
      </c>
      <c r="F111" s="18">
        <v>0.42</v>
      </c>
      <c r="H111" s="51"/>
      <c r="I111" s="87" t="b">
        <f>IFERROR(IF(I$2,'Historic Data from PDF'!H38/I17,$F111),FALSE)</f>
        <v>0</v>
      </c>
      <c r="J111" s="87" t="b">
        <f>IFERROR(IF(J$2,'Historic Data from PDF'!I38/J17,$F111),FALSE)</f>
        <v>0</v>
      </c>
      <c r="K111" s="87" t="b">
        <f>IFERROR(IF(K$2,'Historic Data from PDF'!J38/K17,$F111),FALSE)</f>
        <v>0</v>
      </c>
      <c r="L111" s="87" t="b">
        <f>IFERROR(IF(L$2,'Historic Data from PDF'!K38/L17,$F111),FALSE)</f>
        <v>0</v>
      </c>
      <c r="M111" s="87">
        <f>IFERROR(IF(M$2,'Historic Data from PDF'!L38/M17,$F111),FALSE)</f>
        <v>0.28060685195548096</v>
      </c>
      <c r="N111" s="87">
        <f>IFERROR(IF(N$2,'Historic Data from PDF'!M38/N17,$F111),FALSE)</f>
        <v>0.29927898592859636</v>
      </c>
      <c r="O111" s="87">
        <f>IFERROR(IF(O$2,'Historic Data from PDF'!N38/O17,$F111),FALSE)</f>
        <v>0.29676926990587638</v>
      </c>
      <c r="P111" s="87">
        <f>IFERROR(IF(P$2,'Historic Data from PDF'!O38/P17,$F111),FALSE)</f>
        <v>0.28938126787589152</v>
      </c>
      <c r="Q111" s="87">
        <f>IFERROR(IF(Q$2,'Historic Data from PDF'!P38/Q17,$F111),FALSE)</f>
        <v>0.30002270319358254</v>
      </c>
      <c r="R111" s="87">
        <f>IFERROR(IF(R$2,'Historic Data from PDF'!Q38/R17,$F111),FALSE)</f>
        <v>0.37547509501900378</v>
      </c>
      <c r="S111" s="87">
        <f>IFERROR(IF(S$2,'Historic Data from PDF'!R38/S17,$F111),FALSE)</f>
        <v>0.393494715795487</v>
      </c>
      <c r="T111" s="87">
        <f>IFERROR(IF(T$2,'Historic Data from PDF'!S38/T17,$F111),FALSE)</f>
        <v>0.39752010723860592</v>
      </c>
      <c r="U111" s="87">
        <f>IFERROR(IF(U$2,'Historic Data from PDF'!T38/U17,$F111),FALSE)</f>
        <v>0.45262605042016807</v>
      </c>
      <c r="V111" s="87">
        <f>IFERROR(IF(V$2,'Historic Data from PDF'!U38/V17,$F111),FALSE)</f>
        <v>0.42093494514708968</v>
      </c>
      <c r="W111" s="87">
        <f>IFERROR(IF(W$2,'Historic Data from PDF'!V38/W17,$F111),FALSE)</f>
        <v>0.42636063293340287</v>
      </c>
      <c r="X111" s="87">
        <f>IFERROR(IF(X$2,'Historic Data from PDF'!W38/X17,$F111),FALSE)</f>
        <v>0.42</v>
      </c>
      <c r="Y111" s="87">
        <f>IFERROR(IF(Y$2,'Historic Data from PDF'!X38/Y17,$F111),FALSE)</f>
        <v>0.42</v>
      </c>
      <c r="Z111" s="87">
        <f>IFERROR(IF(Z$2,'Historic Data from PDF'!Y38/Z17,$F111),FALSE)</f>
        <v>0.42</v>
      </c>
      <c r="AA111" s="87">
        <f>IFERROR(IF(AA$2,'Historic Data from PDF'!Z38/AA17,$F111),FALSE)</f>
        <v>0.42</v>
      </c>
      <c r="AB111" s="87">
        <f>IFERROR(IF(AB$2,'Historic Data from PDF'!AA38/AB17,$F111),FALSE)</f>
        <v>0.42</v>
      </c>
      <c r="AC111" s="87">
        <f>IFERROR(IF(AC$2,'Historic Data from PDF'!AB38/AC17,$F111),FALSE)</f>
        <v>0.42</v>
      </c>
      <c r="AD111" s="87">
        <f>IFERROR(IF(AD$2,'Historic Data from PDF'!AC38/AD17,$F111),FALSE)</f>
        <v>0.42</v>
      </c>
      <c r="AE111" s="87">
        <f>IFERROR(IF(AE$2,'Historic Data from PDF'!AD38/AE17,$F111),FALSE)</f>
        <v>0.42</v>
      </c>
      <c r="AF111" s="87">
        <f>IFERROR(IF(AF$2,'Historic Data from PDF'!AE38/AF17,$F111),FALSE)</f>
        <v>0.42</v>
      </c>
      <c r="AG111" s="87">
        <f>IFERROR(IF(AG$2,'Historic Data from PDF'!AF38/AG17,$F111),FALSE)</f>
        <v>0.42</v>
      </c>
    </row>
    <row r="112" spans="2:33" x14ac:dyDescent="0.35">
      <c r="C112" s="52" t="s">
        <v>240</v>
      </c>
      <c r="D112" s="50">
        <f>AVERAGEIF($3:$3,TRUE,112:112)</f>
        <v>0.20782808070507322</v>
      </c>
      <c r="E112" s="50">
        <f>AVERAGEIF($4:$4,TRUE,112:112)</f>
        <v>0.23851638767328703</v>
      </c>
      <c r="F112" s="18">
        <v>0.23899999999999999</v>
      </c>
      <c r="H112" s="51"/>
      <c r="I112" s="87" t="b">
        <f>IFERROR(IF(I$2,'Historic Data from PDF'!H53/'Historic Data from PDF'!H75,$F112),FALSE)</f>
        <v>0</v>
      </c>
      <c r="J112" s="87" t="b">
        <f>IFERROR(IF(J$2,'Historic Data from PDF'!I53/'Historic Data from PDF'!I75,$F112),FALSE)</f>
        <v>0</v>
      </c>
      <c r="K112" s="87" t="b">
        <f>IFERROR(IF(K$2,'Historic Data from PDF'!J53/'Historic Data from PDF'!J75,$F112),FALSE)</f>
        <v>0</v>
      </c>
      <c r="L112" s="87" t="b">
        <f>IFERROR(IF(L$2,'Historic Data from PDF'!K53/'Historic Data from PDF'!K75,$F112),FALSE)</f>
        <v>0</v>
      </c>
      <c r="M112" s="87">
        <f>IFERROR(IF(M$2,'Historic Data from PDF'!L53/'Historic Data from PDF'!L75,$F112),FALSE)</f>
        <v>0.19220963545088968</v>
      </c>
      <c r="N112" s="87">
        <f>IFERROR(IF(N$2,'Historic Data from PDF'!M53/'Historic Data from PDF'!M75,$F112),FALSE)</f>
        <v>0.15987147968746196</v>
      </c>
      <c r="O112" s="87">
        <f>IFERROR(IF(O$2,'Historic Data from PDF'!N53/'Historic Data from PDF'!N75,$F112),FALSE)</f>
        <v>0.16232402234636872</v>
      </c>
      <c r="P112" s="87">
        <f>IFERROR(IF(P$2,'Historic Data from PDF'!O53/'Historic Data from PDF'!O75,$F112),FALSE)</f>
        <v>0.21915454424129188</v>
      </c>
      <c r="Q112" s="87">
        <f>IFERROR(IF(Q$2,'Historic Data from PDF'!P53/'Historic Data from PDF'!P75,$F112),FALSE)</f>
        <v>0.2352564750261022</v>
      </c>
      <c r="R112" s="87">
        <f>IFERROR(IF(R$2,'Historic Data from PDF'!Q53/'Historic Data from PDF'!Q75,$F112),FALSE)</f>
        <v>0.24472974323109201</v>
      </c>
      <c r="S112" s="87">
        <f>IFERROR(IF(S$2,'Historic Data from PDF'!R53/'Historic Data from PDF'!R75,$F112),FALSE)</f>
        <v>0.20938940545302936</v>
      </c>
      <c r="T112" s="87">
        <f>IFERROR(IF(T$2,'Historic Data from PDF'!S53/'Historic Data from PDF'!S75,$F112),FALSE)</f>
        <v>0.19243761253552774</v>
      </c>
      <c r="U112" s="87">
        <f>IFERROR(IF(U$2,'Historic Data from PDF'!T53/'Historic Data from PDF'!T75,$F112),FALSE)</f>
        <v>0.19715617715617714</v>
      </c>
      <c r="V112" s="87">
        <f>IFERROR(IF(V$2,'Historic Data from PDF'!U53/'Historic Data from PDF'!U75,$F112),FALSE)</f>
        <v>0.23506340495457786</v>
      </c>
      <c r="W112" s="87">
        <f>IFERROR(IF(W$2,'Historic Data from PDF'!V53/'Historic Data from PDF'!V75,$F112),FALSE)</f>
        <v>0.23851638767328703</v>
      </c>
      <c r="X112" s="87">
        <f>IFERROR(IF(X$2,'Historic Data from PDF'!W53/'Historic Data from PDF'!W75,$F112),FALSE)</f>
        <v>0.23899999999999999</v>
      </c>
      <c r="Y112" s="87">
        <f>IFERROR(IF(Y$2,'Historic Data from PDF'!X53/'Historic Data from PDF'!X75,$F112),FALSE)</f>
        <v>0.23899999999999999</v>
      </c>
      <c r="Z112" s="51">
        <f>IFERROR(IF(Z$2,'Historic Data from PDF'!Y53/'Historic Data from PDF'!Y75,$F112),FALSE)</f>
        <v>0.23899999999999999</v>
      </c>
      <c r="AA112" s="51">
        <f>IFERROR(IF(AA$2,'Historic Data from PDF'!Z53/'Historic Data from PDF'!Z75,$F112),FALSE)</f>
        <v>0.23899999999999999</v>
      </c>
      <c r="AB112" s="51">
        <f>IFERROR(IF(AB$2,'Historic Data from PDF'!AA53/'Historic Data from PDF'!AA75,$F112),FALSE)</f>
        <v>0.23899999999999999</v>
      </c>
      <c r="AC112" s="51">
        <f>IFERROR(IF(AC$2,'Historic Data from PDF'!AB53/'Historic Data from PDF'!AB75,$F112),FALSE)</f>
        <v>0.23899999999999999</v>
      </c>
      <c r="AD112" s="51">
        <f>IFERROR(IF(AD$2,'Historic Data from PDF'!AC53/'Historic Data from PDF'!AC75,$F112),FALSE)</f>
        <v>0.23899999999999999</v>
      </c>
      <c r="AE112" s="51">
        <f>IFERROR(IF(AE$2,'Historic Data from PDF'!AD53/'Historic Data from PDF'!AD75,$F112),FALSE)</f>
        <v>0.23899999999999999</v>
      </c>
      <c r="AF112" s="51">
        <f>IFERROR(IF(AF$2,'Historic Data from PDF'!AE53/'Historic Data from PDF'!AE75,$F112),FALSE)</f>
        <v>0.23899999999999999</v>
      </c>
      <c r="AG112" s="51">
        <f>IFERROR(IF(AG$2,'Historic Data from PDF'!AF53/'Historic Data from PDF'!AF75,$F112),FALSE)</f>
        <v>0.23899999999999999</v>
      </c>
    </row>
    <row r="114" spans="1:33" x14ac:dyDescent="0.35">
      <c r="C114" s="96" t="s">
        <v>237</v>
      </c>
      <c r="D114" s="53">
        <f>AVERAGEIF($3:$3,TRUE,114:114)</f>
        <v>3651.818181818182</v>
      </c>
      <c r="E114" s="53">
        <f>AVERAGEIF($4:$4,TRUE,114:114)</f>
        <v>2922</v>
      </c>
      <c r="F114" s="17">
        <v>5500</v>
      </c>
      <c r="H114" s="45" t="str">
        <f>IFERROR(IF(H$2,#REF!,$F114),"")</f>
        <v/>
      </c>
      <c r="I114" s="45">
        <f t="shared" ref="I114:AG114" si="34">IFERROR(IF(I$2,I29,$F114),"")</f>
        <v>0</v>
      </c>
      <c r="J114" s="45">
        <f t="shared" si="34"/>
        <v>0</v>
      </c>
      <c r="K114" s="45">
        <f t="shared" si="34"/>
        <v>0</v>
      </c>
      <c r="L114" s="45">
        <f t="shared" si="34"/>
        <v>0</v>
      </c>
      <c r="M114" s="45">
        <f t="shared" si="34"/>
        <v>1501</v>
      </c>
      <c r="N114" s="45">
        <f t="shared" si="34"/>
        <v>3069</v>
      </c>
      <c r="O114" s="45">
        <f t="shared" si="34"/>
        <v>4640</v>
      </c>
      <c r="P114" s="45">
        <f t="shared" si="34"/>
        <v>4712</v>
      </c>
      <c r="Q114" s="45">
        <f t="shared" si="34"/>
        <v>2702</v>
      </c>
      <c r="R114" s="45">
        <f t="shared" si="34"/>
        <v>2736</v>
      </c>
      <c r="S114" s="45">
        <f t="shared" si="34"/>
        <v>4054</v>
      </c>
      <c r="T114" s="45">
        <f t="shared" si="34"/>
        <v>2736</v>
      </c>
      <c r="U114" s="45">
        <f t="shared" si="34"/>
        <v>5451</v>
      </c>
      <c r="V114" s="45">
        <f t="shared" si="34"/>
        <v>5647</v>
      </c>
      <c r="W114" s="45">
        <f t="shared" si="34"/>
        <v>2922</v>
      </c>
      <c r="X114" s="45">
        <f t="shared" si="34"/>
        <v>5500</v>
      </c>
      <c r="Y114" s="45">
        <f t="shared" si="34"/>
        <v>5500</v>
      </c>
      <c r="Z114" s="45">
        <f t="shared" si="34"/>
        <v>5500</v>
      </c>
      <c r="AA114" s="45">
        <f t="shared" si="34"/>
        <v>5500</v>
      </c>
      <c r="AB114" s="45">
        <f t="shared" si="34"/>
        <v>5500</v>
      </c>
      <c r="AC114" s="45">
        <f t="shared" si="34"/>
        <v>5500</v>
      </c>
      <c r="AD114" s="45">
        <f t="shared" si="34"/>
        <v>5500</v>
      </c>
      <c r="AE114" s="45">
        <f t="shared" si="34"/>
        <v>5500</v>
      </c>
      <c r="AF114" s="45">
        <f t="shared" si="34"/>
        <v>5500</v>
      </c>
      <c r="AG114" s="45">
        <f t="shared" si="34"/>
        <v>5500</v>
      </c>
    </row>
    <row r="116" spans="1:33" x14ac:dyDescent="0.35">
      <c r="C116" s="42" t="s">
        <v>254</v>
      </c>
      <c r="D116" s="50">
        <f>AVERAGEIF($3:$3,TRUE,116:116)</f>
        <v>0.13169945096621852</v>
      </c>
      <c r="E116" s="50">
        <f>AVERAGEIF($4:$4,TRUE,116:116)</f>
        <v>0.16865730884422472</v>
      </c>
      <c r="F116" s="18">
        <v>0.17</v>
      </c>
      <c r="H116" s="51"/>
      <c r="I116" s="51" t="b">
        <f t="shared" ref="I116:AG116" si="35">IFERROR(IF(I$2,I26,$F116),"")</f>
        <v>0</v>
      </c>
      <c r="J116" s="51" t="b">
        <f t="shared" si="35"/>
        <v>0</v>
      </c>
      <c r="K116" s="51" t="b">
        <f t="shared" si="35"/>
        <v>0</v>
      </c>
      <c r="L116" s="51" t="b">
        <f t="shared" si="35"/>
        <v>0</v>
      </c>
      <c r="M116" s="51">
        <f t="shared" si="35"/>
        <v>0.13736182756079587</v>
      </c>
      <c r="N116" s="51">
        <f t="shared" si="35"/>
        <v>0.14503216934335247</v>
      </c>
      <c r="O116" s="51">
        <f t="shared" si="35"/>
        <v>0.13033242301534984</v>
      </c>
      <c r="P116" s="51">
        <f t="shared" si="35"/>
        <v>0.12918506909816213</v>
      </c>
      <c r="Q116" s="51">
        <f t="shared" si="35"/>
        <v>0.11444100321855832</v>
      </c>
      <c r="R116" s="51">
        <f t="shared" si="35"/>
        <v>0.12411860845201961</v>
      </c>
      <c r="S116" s="51">
        <f t="shared" si="35"/>
        <v>0.1176324142652642</v>
      </c>
      <c r="T116" s="51">
        <f t="shared" si="35"/>
        <v>0.12503328686226289</v>
      </c>
      <c r="U116" s="51">
        <f t="shared" si="35"/>
        <v>0.12123209214015597</v>
      </c>
      <c r="V116" s="51">
        <f t="shared" si="35"/>
        <v>0.13566775782825777</v>
      </c>
      <c r="W116" s="51">
        <f t="shared" si="35"/>
        <v>0.16865730884422472</v>
      </c>
      <c r="X116" s="51">
        <f t="shared" si="35"/>
        <v>0.17</v>
      </c>
      <c r="Y116" s="51">
        <f t="shared" si="35"/>
        <v>0.17</v>
      </c>
      <c r="Z116" s="51">
        <f t="shared" si="35"/>
        <v>0.17</v>
      </c>
      <c r="AA116" s="51">
        <f t="shared" si="35"/>
        <v>0.17</v>
      </c>
      <c r="AB116" s="51">
        <f t="shared" si="35"/>
        <v>0.17</v>
      </c>
      <c r="AC116" s="51">
        <f t="shared" si="35"/>
        <v>0.17</v>
      </c>
      <c r="AD116" s="51">
        <f t="shared" si="35"/>
        <v>0.17</v>
      </c>
      <c r="AE116" s="51">
        <f t="shared" si="35"/>
        <v>0.17</v>
      </c>
      <c r="AF116" s="51">
        <f t="shared" si="35"/>
        <v>0.17</v>
      </c>
      <c r="AG116" s="51">
        <f t="shared" si="35"/>
        <v>0.17</v>
      </c>
    </row>
    <row r="117" spans="1:33" x14ac:dyDescent="0.35">
      <c r="C117" s="42" t="s">
        <v>389</v>
      </c>
      <c r="D117" s="50">
        <f>AVERAGEIF($3:$3,TRUE,117:117)</f>
        <v>0.15658825785192279</v>
      </c>
      <c r="E117" s="50">
        <f>AVERAGEIF($4:$4,TRUE,117:117)</f>
        <v>-0.48990190421234853</v>
      </c>
      <c r="F117" s="18">
        <v>0.25</v>
      </c>
      <c r="H117" s="51"/>
      <c r="I117" s="51">
        <f t="shared" ref="I117:AG117" si="36">IFERROR(IF(I$2,I32,$F117),"")</f>
        <v>0</v>
      </c>
      <c r="J117" s="51">
        <f t="shared" si="36"/>
        <v>0</v>
      </c>
      <c r="K117" s="51">
        <f t="shared" si="36"/>
        <v>0</v>
      </c>
      <c r="L117" s="51">
        <f t="shared" si="36"/>
        <v>0</v>
      </c>
      <c r="M117" s="51">
        <f t="shared" si="36"/>
        <v>0.27536997885835096</v>
      </c>
      <c r="N117" s="51">
        <f t="shared" si="36"/>
        <v>0.2832618025751073</v>
      </c>
      <c r="O117" s="51">
        <f t="shared" si="36"/>
        <v>0.2856356631810677</v>
      </c>
      <c r="P117" s="51">
        <f t="shared" si="36"/>
        <v>-0.11242192921582235</v>
      </c>
      <c r="Q117" s="51">
        <f t="shared" si="36"/>
        <v>0.26958808063102541</v>
      </c>
      <c r="R117" s="51">
        <f t="shared" si="36"/>
        <v>0.2402804333970682</v>
      </c>
      <c r="S117" s="51">
        <f t="shared" si="36"/>
        <v>0.24409030544488711</v>
      </c>
      <c r="T117" s="51">
        <f t="shared" si="36"/>
        <v>0.22958302491981247</v>
      </c>
      <c r="U117" s="51">
        <f t="shared" si="36"/>
        <v>0.23554356206630686</v>
      </c>
      <c r="V117" s="51">
        <f t="shared" si="36"/>
        <v>0.2614418187256955</v>
      </c>
      <c r="W117" s="51">
        <f t="shared" si="36"/>
        <v>-0.48990190421234853</v>
      </c>
      <c r="X117" s="51">
        <f t="shared" si="36"/>
        <v>0.25</v>
      </c>
      <c r="Y117" s="51">
        <f t="shared" si="36"/>
        <v>0.25</v>
      </c>
      <c r="Z117" s="51">
        <f t="shared" si="36"/>
        <v>0.25</v>
      </c>
      <c r="AA117" s="51">
        <f t="shared" si="36"/>
        <v>0.25</v>
      </c>
      <c r="AB117" s="51">
        <f t="shared" si="36"/>
        <v>0.25</v>
      </c>
      <c r="AC117" s="51">
        <f t="shared" si="36"/>
        <v>0.25</v>
      </c>
      <c r="AD117" s="51">
        <f t="shared" si="36"/>
        <v>0.25</v>
      </c>
      <c r="AE117" s="51">
        <f t="shared" si="36"/>
        <v>0.25</v>
      </c>
      <c r="AF117" s="51">
        <f t="shared" si="36"/>
        <v>0.25</v>
      </c>
      <c r="AG117" s="51">
        <f t="shared" si="36"/>
        <v>0.25</v>
      </c>
    </row>
    <row r="119" spans="1:33" s="1" customFormat="1" x14ac:dyDescent="0.35">
      <c r="A119" s="1" t="s">
        <v>197</v>
      </c>
    </row>
    <row r="120" spans="1:33" x14ac:dyDescent="0.35">
      <c r="B120" s="42" t="s">
        <v>198</v>
      </c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</row>
    <row r="121" spans="1:33" x14ac:dyDescent="0.35">
      <c r="C121" s="52" t="s">
        <v>218</v>
      </c>
      <c r="I121" s="46">
        <f t="shared" ref="I121:AG121" si="37">I99</f>
        <v>390.23809186249395</v>
      </c>
      <c r="J121" s="46">
        <f t="shared" si="37"/>
        <v>357.22613750105313</v>
      </c>
      <c r="K121" s="46">
        <f t="shared" si="37"/>
        <v>337.48537258827764</v>
      </c>
      <c r="L121" s="46">
        <f t="shared" si="37"/>
        <v>323.04308907747901</v>
      </c>
      <c r="M121" s="46">
        <f t="shared" si="37"/>
        <v>315.21955559850994</v>
      </c>
      <c r="N121" s="46">
        <f t="shared" si="37"/>
        <v>339.80976656544942</v>
      </c>
      <c r="O121" s="46">
        <f t="shared" si="37"/>
        <v>329.04412687649801</v>
      </c>
      <c r="P121" s="46">
        <f t="shared" si="37"/>
        <v>402.03889389541246</v>
      </c>
      <c r="Q121" s="46">
        <f t="shared" si="37"/>
        <v>373.00251077526173</v>
      </c>
      <c r="R121" s="46">
        <f t="shared" si="37"/>
        <v>377.69811320754718</v>
      </c>
      <c r="S121" s="46">
        <f t="shared" si="37"/>
        <v>392.35184261294137</v>
      </c>
      <c r="T121" s="46">
        <f t="shared" si="37"/>
        <v>408.02948121801296</v>
      </c>
      <c r="U121" s="46">
        <f t="shared" si="37"/>
        <v>401.68540091040302</v>
      </c>
      <c r="V121" s="46">
        <f t="shared" si="37"/>
        <v>410.34350945885973</v>
      </c>
      <c r="W121" s="46">
        <f t="shared" si="37"/>
        <v>421.36685387213288</v>
      </c>
      <c r="X121" s="46">
        <f t="shared" si="37"/>
        <v>421.36685387213288</v>
      </c>
      <c r="Y121" s="46">
        <f t="shared" si="37"/>
        <v>421.36685387213288</v>
      </c>
      <c r="Z121" s="46">
        <f t="shared" si="37"/>
        <v>421.36685387213288</v>
      </c>
      <c r="AA121" s="46">
        <f t="shared" si="37"/>
        <v>421.36685387213288</v>
      </c>
      <c r="AB121" s="46">
        <f t="shared" si="37"/>
        <v>421.36685387213288</v>
      </c>
      <c r="AC121" s="46">
        <f t="shared" si="37"/>
        <v>421.36685387213288</v>
      </c>
      <c r="AD121" s="46">
        <f t="shared" si="37"/>
        <v>421.36685387213288</v>
      </c>
      <c r="AE121" s="46">
        <f t="shared" si="37"/>
        <v>421.36685387213288</v>
      </c>
      <c r="AF121" s="46">
        <f t="shared" si="37"/>
        <v>421.36685387213288</v>
      </c>
      <c r="AG121" s="46">
        <f t="shared" si="37"/>
        <v>421.36685387213288</v>
      </c>
    </row>
    <row r="122" spans="1:33" x14ac:dyDescent="0.35">
      <c r="C122" s="52" t="s">
        <v>226</v>
      </c>
      <c r="I122" s="46">
        <f t="shared" ref="I122:AG122" si="38">I96</f>
        <v>88.200000762939453</v>
      </c>
      <c r="J122" s="46">
        <f t="shared" si="38"/>
        <v>99.499998092651367</v>
      </c>
      <c r="K122" s="46">
        <f t="shared" si="38"/>
        <v>102.60000228881836</v>
      </c>
      <c r="L122" s="46">
        <f t="shared" si="38"/>
        <v>111.39999961853027</v>
      </c>
      <c r="M122" s="46">
        <f t="shared" si="38"/>
        <v>120.69999885559082</v>
      </c>
      <c r="N122" s="46">
        <f t="shared" si="38"/>
        <v>120.89999771118164</v>
      </c>
      <c r="O122" s="46">
        <f t="shared" si="38"/>
        <v>135.99999618530273</v>
      </c>
      <c r="P122" s="46">
        <f t="shared" si="38"/>
        <v>149.10000228881836</v>
      </c>
      <c r="Q122" s="46">
        <f t="shared" si="38"/>
        <v>159.20000076293945</v>
      </c>
      <c r="R122" s="46">
        <f t="shared" si="38"/>
        <v>159</v>
      </c>
      <c r="S122" s="46">
        <f t="shared" si="38"/>
        <v>162.00000381469727</v>
      </c>
      <c r="T122" s="46">
        <f t="shared" si="38"/>
        <v>162.89999389648438</v>
      </c>
      <c r="U122" s="46">
        <f t="shared" si="38"/>
        <v>160.19999694824219</v>
      </c>
      <c r="V122" s="46">
        <f t="shared" si="38"/>
        <v>157.20000076293945</v>
      </c>
      <c r="W122" s="46">
        <f t="shared" si="38"/>
        <v>155.10000228881836</v>
      </c>
      <c r="X122" s="46">
        <f t="shared" si="38"/>
        <v>153.54900226593017</v>
      </c>
      <c r="Y122" s="46">
        <f t="shared" si="38"/>
        <v>152.01351224327087</v>
      </c>
      <c r="Z122" s="46">
        <f t="shared" si="38"/>
        <v>150.49337712083815</v>
      </c>
      <c r="AA122" s="46">
        <f t="shared" si="38"/>
        <v>150.49337712083815</v>
      </c>
      <c r="AB122" s="46">
        <f t="shared" si="38"/>
        <v>150.49337712083815</v>
      </c>
      <c r="AC122" s="46">
        <f t="shared" si="38"/>
        <v>150.49337712083815</v>
      </c>
      <c r="AD122" s="46">
        <f t="shared" si="38"/>
        <v>150.49337712083815</v>
      </c>
      <c r="AE122" s="46">
        <f t="shared" si="38"/>
        <v>150.49337712083815</v>
      </c>
      <c r="AF122" s="46">
        <f t="shared" si="38"/>
        <v>150.49337712083815</v>
      </c>
      <c r="AG122" s="46">
        <f t="shared" si="38"/>
        <v>150.49337712083815</v>
      </c>
    </row>
    <row r="123" spans="1:33" x14ac:dyDescent="0.35">
      <c r="C123" s="52" t="s">
        <v>228</v>
      </c>
      <c r="I123" s="45">
        <f t="shared" ref="I123:AG123" si="39">I121*I122</f>
        <v>34419</v>
      </c>
      <c r="J123" s="45">
        <f t="shared" si="39"/>
        <v>35544</v>
      </c>
      <c r="K123" s="45">
        <f t="shared" si="39"/>
        <v>34626</v>
      </c>
      <c r="L123" s="45">
        <f t="shared" si="39"/>
        <v>35987</v>
      </c>
      <c r="M123" s="45">
        <f t="shared" si="39"/>
        <v>38047</v>
      </c>
      <c r="N123" s="45">
        <f t="shared" si="39"/>
        <v>41083</v>
      </c>
      <c r="O123" s="45">
        <f t="shared" si="39"/>
        <v>44750</v>
      </c>
      <c r="P123" s="45">
        <f t="shared" si="39"/>
        <v>59944</v>
      </c>
      <c r="Q123" s="45">
        <f t="shared" si="39"/>
        <v>59382</v>
      </c>
      <c r="R123" s="45">
        <f t="shared" si="39"/>
        <v>60054</v>
      </c>
      <c r="S123" s="45">
        <f t="shared" si="39"/>
        <v>63561</v>
      </c>
      <c r="T123" s="45">
        <f t="shared" si="39"/>
        <v>66468</v>
      </c>
      <c r="U123" s="45">
        <f t="shared" si="39"/>
        <v>64350</v>
      </c>
      <c r="V123" s="45">
        <f t="shared" si="39"/>
        <v>64506</v>
      </c>
      <c r="W123" s="45">
        <f t="shared" si="39"/>
        <v>65354</v>
      </c>
      <c r="X123" s="45">
        <f t="shared" si="39"/>
        <v>64700.46</v>
      </c>
      <c r="Y123" s="45">
        <f t="shared" si="39"/>
        <v>64053.455399999999</v>
      </c>
      <c r="Z123" s="45">
        <f t="shared" si="39"/>
        <v>63412.920845999994</v>
      </c>
      <c r="AA123" s="45">
        <f t="shared" si="39"/>
        <v>63412.920845999994</v>
      </c>
      <c r="AB123" s="45">
        <f t="shared" si="39"/>
        <v>63412.920845999994</v>
      </c>
      <c r="AC123" s="45">
        <f t="shared" si="39"/>
        <v>63412.920845999994</v>
      </c>
      <c r="AD123" s="45">
        <f t="shared" si="39"/>
        <v>63412.920845999994</v>
      </c>
      <c r="AE123" s="45">
        <f t="shared" si="39"/>
        <v>63412.920845999994</v>
      </c>
      <c r="AF123" s="45">
        <f t="shared" si="39"/>
        <v>63412.920845999994</v>
      </c>
      <c r="AG123" s="45">
        <f t="shared" si="39"/>
        <v>63412.920845999994</v>
      </c>
    </row>
    <row r="125" spans="1:33" x14ac:dyDescent="0.35">
      <c r="B125" s="42" t="s">
        <v>448</v>
      </c>
    </row>
    <row r="126" spans="1:33" x14ac:dyDescent="0.35">
      <c r="C126" s="52" t="s">
        <v>216</v>
      </c>
      <c r="I126" s="54">
        <f t="shared" ref="I126:AG126" si="40">I103</f>
        <v>0</v>
      </c>
      <c r="J126" s="54">
        <f t="shared" si="40"/>
        <v>0</v>
      </c>
      <c r="K126" s="54">
        <f t="shared" si="40"/>
        <v>0</v>
      </c>
      <c r="L126" s="54">
        <f t="shared" si="40"/>
        <v>0</v>
      </c>
      <c r="M126" s="54">
        <f t="shared" si="40"/>
        <v>0.42271401161721028</v>
      </c>
      <c r="N126" s="54">
        <f t="shared" si="40"/>
        <v>0.41861597254338778</v>
      </c>
      <c r="O126" s="54">
        <f t="shared" si="40"/>
        <v>0.43921787709497206</v>
      </c>
      <c r="P126" s="54">
        <f t="shared" si="40"/>
        <v>0.46078006139063127</v>
      </c>
      <c r="Q126" s="54">
        <f t="shared" si="40"/>
        <v>0.44505068876090398</v>
      </c>
      <c r="R126" s="54">
        <f t="shared" si="40"/>
        <v>0.41620874546241715</v>
      </c>
      <c r="S126" s="54">
        <f t="shared" si="40"/>
        <v>0.44064756690423373</v>
      </c>
      <c r="T126" s="54">
        <f t="shared" si="40"/>
        <v>0.44893783474754767</v>
      </c>
      <c r="U126" s="54">
        <f t="shared" si="40"/>
        <v>0.44382284382284382</v>
      </c>
      <c r="V126" s="54">
        <f t="shared" si="40"/>
        <v>0.44371066257402414</v>
      </c>
      <c r="W126" s="54">
        <f t="shared" si="40"/>
        <v>0.43998837102549193</v>
      </c>
      <c r="X126" s="54">
        <f t="shared" si="40"/>
        <v>0.44500000000000001</v>
      </c>
      <c r="Y126" s="54">
        <f t="shared" si="40"/>
        <v>0.44500000000000001</v>
      </c>
      <c r="Z126" s="54">
        <f t="shared" si="40"/>
        <v>0.44500000000000001</v>
      </c>
      <c r="AA126" s="54">
        <f t="shared" si="40"/>
        <v>0.44500000000000001</v>
      </c>
      <c r="AB126" s="54">
        <f t="shared" si="40"/>
        <v>0.44500000000000001</v>
      </c>
      <c r="AC126" s="54">
        <f t="shared" si="40"/>
        <v>0.44500000000000001</v>
      </c>
      <c r="AD126" s="54">
        <f t="shared" si="40"/>
        <v>0.44500000000000001</v>
      </c>
      <c r="AE126" s="54">
        <f t="shared" si="40"/>
        <v>0.44500000000000001</v>
      </c>
      <c r="AF126" s="54">
        <f t="shared" si="40"/>
        <v>0.44500000000000001</v>
      </c>
      <c r="AG126" s="54">
        <f t="shared" si="40"/>
        <v>0.44500000000000001</v>
      </c>
    </row>
    <row r="127" spans="1:33" x14ac:dyDescent="0.35">
      <c r="C127" s="52" t="s">
        <v>227</v>
      </c>
      <c r="I127" s="45">
        <f t="shared" ref="I127:AG127" si="41">I123*I126</f>
        <v>0</v>
      </c>
      <c r="J127" s="45">
        <f t="shared" si="41"/>
        <v>0</v>
      </c>
      <c r="K127" s="45">
        <f t="shared" si="41"/>
        <v>0</v>
      </c>
      <c r="L127" s="45">
        <f t="shared" si="41"/>
        <v>0</v>
      </c>
      <c r="M127" s="45">
        <f t="shared" si="41"/>
        <v>16083</v>
      </c>
      <c r="N127" s="45">
        <f t="shared" si="41"/>
        <v>17198</v>
      </c>
      <c r="O127" s="45">
        <f t="shared" si="41"/>
        <v>19655</v>
      </c>
      <c r="P127" s="45">
        <f t="shared" si="41"/>
        <v>27621</v>
      </c>
      <c r="Q127" s="45">
        <f t="shared" si="41"/>
        <v>26428</v>
      </c>
      <c r="R127" s="45">
        <f t="shared" si="41"/>
        <v>24995</v>
      </c>
      <c r="S127" s="45">
        <f t="shared" si="41"/>
        <v>28008</v>
      </c>
      <c r="T127" s="45">
        <f t="shared" si="41"/>
        <v>29840</v>
      </c>
      <c r="U127" s="45">
        <f t="shared" si="41"/>
        <v>28560</v>
      </c>
      <c r="V127" s="45">
        <f t="shared" si="41"/>
        <v>28622</v>
      </c>
      <c r="W127" s="45">
        <f t="shared" si="41"/>
        <v>28755</v>
      </c>
      <c r="X127" s="45">
        <f t="shared" si="41"/>
        <v>28791.704699999998</v>
      </c>
      <c r="Y127" s="45">
        <f t="shared" si="41"/>
        <v>28503.787652999999</v>
      </c>
      <c r="Z127" s="45">
        <f t="shared" si="41"/>
        <v>28218.749776469998</v>
      </c>
      <c r="AA127" s="45">
        <f t="shared" si="41"/>
        <v>28218.749776469998</v>
      </c>
      <c r="AB127" s="45">
        <f t="shared" si="41"/>
        <v>28218.749776469998</v>
      </c>
      <c r="AC127" s="45">
        <f t="shared" si="41"/>
        <v>28218.749776469998</v>
      </c>
      <c r="AD127" s="45">
        <f t="shared" si="41"/>
        <v>28218.749776469998</v>
      </c>
      <c r="AE127" s="45">
        <f t="shared" si="41"/>
        <v>28218.749776469998</v>
      </c>
      <c r="AF127" s="45">
        <f t="shared" si="41"/>
        <v>28218.749776469998</v>
      </c>
      <c r="AG127" s="45">
        <f t="shared" si="41"/>
        <v>28218.749776469998</v>
      </c>
    </row>
    <row r="129" spans="2:33" x14ac:dyDescent="0.35">
      <c r="B129" s="42" t="s">
        <v>449</v>
      </c>
    </row>
    <row r="130" spans="2:33" x14ac:dyDescent="0.35">
      <c r="C130" s="52" t="s">
        <v>229</v>
      </c>
      <c r="I130" s="54">
        <f t="shared" ref="I130:AG130" si="42">I104</f>
        <v>0</v>
      </c>
      <c r="J130" s="54">
        <f t="shared" si="42"/>
        <v>0</v>
      </c>
      <c r="K130" s="54">
        <f t="shared" si="42"/>
        <v>0</v>
      </c>
      <c r="L130" s="54">
        <f t="shared" si="42"/>
        <v>0</v>
      </c>
      <c r="M130" s="54">
        <f t="shared" si="42"/>
        <v>0.35040870502273502</v>
      </c>
      <c r="N130" s="54">
        <f t="shared" si="42"/>
        <v>0.34498454348513985</v>
      </c>
      <c r="O130" s="54">
        <f t="shared" si="42"/>
        <v>0.32464804469273745</v>
      </c>
      <c r="P130" s="54">
        <f t="shared" si="42"/>
        <v>0.29347390898171627</v>
      </c>
      <c r="Q130" s="54">
        <f t="shared" si="42"/>
        <v>0.26925667710754103</v>
      </c>
      <c r="R130" s="54">
        <f t="shared" si="42"/>
        <v>0.28570952809138445</v>
      </c>
      <c r="S130" s="54">
        <f t="shared" si="42"/>
        <v>0.29079152310379008</v>
      </c>
      <c r="T130" s="54">
        <f t="shared" si="42"/>
        <v>0.29555575615333696</v>
      </c>
      <c r="U130" s="54">
        <f t="shared" si="42"/>
        <v>0.28253302253302254</v>
      </c>
      <c r="V130" s="54">
        <f t="shared" si="42"/>
        <v>0.28981800142622394</v>
      </c>
      <c r="W130" s="54">
        <f t="shared" si="42"/>
        <v>0.29314196529669184</v>
      </c>
      <c r="X130" s="54">
        <f t="shared" si="42"/>
        <v>0.3</v>
      </c>
      <c r="Y130" s="54">
        <f t="shared" si="42"/>
        <v>0.3</v>
      </c>
      <c r="Z130" s="54">
        <f t="shared" si="42"/>
        <v>0.3</v>
      </c>
      <c r="AA130" s="54">
        <f t="shared" si="42"/>
        <v>0.3</v>
      </c>
      <c r="AB130" s="54">
        <f t="shared" si="42"/>
        <v>0.3</v>
      </c>
      <c r="AC130" s="54">
        <f t="shared" si="42"/>
        <v>0.3</v>
      </c>
      <c r="AD130" s="54">
        <f t="shared" si="42"/>
        <v>0.3</v>
      </c>
      <c r="AE130" s="54">
        <f t="shared" si="42"/>
        <v>0.3</v>
      </c>
      <c r="AF130" s="54">
        <f t="shared" si="42"/>
        <v>0.3</v>
      </c>
      <c r="AG130" s="54">
        <f t="shared" si="42"/>
        <v>0.3</v>
      </c>
    </row>
    <row r="131" spans="2:33" x14ac:dyDescent="0.35">
      <c r="C131" s="52" t="s">
        <v>230</v>
      </c>
      <c r="I131" s="45">
        <f t="shared" ref="I131:AG131" si="43">I130*I123</f>
        <v>0</v>
      </c>
      <c r="J131" s="45">
        <f t="shared" si="43"/>
        <v>0</v>
      </c>
      <c r="K131" s="45">
        <f t="shared" si="43"/>
        <v>0</v>
      </c>
      <c r="L131" s="45">
        <f t="shared" si="43"/>
        <v>0</v>
      </c>
      <c r="M131" s="45">
        <f t="shared" si="43"/>
        <v>13332</v>
      </c>
      <c r="N131" s="45">
        <f t="shared" si="43"/>
        <v>14173</v>
      </c>
      <c r="O131" s="45">
        <f t="shared" si="43"/>
        <v>14528</v>
      </c>
      <c r="P131" s="45">
        <f t="shared" si="43"/>
        <v>17592</v>
      </c>
      <c r="Q131" s="45">
        <f t="shared" si="43"/>
        <v>15989.000000000002</v>
      </c>
      <c r="R131" s="45">
        <f t="shared" si="43"/>
        <v>17158</v>
      </c>
      <c r="S131" s="45">
        <f t="shared" si="43"/>
        <v>18483</v>
      </c>
      <c r="T131" s="45">
        <f t="shared" si="43"/>
        <v>19645</v>
      </c>
      <c r="U131" s="45">
        <f t="shared" si="43"/>
        <v>18181</v>
      </c>
      <c r="V131" s="45">
        <f t="shared" si="43"/>
        <v>18695</v>
      </c>
      <c r="W131" s="45">
        <f t="shared" si="43"/>
        <v>19158</v>
      </c>
      <c r="X131" s="45">
        <f t="shared" si="43"/>
        <v>19410.137999999999</v>
      </c>
      <c r="Y131" s="45">
        <f t="shared" si="43"/>
        <v>19216.036619999999</v>
      </c>
      <c r="Z131" s="45">
        <f t="shared" si="43"/>
        <v>19023.876253799997</v>
      </c>
      <c r="AA131" s="45">
        <f t="shared" si="43"/>
        <v>19023.876253799997</v>
      </c>
      <c r="AB131" s="45">
        <f t="shared" si="43"/>
        <v>19023.876253799997</v>
      </c>
      <c r="AC131" s="45">
        <f t="shared" si="43"/>
        <v>19023.876253799997</v>
      </c>
      <c r="AD131" s="45">
        <f t="shared" si="43"/>
        <v>19023.876253799997</v>
      </c>
      <c r="AE131" s="45">
        <f t="shared" si="43"/>
        <v>19023.876253799997</v>
      </c>
      <c r="AF131" s="45">
        <f t="shared" si="43"/>
        <v>19023.876253799997</v>
      </c>
      <c r="AG131" s="45">
        <f t="shared" si="43"/>
        <v>19023.876253799997</v>
      </c>
    </row>
    <row r="133" spans="2:33" x14ac:dyDescent="0.35">
      <c r="B133" s="42" t="s">
        <v>450</v>
      </c>
    </row>
    <row r="134" spans="2:33" x14ac:dyDescent="0.35">
      <c r="C134" s="52" t="s">
        <v>220</v>
      </c>
      <c r="I134" s="54">
        <f t="shared" ref="I134:AG134" si="44">I105</f>
        <v>0</v>
      </c>
      <c r="J134" s="54">
        <f t="shared" si="44"/>
        <v>0</v>
      </c>
      <c r="K134" s="54">
        <f t="shared" si="44"/>
        <v>0</v>
      </c>
      <c r="L134" s="54">
        <f t="shared" si="44"/>
        <v>0</v>
      </c>
      <c r="M134" s="54">
        <f t="shared" si="44"/>
        <v>7.7824795647488634E-2</v>
      </c>
      <c r="N134" s="54">
        <f t="shared" si="44"/>
        <v>7.4605067789596677E-2</v>
      </c>
      <c r="O134" s="54">
        <f t="shared" si="44"/>
        <v>6.978770949720671E-2</v>
      </c>
      <c r="P134" s="54">
        <f t="shared" si="44"/>
        <v>6.5627919391432005E-2</v>
      </c>
      <c r="Q134" s="54">
        <f t="shared" si="44"/>
        <v>6.522178437910478E-2</v>
      </c>
      <c r="R134" s="54">
        <f t="shared" si="44"/>
        <v>6.7272787824291469E-2</v>
      </c>
      <c r="S134" s="54">
        <f t="shared" si="44"/>
        <v>6.1405578892717229E-2</v>
      </c>
      <c r="T134" s="54">
        <f t="shared" si="44"/>
        <v>6.2962628633327314E-2</v>
      </c>
      <c r="U134" s="54">
        <f t="shared" si="44"/>
        <v>6.8609168609168603E-2</v>
      </c>
      <c r="V134" s="54">
        <f t="shared" si="44"/>
        <v>7.1822776175859609E-2</v>
      </c>
      <c r="W134" s="54">
        <f t="shared" si="44"/>
        <v>7.5113994552743521E-2</v>
      </c>
      <c r="X134" s="54">
        <f t="shared" si="44"/>
        <v>7.4999999999999997E-2</v>
      </c>
      <c r="Y134" s="54">
        <f t="shared" si="44"/>
        <v>7.4999999999999997E-2</v>
      </c>
      <c r="Z134" s="54">
        <f t="shared" si="44"/>
        <v>7.4999999999999997E-2</v>
      </c>
      <c r="AA134" s="54">
        <f t="shared" si="44"/>
        <v>7.4999999999999997E-2</v>
      </c>
      <c r="AB134" s="54">
        <f t="shared" si="44"/>
        <v>7.4999999999999997E-2</v>
      </c>
      <c r="AC134" s="54">
        <f t="shared" si="44"/>
        <v>7.4999999999999997E-2</v>
      </c>
      <c r="AD134" s="54">
        <f t="shared" si="44"/>
        <v>7.4999999999999997E-2</v>
      </c>
      <c r="AE134" s="54">
        <f t="shared" si="44"/>
        <v>7.4999999999999997E-2</v>
      </c>
      <c r="AF134" s="54">
        <f t="shared" si="44"/>
        <v>7.4999999999999997E-2</v>
      </c>
      <c r="AG134" s="54">
        <f t="shared" si="44"/>
        <v>7.4999999999999997E-2</v>
      </c>
    </row>
    <row r="135" spans="2:33" x14ac:dyDescent="0.35">
      <c r="C135" s="52" t="s">
        <v>231</v>
      </c>
      <c r="I135" s="45">
        <f t="shared" ref="I135:AG135" si="45">I134*I123</f>
        <v>0</v>
      </c>
      <c r="J135" s="45">
        <f t="shared" si="45"/>
        <v>0</v>
      </c>
      <c r="K135" s="45">
        <f t="shared" si="45"/>
        <v>0</v>
      </c>
      <c r="L135" s="45">
        <f t="shared" si="45"/>
        <v>0</v>
      </c>
      <c r="M135" s="45">
        <f t="shared" si="45"/>
        <v>2961</v>
      </c>
      <c r="N135" s="45">
        <f t="shared" si="45"/>
        <v>3065.0000000000005</v>
      </c>
      <c r="O135" s="45">
        <f t="shared" si="45"/>
        <v>3123.0000000000005</v>
      </c>
      <c r="P135" s="45">
        <f t="shared" si="45"/>
        <v>3934</v>
      </c>
      <c r="Q135" s="45">
        <f t="shared" si="45"/>
        <v>3873</v>
      </c>
      <c r="R135" s="45">
        <f t="shared" si="45"/>
        <v>4040</v>
      </c>
      <c r="S135" s="45">
        <f t="shared" si="45"/>
        <v>3903</v>
      </c>
      <c r="T135" s="45">
        <f t="shared" si="45"/>
        <v>4185</v>
      </c>
      <c r="U135" s="45">
        <f t="shared" si="45"/>
        <v>4415</v>
      </c>
      <c r="V135" s="45">
        <f t="shared" si="45"/>
        <v>4633</v>
      </c>
      <c r="W135" s="45">
        <f t="shared" si="45"/>
        <v>4909</v>
      </c>
      <c r="X135" s="45">
        <f t="shared" si="45"/>
        <v>4852.5344999999998</v>
      </c>
      <c r="Y135" s="45">
        <f t="shared" si="45"/>
        <v>4804.0091549999997</v>
      </c>
      <c r="Z135" s="45">
        <f t="shared" si="45"/>
        <v>4755.9690634499993</v>
      </c>
      <c r="AA135" s="45">
        <f t="shared" si="45"/>
        <v>4755.9690634499993</v>
      </c>
      <c r="AB135" s="45">
        <f t="shared" si="45"/>
        <v>4755.9690634499993</v>
      </c>
      <c r="AC135" s="45">
        <f t="shared" si="45"/>
        <v>4755.9690634499993</v>
      </c>
      <c r="AD135" s="45">
        <f t="shared" si="45"/>
        <v>4755.9690634499993</v>
      </c>
      <c r="AE135" s="45">
        <f t="shared" si="45"/>
        <v>4755.9690634499993</v>
      </c>
      <c r="AF135" s="45">
        <f t="shared" si="45"/>
        <v>4755.9690634499993</v>
      </c>
      <c r="AG135" s="45">
        <f t="shared" si="45"/>
        <v>4755.9690634499993</v>
      </c>
    </row>
    <row r="137" spans="2:33" x14ac:dyDescent="0.35">
      <c r="C137" s="42" t="s">
        <v>451</v>
      </c>
      <c r="I137" s="55">
        <f t="shared" ref="I137:AG137" si="46">I106</f>
        <v>0</v>
      </c>
      <c r="J137" s="55">
        <f t="shared" si="46"/>
        <v>0</v>
      </c>
      <c r="K137" s="55">
        <f t="shared" si="46"/>
        <v>0</v>
      </c>
      <c r="L137" s="55">
        <f t="shared" si="46"/>
        <v>0</v>
      </c>
      <c r="M137" s="55">
        <f t="shared" si="46"/>
        <v>-126</v>
      </c>
      <c r="N137" s="55">
        <f t="shared" si="46"/>
        <v>-210</v>
      </c>
      <c r="O137" s="55">
        <f t="shared" si="46"/>
        <v>106</v>
      </c>
      <c r="P137" s="55">
        <f t="shared" si="46"/>
        <v>246</v>
      </c>
      <c r="Q137" s="55">
        <f t="shared" si="46"/>
        <v>-552</v>
      </c>
      <c r="R137" s="55">
        <f t="shared" si="46"/>
        <v>-219</v>
      </c>
      <c r="S137" s="55">
        <f t="shared" si="46"/>
        <v>-199</v>
      </c>
      <c r="T137" s="55">
        <f t="shared" si="46"/>
        <v>-179</v>
      </c>
      <c r="U137" s="55">
        <f t="shared" si="46"/>
        <v>-595</v>
      </c>
      <c r="V137" s="55">
        <f t="shared" si="46"/>
        <v>-28</v>
      </c>
      <c r="W137" s="55">
        <f t="shared" si="46"/>
        <v>-351</v>
      </c>
      <c r="X137" s="55">
        <f t="shared" si="46"/>
        <v>-351</v>
      </c>
      <c r="Y137" s="55">
        <f t="shared" si="46"/>
        <v>-351</v>
      </c>
      <c r="Z137" s="55">
        <f t="shared" si="46"/>
        <v>-351</v>
      </c>
      <c r="AA137" s="55">
        <f t="shared" si="46"/>
        <v>-351</v>
      </c>
      <c r="AB137" s="55">
        <f t="shared" si="46"/>
        <v>-351</v>
      </c>
      <c r="AC137" s="55">
        <f t="shared" si="46"/>
        <v>-351</v>
      </c>
      <c r="AD137" s="55">
        <f t="shared" si="46"/>
        <v>-351</v>
      </c>
      <c r="AE137" s="55">
        <f t="shared" si="46"/>
        <v>-351</v>
      </c>
      <c r="AF137" s="55">
        <f t="shared" si="46"/>
        <v>-351</v>
      </c>
      <c r="AG137" s="55">
        <f t="shared" si="46"/>
        <v>-351</v>
      </c>
    </row>
    <row r="139" spans="2:33" x14ac:dyDescent="0.35">
      <c r="C139" s="42" t="s">
        <v>398</v>
      </c>
      <c r="I139" s="45">
        <f t="shared" ref="I139:AG139" si="47">I123-I127-I131-I135+I137</f>
        <v>34419</v>
      </c>
      <c r="J139" s="45">
        <f t="shared" si="47"/>
        <v>35544</v>
      </c>
      <c r="K139" s="45">
        <f t="shared" si="47"/>
        <v>34626</v>
      </c>
      <c r="L139" s="45">
        <f t="shared" si="47"/>
        <v>35987</v>
      </c>
      <c r="M139" s="45">
        <f t="shared" si="47"/>
        <v>5545</v>
      </c>
      <c r="N139" s="45">
        <f t="shared" si="47"/>
        <v>6437</v>
      </c>
      <c r="O139" s="45">
        <f t="shared" si="47"/>
        <v>7550</v>
      </c>
      <c r="P139" s="45">
        <f t="shared" si="47"/>
        <v>11043</v>
      </c>
      <c r="Q139" s="45">
        <f t="shared" si="47"/>
        <v>12540</v>
      </c>
      <c r="R139" s="45">
        <f t="shared" si="47"/>
        <v>13642</v>
      </c>
      <c r="S139" s="45">
        <f t="shared" si="47"/>
        <v>12968</v>
      </c>
      <c r="T139" s="45">
        <f t="shared" si="47"/>
        <v>12619</v>
      </c>
      <c r="U139" s="45">
        <f t="shared" si="47"/>
        <v>12599</v>
      </c>
      <c r="V139" s="45">
        <f t="shared" si="47"/>
        <v>12528</v>
      </c>
      <c r="W139" s="45">
        <f t="shared" si="47"/>
        <v>12181</v>
      </c>
      <c r="X139" s="45">
        <f t="shared" si="47"/>
        <v>11295.082800000006</v>
      </c>
      <c r="Y139" s="45">
        <f t="shared" si="47"/>
        <v>11178.621972000001</v>
      </c>
      <c r="Z139" s="45">
        <f t="shared" si="47"/>
        <v>11063.325752280001</v>
      </c>
      <c r="AA139" s="45">
        <f t="shared" si="47"/>
        <v>11063.325752280001</v>
      </c>
      <c r="AB139" s="45">
        <f t="shared" si="47"/>
        <v>11063.325752280001</v>
      </c>
      <c r="AC139" s="45">
        <f t="shared" si="47"/>
        <v>11063.325752280001</v>
      </c>
      <c r="AD139" s="45">
        <f t="shared" si="47"/>
        <v>11063.325752280001</v>
      </c>
      <c r="AE139" s="45">
        <f t="shared" si="47"/>
        <v>11063.325752280001</v>
      </c>
      <c r="AF139" s="45">
        <f t="shared" si="47"/>
        <v>11063.325752280001</v>
      </c>
      <c r="AG139" s="45">
        <f t="shared" si="47"/>
        <v>11063.325752280001</v>
      </c>
    </row>
    <row r="140" spans="2:33" x14ac:dyDescent="0.35">
      <c r="C140" s="42" t="s">
        <v>232</v>
      </c>
      <c r="I140" s="43">
        <f t="shared" ref="I140:AG140" si="48">I12</f>
        <v>0</v>
      </c>
      <c r="J140" s="43">
        <f t="shared" si="48"/>
        <v>0</v>
      </c>
      <c r="K140" s="43">
        <f t="shared" si="48"/>
        <v>0</v>
      </c>
      <c r="L140" s="43">
        <f t="shared" si="48"/>
        <v>0</v>
      </c>
      <c r="M140" s="43">
        <f t="shared" si="48"/>
        <v>5545</v>
      </c>
      <c r="N140" s="43">
        <f t="shared" si="48"/>
        <v>6473</v>
      </c>
      <c r="O140" s="43">
        <f t="shared" si="48"/>
        <v>7654</v>
      </c>
      <c r="P140" s="43">
        <f t="shared" si="48"/>
        <v>11047</v>
      </c>
      <c r="Q140" s="43">
        <f t="shared" si="48"/>
        <v>12550</v>
      </c>
      <c r="R140" s="43">
        <f t="shared" si="48"/>
        <v>13642</v>
      </c>
      <c r="S140" s="43">
        <f t="shared" si="48"/>
        <v>12972</v>
      </c>
      <c r="T140" s="43">
        <f t="shared" si="48"/>
        <v>13380</v>
      </c>
      <c r="U140" s="43">
        <f t="shared" si="48"/>
        <v>12605</v>
      </c>
      <c r="V140" s="43">
        <f t="shared" si="48"/>
        <v>12533</v>
      </c>
      <c r="W140" s="43">
        <f t="shared" si="48"/>
        <v>12263</v>
      </c>
      <c r="X140" s="43">
        <f t="shared" si="48"/>
        <v>0</v>
      </c>
      <c r="Y140" s="43">
        <f t="shared" si="48"/>
        <v>0</v>
      </c>
      <c r="Z140" s="43">
        <f t="shared" si="48"/>
        <v>0</v>
      </c>
      <c r="AA140" s="43">
        <f t="shared" si="48"/>
        <v>0</v>
      </c>
      <c r="AB140" s="43">
        <f t="shared" si="48"/>
        <v>0</v>
      </c>
      <c r="AC140" s="43">
        <f t="shared" si="48"/>
        <v>0</v>
      </c>
      <c r="AD140" s="43">
        <f t="shared" si="48"/>
        <v>0</v>
      </c>
      <c r="AE140" s="43">
        <f t="shared" si="48"/>
        <v>0</v>
      </c>
      <c r="AF140" s="43">
        <f t="shared" si="48"/>
        <v>0</v>
      </c>
      <c r="AG140" s="43">
        <f t="shared" si="48"/>
        <v>0</v>
      </c>
    </row>
    <row r="141" spans="2:33" x14ac:dyDescent="0.35">
      <c r="C141" s="42" t="s">
        <v>233</v>
      </c>
      <c r="D141" s="42">
        <f>SUMIF($2:$2,TRUE,141:141)</f>
        <v>139564</v>
      </c>
      <c r="I141" s="45">
        <f t="shared" ref="I141:AG141" si="49">I139-I140</f>
        <v>34419</v>
      </c>
      <c r="J141" s="45">
        <f t="shared" si="49"/>
        <v>35544</v>
      </c>
      <c r="K141" s="45">
        <f t="shared" si="49"/>
        <v>34626</v>
      </c>
      <c r="L141" s="45">
        <f t="shared" si="49"/>
        <v>35987</v>
      </c>
      <c r="M141" s="45">
        <f t="shared" si="49"/>
        <v>0</v>
      </c>
      <c r="N141" s="45">
        <f t="shared" si="49"/>
        <v>-36</v>
      </c>
      <c r="O141" s="45">
        <f t="shared" si="49"/>
        <v>-104</v>
      </c>
      <c r="P141" s="45">
        <f t="shared" si="49"/>
        <v>-4</v>
      </c>
      <c r="Q141" s="45">
        <f t="shared" si="49"/>
        <v>-10</v>
      </c>
      <c r="R141" s="45">
        <f t="shared" si="49"/>
        <v>0</v>
      </c>
      <c r="S141" s="45">
        <f t="shared" si="49"/>
        <v>-4</v>
      </c>
      <c r="T141" s="45">
        <f t="shared" si="49"/>
        <v>-761</v>
      </c>
      <c r="U141" s="45">
        <f t="shared" si="49"/>
        <v>-6</v>
      </c>
      <c r="V141" s="45">
        <f t="shared" si="49"/>
        <v>-5</v>
      </c>
      <c r="W141" s="45">
        <f t="shared" si="49"/>
        <v>-82</v>
      </c>
      <c r="X141" s="45">
        <f t="shared" si="49"/>
        <v>11295.082800000006</v>
      </c>
      <c r="Y141" s="45">
        <f t="shared" si="49"/>
        <v>11178.621972000001</v>
      </c>
      <c r="Z141" s="45">
        <f t="shared" si="49"/>
        <v>11063.325752280001</v>
      </c>
      <c r="AA141" s="45">
        <f t="shared" si="49"/>
        <v>11063.325752280001</v>
      </c>
      <c r="AB141" s="45">
        <f t="shared" si="49"/>
        <v>11063.325752280001</v>
      </c>
      <c r="AC141" s="45">
        <f t="shared" si="49"/>
        <v>11063.325752280001</v>
      </c>
      <c r="AD141" s="45">
        <f t="shared" si="49"/>
        <v>11063.325752280001</v>
      </c>
      <c r="AE141" s="45">
        <f t="shared" si="49"/>
        <v>11063.325752280001</v>
      </c>
      <c r="AF141" s="45">
        <f t="shared" si="49"/>
        <v>11063.325752280001</v>
      </c>
      <c r="AG141" s="45">
        <f t="shared" si="49"/>
        <v>11063.325752280001</v>
      </c>
    </row>
    <row r="143" spans="2:33" x14ac:dyDescent="0.35">
      <c r="B143" s="42" t="s">
        <v>245</v>
      </c>
    </row>
    <row r="144" spans="2:33" x14ac:dyDescent="0.35">
      <c r="C144" s="52" t="s">
        <v>242</v>
      </c>
      <c r="I144" s="45">
        <f t="shared" ref="I144:AG144" si="50">I123*I109</f>
        <v>0</v>
      </c>
      <c r="J144" s="45">
        <f t="shared" si="50"/>
        <v>0</v>
      </c>
      <c r="K144" s="45">
        <f t="shared" si="50"/>
        <v>0</v>
      </c>
      <c r="L144" s="45">
        <f t="shared" si="50"/>
        <v>0</v>
      </c>
      <c r="M144" s="45">
        <f t="shared" si="50"/>
        <v>10948</v>
      </c>
      <c r="N144" s="45">
        <f t="shared" si="50"/>
        <v>9393</v>
      </c>
      <c r="O144" s="45">
        <f t="shared" si="50"/>
        <v>10282</v>
      </c>
      <c r="P144" s="45">
        <f t="shared" si="50"/>
        <v>12644</v>
      </c>
      <c r="Q144" s="45">
        <f t="shared" si="50"/>
        <v>10093</v>
      </c>
      <c r="R144" s="45">
        <f t="shared" si="50"/>
        <v>10310</v>
      </c>
      <c r="S144" s="45">
        <f t="shared" si="50"/>
        <v>12347</v>
      </c>
      <c r="T144" s="45">
        <f t="shared" si="50"/>
        <v>12899.743396675645</v>
      </c>
      <c r="U144" s="45">
        <f t="shared" si="50"/>
        <v>13229</v>
      </c>
      <c r="V144" s="45">
        <f t="shared" si="50"/>
        <v>12790</v>
      </c>
      <c r="W144" s="45">
        <f t="shared" si="50"/>
        <v>11513</v>
      </c>
      <c r="X144" s="45">
        <f t="shared" si="50"/>
        <v>11646.0828</v>
      </c>
      <c r="Y144" s="45">
        <f t="shared" si="50"/>
        <v>11529.621971999999</v>
      </c>
      <c r="Z144" s="45">
        <f t="shared" si="50"/>
        <v>11414.325752279998</v>
      </c>
      <c r="AA144" s="45">
        <f t="shared" si="50"/>
        <v>11414.325752279998</v>
      </c>
      <c r="AB144" s="45">
        <f t="shared" si="50"/>
        <v>11414.325752279998</v>
      </c>
      <c r="AC144" s="45">
        <f t="shared" si="50"/>
        <v>11414.325752279998</v>
      </c>
      <c r="AD144" s="45">
        <f t="shared" si="50"/>
        <v>11414.325752279998</v>
      </c>
      <c r="AE144" s="45">
        <f t="shared" si="50"/>
        <v>11414.325752279998</v>
      </c>
      <c r="AF144" s="45">
        <f t="shared" si="50"/>
        <v>11414.325752279998</v>
      </c>
      <c r="AG144" s="45">
        <f t="shared" si="50"/>
        <v>11414.325752279998</v>
      </c>
    </row>
    <row r="145" spans="1:33" x14ac:dyDescent="0.35">
      <c r="C145" s="52" t="s">
        <v>243</v>
      </c>
      <c r="I145" s="45">
        <f t="shared" ref="I145:AG145" si="51">I127*I110</f>
        <v>0</v>
      </c>
      <c r="J145" s="45">
        <f t="shared" si="51"/>
        <v>0</v>
      </c>
      <c r="K145" s="45">
        <f t="shared" si="51"/>
        <v>0</v>
      </c>
      <c r="L145" s="45">
        <f t="shared" si="51"/>
        <v>0</v>
      </c>
      <c r="M145" s="45">
        <f t="shared" si="51"/>
        <v>2866</v>
      </c>
      <c r="N145" s="45">
        <f t="shared" si="51"/>
        <v>3220.0000000000005</v>
      </c>
      <c r="O145" s="45">
        <f t="shared" si="51"/>
        <v>3818</v>
      </c>
      <c r="P145" s="45">
        <f t="shared" si="51"/>
        <v>5317</v>
      </c>
      <c r="Q145" s="45">
        <f t="shared" si="51"/>
        <v>3600.9999999999995</v>
      </c>
      <c r="R145" s="45">
        <f t="shared" si="51"/>
        <v>4191</v>
      </c>
      <c r="S145" s="45">
        <f t="shared" si="51"/>
        <v>4350</v>
      </c>
      <c r="T145" s="45">
        <f t="shared" si="51"/>
        <v>4541</v>
      </c>
      <c r="U145" s="45">
        <f t="shared" si="51"/>
        <v>4592</v>
      </c>
      <c r="V145" s="45">
        <f t="shared" si="51"/>
        <v>4498</v>
      </c>
      <c r="W145" s="45">
        <f t="shared" si="51"/>
        <v>3816.9999999999995</v>
      </c>
      <c r="X145" s="45">
        <f t="shared" si="51"/>
        <v>4318.7557049999996</v>
      </c>
      <c r="Y145" s="45">
        <f t="shared" si="51"/>
        <v>4275.5681479499999</v>
      </c>
      <c r="Z145" s="45">
        <f t="shared" si="51"/>
        <v>4232.8124664704992</v>
      </c>
      <c r="AA145" s="45">
        <f t="shared" si="51"/>
        <v>4232.8124664704992</v>
      </c>
      <c r="AB145" s="45">
        <f t="shared" si="51"/>
        <v>4232.8124664704992</v>
      </c>
      <c r="AC145" s="45">
        <f t="shared" si="51"/>
        <v>4232.8124664704992</v>
      </c>
      <c r="AD145" s="45">
        <f t="shared" si="51"/>
        <v>4232.8124664704992</v>
      </c>
      <c r="AE145" s="45">
        <f t="shared" si="51"/>
        <v>4232.8124664704992</v>
      </c>
      <c r="AF145" s="45">
        <f t="shared" si="51"/>
        <v>4232.8124664704992</v>
      </c>
      <c r="AG145" s="45">
        <f t="shared" si="51"/>
        <v>4232.8124664704992</v>
      </c>
    </row>
    <row r="146" spans="1:33" x14ac:dyDescent="0.35">
      <c r="C146" s="52" t="s">
        <v>244</v>
      </c>
      <c r="I146" s="45">
        <f t="shared" ref="I146:AG146" si="52">I127*I111</f>
        <v>0</v>
      </c>
      <c r="J146" s="45">
        <f t="shared" si="52"/>
        <v>0</v>
      </c>
      <c r="K146" s="45">
        <f t="shared" si="52"/>
        <v>0</v>
      </c>
      <c r="L146" s="45">
        <f t="shared" si="52"/>
        <v>0</v>
      </c>
      <c r="M146" s="45">
        <f t="shared" si="52"/>
        <v>4513</v>
      </c>
      <c r="N146" s="45">
        <f t="shared" si="52"/>
        <v>5147</v>
      </c>
      <c r="O146" s="45">
        <f t="shared" si="52"/>
        <v>5833</v>
      </c>
      <c r="P146" s="45">
        <f t="shared" si="52"/>
        <v>7993</v>
      </c>
      <c r="Q146" s="45">
        <f t="shared" si="52"/>
        <v>7928.9999999999991</v>
      </c>
      <c r="R146" s="45">
        <f t="shared" si="52"/>
        <v>9385</v>
      </c>
      <c r="S146" s="45">
        <f t="shared" si="52"/>
        <v>11021</v>
      </c>
      <c r="T146" s="45">
        <f t="shared" si="52"/>
        <v>11862</v>
      </c>
      <c r="U146" s="45">
        <f t="shared" si="52"/>
        <v>12927</v>
      </c>
      <c r="V146" s="45">
        <f t="shared" si="52"/>
        <v>12048</v>
      </c>
      <c r="W146" s="45">
        <f t="shared" si="52"/>
        <v>12260</v>
      </c>
      <c r="X146" s="45">
        <f t="shared" si="52"/>
        <v>12092.515973999998</v>
      </c>
      <c r="Y146" s="45">
        <f t="shared" si="52"/>
        <v>11971.59081426</v>
      </c>
      <c r="Z146" s="45">
        <f t="shared" si="52"/>
        <v>11851.874906117398</v>
      </c>
      <c r="AA146" s="45">
        <f t="shared" si="52"/>
        <v>11851.874906117398</v>
      </c>
      <c r="AB146" s="45">
        <f t="shared" si="52"/>
        <v>11851.874906117398</v>
      </c>
      <c r="AC146" s="45">
        <f t="shared" si="52"/>
        <v>11851.874906117398</v>
      </c>
      <c r="AD146" s="45">
        <f t="shared" si="52"/>
        <v>11851.874906117398</v>
      </c>
      <c r="AE146" s="45">
        <f t="shared" si="52"/>
        <v>11851.874906117398</v>
      </c>
      <c r="AF146" s="45">
        <f t="shared" si="52"/>
        <v>11851.874906117398</v>
      </c>
      <c r="AG146" s="45">
        <f t="shared" si="52"/>
        <v>11851.874906117398</v>
      </c>
    </row>
    <row r="147" spans="1:33" x14ac:dyDescent="0.35">
      <c r="C147" s="52" t="s">
        <v>246</v>
      </c>
      <c r="I147" s="45">
        <f t="shared" ref="I147:AG147" si="53">I123*I112</f>
        <v>0</v>
      </c>
      <c r="J147" s="45">
        <f t="shared" si="53"/>
        <v>0</v>
      </c>
      <c r="K147" s="45">
        <f t="shared" si="53"/>
        <v>0</v>
      </c>
      <c r="L147" s="45">
        <f t="shared" si="53"/>
        <v>0</v>
      </c>
      <c r="M147" s="45">
        <f t="shared" si="53"/>
        <v>7312.9999999999991</v>
      </c>
      <c r="N147" s="45">
        <f t="shared" si="53"/>
        <v>6568</v>
      </c>
      <c r="O147" s="45">
        <f t="shared" si="53"/>
        <v>7264</v>
      </c>
      <c r="P147" s="45">
        <f t="shared" si="53"/>
        <v>13137</v>
      </c>
      <c r="Q147" s="45">
        <f t="shared" si="53"/>
        <v>13970</v>
      </c>
      <c r="R147" s="45">
        <f t="shared" si="53"/>
        <v>14697</v>
      </c>
      <c r="S147" s="45">
        <f t="shared" si="53"/>
        <v>13309</v>
      </c>
      <c r="T147" s="45">
        <f t="shared" si="53"/>
        <v>12790.943230011459</v>
      </c>
      <c r="U147" s="45">
        <f t="shared" si="53"/>
        <v>12687</v>
      </c>
      <c r="V147" s="45">
        <f t="shared" si="53"/>
        <v>15163</v>
      </c>
      <c r="W147" s="45">
        <f t="shared" si="53"/>
        <v>15588</v>
      </c>
      <c r="X147" s="45">
        <f t="shared" si="53"/>
        <v>15463.40994</v>
      </c>
      <c r="Y147" s="45">
        <f t="shared" si="53"/>
        <v>15308.775840599999</v>
      </c>
      <c r="Z147" s="45">
        <f t="shared" si="53"/>
        <v>15155.688082193998</v>
      </c>
      <c r="AA147" s="45">
        <f t="shared" si="53"/>
        <v>15155.688082193998</v>
      </c>
      <c r="AB147" s="45">
        <f t="shared" si="53"/>
        <v>15155.688082193998</v>
      </c>
      <c r="AC147" s="45">
        <f t="shared" si="53"/>
        <v>15155.688082193998</v>
      </c>
      <c r="AD147" s="45">
        <f t="shared" si="53"/>
        <v>15155.688082193998</v>
      </c>
      <c r="AE147" s="45">
        <f t="shared" si="53"/>
        <v>15155.688082193998</v>
      </c>
      <c r="AF147" s="45">
        <f t="shared" si="53"/>
        <v>15155.688082193998</v>
      </c>
      <c r="AG147" s="45">
        <f t="shared" si="53"/>
        <v>15155.688082193998</v>
      </c>
    </row>
    <row r="148" spans="1:33" x14ac:dyDescent="0.35">
      <c r="C148" s="52" t="s">
        <v>424</v>
      </c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5"/>
    </row>
    <row r="149" spans="1:33" x14ac:dyDescent="0.35">
      <c r="C149" s="52" t="s">
        <v>247</v>
      </c>
      <c r="I149" s="45">
        <f>I144+I145-I146-I147+I148</f>
        <v>0</v>
      </c>
      <c r="J149" s="45">
        <f t="shared" ref="J149:AG149" si="54">J144+J145-J146-J147+J148</f>
        <v>0</v>
      </c>
      <c r="K149" s="45">
        <f t="shared" si="54"/>
        <v>0</v>
      </c>
      <c r="L149" s="45">
        <f t="shared" si="54"/>
        <v>0</v>
      </c>
      <c r="M149" s="45">
        <f t="shared" si="54"/>
        <v>1988.0000000000009</v>
      </c>
      <c r="N149" s="45">
        <f t="shared" si="54"/>
        <v>898</v>
      </c>
      <c r="O149" s="45">
        <f t="shared" si="54"/>
        <v>1003</v>
      </c>
      <c r="P149" s="45">
        <f t="shared" si="54"/>
        <v>-3169</v>
      </c>
      <c r="Q149" s="45">
        <f t="shared" si="54"/>
        <v>-8205</v>
      </c>
      <c r="R149" s="45">
        <f t="shared" si="54"/>
        <v>-9581</v>
      </c>
      <c r="S149" s="45">
        <f t="shared" si="54"/>
        <v>-7633</v>
      </c>
      <c r="T149" s="45">
        <f t="shared" si="54"/>
        <v>-7212.1998333358151</v>
      </c>
      <c r="U149" s="45">
        <f t="shared" si="54"/>
        <v>-7793</v>
      </c>
      <c r="V149" s="45">
        <f t="shared" si="54"/>
        <v>-9923</v>
      </c>
      <c r="W149" s="45">
        <f>W144+W145-W146-W147+W148</f>
        <v>-12518</v>
      </c>
      <c r="X149" s="45">
        <f t="shared" si="54"/>
        <v>-11591.087408999998</v>
      </c>
      <c r="Y149" s="45">
        <f t="shared" si="54"/>
        <v>-11475.176534910001</v>
      </c>
      <c r="Z149" s="45">
        <f t="shared" si="54"/>
        <v>-11360.424769560899</v>
      </c>
      <c r="AA149" s="45">
        <f t="shared" si="54"/>
        <v>-11360.424769560899</v>
      </c>
      <c r="AB149" s="45">
        <f t="shared" si="54"/>
        <v>-11360.424769560899</v>
      </c>
      <c r="AC149" s="45">
        <f t="shared" si="54"/>
        <v>-11360.424769560899</v>
      </c>
      <c r="AD149" s="45">
        <f t="shared" si="54"/>
        <v>-11360.424769560899</v>
      </c>
      <c r="AE149" s="45">
        <f t="shared" si="54"/>
        <v>-11360.424769560899</v>
      </c>
      <c r="AF149" s="45">
        <f t="shared" si="54"/>
        <v>-11360.424769560899</v>
      </c>
      <c r="AG149" s="45">
        <f t="shared" si="54"/>
        <v>-11360.424769560899</v>
      </c>
    </row>
    <row r="150" spans="1:33" x14ac:dyDescent="0.35">
      <c r="C150" s="52" t="s">
        <v>249</v>
      </c>
      <c r="I150" s="45">
        <f t="shared" ref="I150:AG150" si="55">I149-H149</f>
        <v>0</v>
      </c>
      <c r="J150" s="45">
        <f t="shared" si="55"/>
        <v>0</v>
      </c>
      <c r="K150" s="45">
        <f t="shared" si="55"/>
        <v>0</v>
      </c>
      <c r="L150" s="45">
        <f t="shared" si="55"/>
        <v>0</v>
      </c>
      <c r="M150" s="45">
        <f t="shared" si="55"/>
        <v>1988.0000000000009</v>
      </c>
      <c r="N150" s="45">
        <f t="shared" si="55"/>
        <v>-1090.0000000000009</v>
      </c>
      <c r="O150" s="45">
        <f t="shared" si="55"/>
        <v>105</v>
      </c>
      <c r="P150" s="45">
        <f t="shared" si="55"/>
        <v>-4172</v>
      </c>
      <c r="Q150" s="45">
        <f t="shared" si="55"/>
        <v>-5036</v>
      </c>
      <c r="R150" s="45">
        <f t="shared" si="55"/>
        <v>-1376</v>
      </c>
      <c r="S150" s="45">
        <f t="shared" si="55"/>
        <v>1948</v>
      </c>
      <c r="T150" s="45">
        <f t="shared" si="55"/>
        <v>420.80016666418487</v>
      </c>
      <c r="U150" s="45">
        <f t="shared" si="55"/>
        <v>-580.80016666418487</v>
      </c>
      <c r="V150" s="45">
        <f t="shared" si="55"/>
        <v>-2130</v>
      </c>
      <c r="W150" s="45">
        <f t="shared" si="55"/>
        <v>-2595</v>
      </c>
      <c r="X150" s="45">
        <f t="shared" si="55"/>
        <v>926.91259100000207</v>
      </c>
      <c r="Y150" s="45">
        <f t="shared" si="55"/>
        <v>115.91087408999738</v>
      </c>
      <c r="Z150" s="45">
        <f t="shared" si="55"/>
        <v>114.75176534910133</v>
      </c>
      <c r="AA150" s="45">
        <f t="shared" si="55"/>
        <v>0</v>
      </c>
      <c r="AB150" s="45">
        <f t="shared" si="55"/>
        <v>0</v>
      </c>
      <c r="AC150" s="45">
        <f t="shared" si="55"/>
        <v>0</v>
      </c>
      <c r="AD150" s="45">
        <f t="shared" si="55"/>
        <v>0</v>
      </c>
      <c r="AE150" s="45">
        <f t="shared" si="55"/>
        <v>0</v>
      </c>
      <c r="AF150" s="45">
        <f t="shared" si="55"/>
        <v>0</v>
      </c>
      <c r="AG150" s="45">
        <f t="shared" si="55"/>
        <v>0</v>
      </c>
    </row>
    <row r="151" spans="1:33" x14ac:dyDescent="0.35">
      <c r="C151" s="42" t="s">
        <v>493</v>
      </c>
      <c r="I151" s="55">
        <f>I139</f>
        <v>34419</v>
      </c>
      <c r="J151" s="55">
        <f t="shared" ref="J151:AG151" si="56">J139</f>
        <v>35544</v>
      </c>
      <c r="K151" s="55">
        <f t="shared" si="56"/>
        <v>34626</v>
      </c>
      <c r="L151" s="55">
        <f t="shared" si="56"/>
        <v>35987</v>
      </c>
      <c r="M151" s="55">
        <f t="shared" si="56"/>
        <v>5545</v>
      </c>
      <c r="N151" s="55">
        <f t="shared" si="56"/>
        <v>6437</v>
      </c>
      <c r="O151" s="55">
        <f t="shared" si="56"/>
        <v>7550</v>
      </c>
      <c r="P151" s="55">
        <f t="shared" si="56"/>
        <v>11043</v>
      </c>
      <c r="Q151" s="55">
        <f t="shared" si="56"/>
        <v>12540</v>
      </c>
      <c r="R151" s="55">
        <f t="shared" si="56"/>
        <v>13642</v>
      </c>
      <c r="S151" s="55">
        <f t="shared" si="56"/>
        <v>12968</v>
      </c>
      <c r="T151" s="55">
        <f t="shared" si="56"/>
        <v>12619</v>
      </c>
      <c r="U151" s="55">
        <f t="shared" si="56"/>
        <v>12599</v>
      </c>
      <c r="V151" s="55">
        <f t="shared" si="56"/>
        <v>12528</v>
      </c>
      <c r="W151" s="55">
        <f t="shared" si="56"/>
        <v>12181</v>
      </c>
      <c r="X151" s="55">
        <f t="shared" si="56"/>
        <v>11295.082800000006</v>
      </c>
      <c r="Y151" s="55">
        <f t="shared" si="56"/>
        <v>11178.621972000001</v>
      </c>
      <c r="Z151" s="55">
        <f t="shared" si="56"/>
        <v>11063.325752280001</v>
      </c>
      <c r="AA151" s="55">
        <f t="shared" si="56"/>
        <v>11063.325752280001</v>
      </c>
      <c r="AB151" s="55">
        <f t="shared" si="56"/>
        <v>11063.325752280001</v>
      </c>
      <c r="AC151" s="55">
        <f t="shared" si="56"/>
        <v>11063.325752280001</v>
      </c>
      <c r="AD151" s="55">
        <f t="shared" si="56"/>
        <v>11063.325752280001</v>
      </c>
      <c r="AE151" s="55">
        <f t="shared" si="56"/>
        <v>11063.325752280001</v>
      </c>
      <c r="AF151" s="55">
        <f t="shared" si="56"/>
        <v>11063.325752280001</v>
      </c>
      <c r="AG151" s="55">
        <f t="shared" si="56"/>
        <v>11063.325752280001</v>
      </c>
    </row>
    <row r="152" spans="1:33" x14ac:dyDescent="0.35">
      <c r="C152" s="42" t="s">
        <v>443</v>
      </c>
      <c r="I152" s="47">
        <f>I149/I151</f>
        <v>0</v>
      </c>
      <c r="J152" s="47">
        <f t="shared" ref="J152:AG152" si="57">J149/J151</f>
        <v>0</v>
      </c>
      <c r="K152" s="47">
        <f t="shared" si="57"/>
        <v>0</v>
      </c>
      <c r="L152" s="47">
        <f t="shared" si="57"/>
        <v>0</v>
      </c>
      <c r="M152" s="47">
        <f t="shared" si="57"/>
        <v>0.35852119026149698</v>
      </c>
      <c r="N152" s="47">
        <f t="shared" si="57"/>
        <v>0.13950598104707163</v>
      </c>
      <c r="O152" s="47">
        <f t="shared" si="57"/>
        <v>0.13284768211920531</v>
      </c>
      <c r="P152" s="47">
        <f t="shared" si="57"/>
        <v>-0.28696912070995201</v>
      </c>
      <c r="Q152" s="47">
        <f t="shared" si="57"/>
        <v>-0.65430622009569372</v>
      </c>
      <c r="R152" s="47">
        <f t="shared" si="57"/>
        <v>-0.70231637589796214</v>
      </c>
      <c r="S152" s="47">
        <f t="shared" si="57"/>
        <v>-0.58860271437384326</v>
      </c>
      <c r="T152" s="47">
        <f t="shared" si="57"/>
        <v>-0.57153497371707862</v>
      </c>
      <c r="U152" s="47">
        <f t="shared" si="57"/>
        <v>-0.618541154059846</v>
      </c>
      <c r="V152" s="47">
        <f t="shared" si="57"/>
        <v>-0.79206577266922096</v>
      </c>
      <c r="W152" s="47">
        <f t="shared" si="57"/>
        <v>-1.0276660372711599</v>
      </c>
      <c r="X152" s="47">
        <f t="shared" si="57"/>
        <v>-1.0262065019124953</v>
      </c>
      <c r="Y152" s="47">
        <f t="shared" si="57"/>
        <v>-1.0265287227399589</v>
      </c>
      <c r="Z152" s="47">
        <f t="shared" si="57"/>
        <v>-1.0268544038143024</v>
      </c>
      <c r="AA152" s="47">
        <f t="shared" si="57"/>
        <v>-1.0268544038143024</v>
      </c>
      <c r="AB152" s="47">
        <f t="shared" si="57"/>
        <v>-1.0268544038143024</v>
      </c>
      <c r="AC152" s="47">
        <f t="shared" si="57"/>
        <v>-1.0268544038143024</v>
      </c>
      <c r="AD152" s="47">
        <f t="shared" si="57"/>
        <v>-1.0268544038143024</v>
      </c>
      <c r="AE152" s="47">
        <f t="shared" si="57"/>
        <v>-1.0268544038143024</v>
      </c>
      <c r="AF152" s="47">
        <f t="shared" si="57"/>
        <v>-1.0268544038143024</v>
      </c>
      <c r="AG152" s="47">
        <f t="shared" si="57"/>
        <v>-1.0268544038143024</v>
      </c>
    </row>
    <row r="154" spans="1:33" x14ac:dyDescent="0.35">
      <c r="C154" s="42" t="s">
        <v>422</v>
      </c>
      <c r="I154" s="45">
        <f>IF(I2,'Historic Data from PDF'!H54,H154)</f>
        <v>0</v>
      </c>
      <c r="J154" s="45">
        <f>IF(J2,'Historic Data from PDF'!I54,I154)</f>
        <v>0</v>
      </c>
      <c r="K154" s="45">
        <f>IF(K2,'Historic Data from PDF'!J54,J154)</f>
        <v>0</v>
      </c>
      <c r="L154" s="45">
        <f>IF(L2,'Historic Data from PDF'!K54,K154)</f>
        <v>0</v>
      </c>
      <c r="M154" s="45">
        <f>IF(M2,'Historic Data from PDF'!L54,L154)</f>
        <v>-1357</v>
      </c>
      <c r="N154" s="45">
        <f>IF(N2,'Historic Data from PDF'!M54,M154)</f>
        <v>-1603</v>
      </c>
      <c r="O154" s="45">
        <f>IF(O2,'Historic Data from PDF'!N54,N154)</f>
        <v>-1458</v>
      </c>
      <c r="P154" s="45">
        <f>IF(P2,'Historic Data from PDF'!O54,O154)</f>
        <v>-8549</v>
      </c>
      <c r="Q154" s="45">
        <f>IF(Q2,'Historic Data from PDF'!P54,P154)</f>
        <v>-8205</v>
      </c>
      <c r="R154" s="45">
        <f>IF(R2,'Historic Data from PDF'!Q54,Q154)</f>
        <v>-8646</v>
      </c>
      <c r="S154" s="45">
        <f>IF(S2,'Historic Data from PDF'!R54,R154)</f>
        <v>-8453</v>
      </c>
      <c r="T154" s="45">
        <f>IF(T2,'Historic Data from PDF'!S54,S154)</f>
        <v>-8512</v>
      </c>
      <c r="U154" s="45">
        <f>IF(U2,'Historic Data from PDF'!T54,T154)</f>
        <v>-7707</v>
      </c>
      <c r="V154" s="45">
        <f>IF(V2,'Historic Data from PDF'!U54,U154)</f>
        <v>-5717</v>
      </c>
      <c r="W154" s="45">
        <f>IF(W2,'Historic Data from PDF'!V54,V154)</f>
        <v>-4227</v>
      </c>
      <c r="X154" s="45">
        <f>IF(X2,'Historic Data from PDF'!W54,W154)</f>
        <v>-4227</v>
      </c>
      <c r="Y154" s="45">
        <f>IF(Y2,'Historic Data from PDF'!X54,X154)</f>
        <v>-4227</v>
      </c>
      <c r="Z154" s="45">
        <f>IF(Z2,'Historic Data from PDF'!Y54,Y154)</f>
        <v>-4227</v>
      </c>
      <c r="AA154" s="45">
        <f>IF(AA2,'Historic Data from PDF'!Z54,Z154)</f>
        <v>-4227</v>
      </c>
      <c r="AB154" s="45">
        <f>IF(AB2,'Historic Data from PDF'!AA54,AA154)</f>
        <v>-4227</v>
      </c>
      <c r="AC154" s="45">
        <f>IF(AC2,'Historic Data from PDF'!AB54,AB154)</f>
        <v>-4227</v>
      </c>
      <c r="AD154" s="45">
        <f>IF(AD2,'Historic Data from PDF'!AC54,AC154)</f>
        <v>-4227</v>
      </c>
      <c r="AE154" s="45">
        <f>IF(AE2,'Historic Data from PDF'!AD54,AD154)</f>
        <v>-4227</v>
      </c>
      <c r="AF154" s="45">
        <f>IF(AF2,'Historic Data from PDF'!AE54,AE154)</f>
        <v>-4227</v>
      </c>
      <c r="AG154" s="45">
        <f>IF(AG2,'Historic Data from PDF'!AF54,AF154)</f>
        <v>-4227</v>
      </c>
    </row>
    <row r="156" spans="1:33" x14ac:dyDescent="0.35">
      <c r="C156" s="42" t="s">
        <v>251</v>
      </c>
      <c r="I156" s="55">
        <f t="shared" ref="I156:AG156" si="58">I114</f>
        <v>0</v>
      </c>
      <c r="J156" s="55">
        <f t="shared" si="58"/>
        <v>0</v>
      </c>
      <c r="K156" s="55">
        <f t="shared" si="58"/>
        <v>0</v>
      </c>
      <c r="L156" s="55">
        <f t="shared" si="58"/>
        <v>0</v>
      </c>
      <c r="M156" s="55">
        <f t="shared" si="58"/>
        <v>1501</v>
      </c>
      <c r="N156" s="55">
        <f t="shared" si="58"/>
        <v>3069</v>
      </c>
      <c r="O156" s="55">
        <f t="shared" si="58"/>
        <v>4640</v>
      </c>
      <c r="P156" s="55">
        <f t="shared" si="58"/>
        <v>4712</v>
      </c>
      <c r="Q156" s="55">
        <f t="shared" si="58"/>
        <v>2702</v>
      </c>
      <c r="R156" s="55">
        <f t="shared" si="58"/>
        <v>2736</v>
      </c>
      <c r="S156" s="55">
        <f t="shared" si="58"/>
        <v>4054</v>
      </c>
      <c r="T156" s="55">
        <f t="shared" si="58"/>
        <v>2736</v>
      </c>
      <c r="U156" s="55">
        <f t="shared" si="58"/>
        <v>5451</v>
      </c>
      <c r="V156" s="55">
        <f t="shared" si="58"/>
        <v>5647</v>
      </c>
      <c r="W156" s="55">
        <f t="shared" si="58"/>
        <v>2922</v>
      </c>
      <c r="X156" s="55">
        <f t="shared" si="58"/>
        <v>5500</v>
      </c>
      <c r="Y156" s="55">
        <f t="shared" si="58"/>
        <v>5500</v>
      </c>
      <c r="Z156" s="55">
        <f t="shared" si="58"/>
        <v>5500</v>
      </c>
      <c r="AA156" s="55">
        <f t="shared" si="58"/>
        <v>5500</v>
      </c>
      <c r="AB156" s="55">
        <f t="shared" si="58"/>
        <v>5500</v>
      </c>
      <c r="AC156" s="55">
        <f t="shared" si="58"/>
        <v>5500</v>
      </c>
      <c r="AD156" s="55">
        <f t="shared" si="58"/>
        <v>5500</v>
      </c>
      <c r="AE156" s="55">
        <f t="shared" si="58"/>
        <v>5500</v>
      </c>
      <c r="AF156" s="55">
        <f t="shared" si="58"/>
        <v>5500</v>
      </c>
      <c r="AG156" s="55">
        <f t="shared" si="58"/>
        <v>5500</v>
      </c>
    </row>
    <row r="158" spans="1:33" s="1" customFormat="1" x14ac:dyDescent="0.35">
      <c r="A158" s="1" t="s">
        <v>261</v>
      </c>
    </row>
    <row r="160" spans="1:33" x14ac:dyDescent="0.35">
      <c r="B160" s="42" t="s">
        <v>252</v>
      </c>
    </row>
    <row r="161" spans="2:33" x14ac:dyDescent="0.35">
      <c r="C161" s="42" t="s">
        <v>253</v>
      </c>
      <c r="I161" s="45">
        <f t="shared" ref="I161:AG161" si="59">H164</f>
        <v>0</v>
      </c>
      <c r="J161" s="45">
        <f t="shared" si="59"/>
        <v>0</v>
      </c>
      <c r="K161" s="45">
        <f t="shared" si="59"/>
        <v>0</v>
      </c>
      <c r="L161" s="45">
        <f t="shared" si="59"/>
        <v>0</v>
      </c>
      <c r="M161" s="45">
        <f t="shared" si="59"/>
        <v>0</v>
      </c>
      <c r="N161" s="45">
        <f t="shared" si="59"/>
        <v>20355</v>
      </c>
      <c r="O161" s="45">
        <f t="shared" si="59"/>
        <v>20367</v>
      </c>
      <c r="P161" s="45">
        <f t="shared" si="59"/>
        <v>22109</v>
      </c>
      <c r="Q161" s="45">
        <f t="shared" si="59"/>
        <v>34043</v>
      </c>
      <c r="R161" s="45">
        <f t="shared" si="59"/>
        <v>31825</v>
      </c>
      <c r="S161" s="45">
        <f t="shared" si="59"/>
        <v>32420</v>
      </c>
      <c r="T161" s="45">
        <f t="shared" si="59"/>
        <v>31848</v>
      </c>
      <c r="U161" s="45">
        <f t="shared" si="59"/>
        <v>31991</v>
      </c>
      <c r="V161" s="45">
        <f t="shared" si="59"/>
        <v>31738</v>
      </c>
      <c r="W161" s="45">
        <f t="shared" si="59"/>
        <v>28748</v>
      </c>
      <c r="X161" s="45">
        <f t="shared" si="59"/>
        <v>26678</v>
      </c>
      <c r="Y161" s="45">
        <f t="shared" si="59"/>
        <v>27642.739999999998</v>
      </c>
      <c r="Z161" s="45">
        <f t="shared" si="59"/>
        <v>28443.474199999997</v>
      </c>
      <c r="AA161" s="45">
        <f t="shared" si="59"/>
        <v>29108.083585999997</v>
      </c>
      <c r="AB161" s="45">
        <f t="shared" si="59"/>
        <v>29659.709376379993</v>
      </c>
      <c r="AC161" s="45">
        <f t="shared" si="59"/>
        <v>30117.558782395394</v>
      </c>
      <c r="AD161" s="45">
        <f t="shared" si="59"/>
        <v>30497.573789388181</v>
      </c>
      <c r="AE161" s="45">
        <f t="shared" si="59"/>
        <v>30812.986245192191</v>
      </c>
      <c r="AF161" s="45">
        <f t="shared" si="59"/>
        <v>31074.77858350952</v>
      </c>
      <c r="AG161" s="45">
        <f t="shared" si="59"/>
        <v>31292.066224312901</v>
      </c>
    </row>
    <row r="162" spans="2:33" x14ac:dyDescent="0.35">
      <c r="C162" s="42" t="s">
        <v>255</v>
      </c>
      <c r="I162" s="45">
        <f t="shared" ref="I162:AG162" si="60">I156</f>
        <v>0</v>
      </c>
      <c r="J162" s="45">
        <f t="shared" si="60"/>
        <v>0</v>
      </c>
      <c r="K162" s="45">
        <f t="shared" si="60"/>
        <v>0</v>
      </c>
      <c r="L162" s="45">
        <f t="shared" si="60"/>
        <v>0</v>
      </c>
      <c r="M162" s="45">
        <f t="shared" si="60"/>
        <v>1501</v>
      </c>
      <c r="N162" s="45">
        <f t="shared" si="60"/>
        <v>3069</v>
      </c>
      <c r="O162" s="45">
        <f t="shared" si="60"/>
        <v>4640</v>
      </c>
      <c r="P162" s="45">
        <f t="shared" si="60"/>
        <v>4712</v>
      </c>
      <c r="Q162" s="45">
        <f t="shared" si="60"/>
        <v>2702</v>
      </c>
      <c r="R162" s="45">
        <f t="shared" si="60"/>
        <v>2736</v>
      </c>
      <c r="S162" s="45">
        <f t="shared" si="60"/>
        <v>4054</v>
      </c>
      <c r="T162" s="45">
        <f t="shared" si="60"/>
        <v>2736</v>
      </c>
      <c r="U162" s="45">
        <f t="shared" si="60"/>
        <v>5451</v>
      </c>
      <c r="V162" s="45">
        <f t="shared" si="60"/>
        <v>5647</v>
      </c>
      <c r="W162" s="45">
        <f t="shared" si="60"/>
        <v>2922</v>
      </c>
      <c r="X162" s="45">
        <f t="shared" si="60"/>
        <v>5500</v>
      </c>
      <c r="Y162" s="45">
        <f t="shared" si="60"/>
        <v>5500</v>
      </c>
      <c r="Z162" s="45">
        <f t="shared" si="60"/>
        <v>5500</v>
      </c>
      <c r="AA162" s="45">
        <f t="shared" si="60"/>
        <v>5500</v>
      </c>
      <c r="AB162" s="45">
        <f t="shared" si="60"/>
        <v>5500</v>
      </c>
      <c r="AC162" s="45">
        <f t="shared" si="60"/>
        <v>5500</v>
      </c>
      <c r="AD162" s="45">
        <f t="shared" si="60"/>
        <v>5500</v>
      </c>
      <c r="AE162" s="45">
        <f t="shared" si="60"/>
        <v>5500</v>
      </c>
      <c r="AF162" s="45">
        <f t="shared" si="60"/>
        <v>5500</v>
      </c>
      <c r="AG162" s="45">
        <f t="shared" si="60"/>
        <v>5500</v>
      </c>
    </row>
    <row r="163" spans="2:33" x14ac:dyDescent="0.35">
      <c r="C163" s="42" t="s">
        <v>256</v>
      </c>
      <c r="I163" s="45">
        <f t="shared" ref="I163:AG163" si="61">I116*I161</f>
        <v>0</v>
      </c>
      <c r="J163" s="45">
        <f t="shared" si="61"/>
        <v>0</v>
      </c>
      <c r="K163" s="45">
        <f t="shared" si="61"/>
        <v>0</v>
      </c>
      <c r="L163" s="45">
        <f t="shared" si="61"/>
        <v>0</v>
      </c>
      <c r="M163" s="45">
        <f t="shared" si="61"/>
        <v>0</v>
      </c>
      <c r="N163" s="45">
        <f t="shared" si="61"/>
        <v>2952.1298069839395</v>
      </c>
      <c r="O163" s="45">
        <f t="shared" si="61"/>
        <v>2654.4804595536302</v>
      </c>
      <c r="P163" s="45">
        <f t="shared" si="61"/>
        <v>2856.1526926912666</v>
      </c>
      <c r="Q163" s="45">
        <f t="shared" si="61"/>
        <v>3895.9150725693812</v>
      </c>
      <c r="R163" s="45">
        <f t="shared" si="61"/>
        <v>3950.0747139855239</v>
      </c>
      <c r="S163" s="45">
        <f t="shared" si="61"/>
        <v>3813.6428704798655</v>
      </c>
      <c r="T163" s="45">
        <f t="shared" si="61"/>
        <v>3982.0601199893486</v>
      </c>
      <c r="U163" s="45">
        <f t="shared" si="61"/>
        <v>3878.3358596557296</v>
      </c>
      <c r="V163" s="45">
        <f t="shared" si="61"/>
        <v>4305.8232979532449</v>
      </c>
      <c r="W163" s="45">
        <f t="shared" si="61"/>
        <v>4848.5603146537724</v>
      </c>
      <c r="X163" s="45">
        <f t="shared" si="61"/>
        <v>4535.26</v>
      </c>
      <c r="Y163" s="45">
        <f t="shared" si="61"/>
        <v>4699.2658000000001</v>
      </c>
      <c r="Z163" s="45">
        <f t="shared" si="61"/>
        <v>4835.3906139999999</v>
      </c>
      <c r="AA163" s="45">
        <f t="shared" si="61"/>
        <v>4948.3742096199994</v>
      </c>
      <c r="AB163" s="45">
        <f t="shared" si="61"/>
        <v>5042.1505939845993</v>
      </c>
      <c r="AC163" s="45">
        <f t="shared" si="61"/>
        <v>5119.9849930072169</v>
      </c>
      <c r="AD163" s="45">
        <f t="shared" si="61"/>
        <v>5184.5875441959915</v>
      </c>
      <c r="AE163" s="45">
        <f t="shared" si="61"/>
        <v>5238.2076616826726</v>
      </c>
      <c r="AF163" s="45">
        <f t="shared" si="61"/>
        <v>5282.7123591966192</v>
      </c>
      <c r="AG163" s="45">
        <f t="shared" si="61"/>
        <v>5319.6512581331936</v>
      </c>
    </row>
    <row r="164" spans="2:33" x14ac:dyDescent="0.35">
      <c r="C164" s="42" t="s">
        <v>257</v>
      </c>
      <c r="I164" s="85">
        <f>IF(I2,'Historic Data from PDF'!H7,I161+I162-I163)</f>
        <v>0</v>
      </c>
      <c r="J164" s="85">
        <f>IF(J2,'Historic Data from PDF'!I7,J161+J162-J163)</f>
        <v>0</v>
      </c>
      <c r="K164" s="85">
        <f>IF(K2,'Historic Data from PDF'!J7,K161+K162-K163)</f>
        <v>0</v>
      </c>
      <c r="L164" s="85">
        <f>IF(L2,'Historic Data from PDF'!K7,L161+L162-L163)</f>
        <v>0</v>
      </c>
      <c r="M164" s="85">
        <f>IF(M2,'Historic Data from PDF'!L7,M161+M162-M163)</f>
        <v>20355</v>
      </c>
      <c r="N164" s="85">
        <f>IF(N2,'Historic Data from PDF'!M7,N161+N162-N163)</f>
        <v>20367</v>
      </c>
      <c r="O164" s="85">
        <f>IF(O2,'Historic Data from PDF'!N7,O161+O162-O163)</f>
        <v>22109</v>
      </c>
      <c r="P164" s="85">
        <f>IF(P2,'Historic Data from PDF'!O7,P161+P162-P163)</f>
        <v>34043</v>
      </c>
      <c r="Q164" s="85">
        <f>IF(Q2,'Historic Data from PDF'!P7,Q161+Q162-Q163)</f>
        <v>31825</v>
      </c>
      <c r="R164" s="85">
        <f>IF(R2,'Historic Data from PDF'!Q7,R161+R162-R163)</f>
        <v>32420</v>
      </c>
      <c r="S164" s="85">
        <f>IF(S2,'Historic Data from PDF'!R7,S161+S162-S163)</f>
        <v>31848</v>
      </c>
      <c r="T164" s="85">
        <f>IF(T2,'Historic Data from PDF'!S7,T161+T162-T163)</f>
        <v>31991</v>
      </c>
      <c r="U164" s="85">
        <f>IF(U2,'Historic Data from PDF'!T7,U161+U162-U163)</f>
        <v>31738</v>
      </c>
      <c r="V164" s="85">
        <f>IF(V2,'Historic Data from PDF'!U7,V161+V162-V163)</f>
        <v>28748</v>
      </c>
      <c r="W164" s="85">
        <f>IF(W2,'Historic Data from PDF'!V7,W161+W162-W163)</f>
        <v>26678</v>
      </c>
      <c r="X164" s="85">
        <f>IF(X2,'Historic Data from PDF'!W7,X161+X162-X163)</f>
        <v>27642.739999999998</v>
      </c>
      <c r="Y164" s="85">
        <f>IF(Y2,'Historic Data from PDF'!X7,Y161+Y162-Y163)</f>
        <v>28443.474199999997</v>
      </c>
      <c r="Z164" s="45">
        <f>IF(Z2,'Historic Data from PDF'!Y7,Z161+Z162-Z163)</f>
        <v>29108.083585999997</v>
      </c>
      <c r="AA164" s="45">
        <f>IF(AA2,'Historic Data from PDF'!Z7,AA161+AA162-AA163)</f>
        <v>29659.709376379993</v>
      </c>
      <c r="AB164" s="45">
        <f>IF(AB2,'Historic Data from PDF'!AA7,AB161+AB162-AB163)</f>
        <v>30117.558782395394</v>
      </c>
      <c r="AC164" s="45">
        <f>IF(AC2,'Historic Data from PDF'!AB7,AC161+AC162-AC163)</f>
        <v>30497.573789388181</v>
      </c>
      <c r="AD164" s="45">
        <f>IF(AD2,'Historic Data from PDF'!AC7,AD161+AD162-AD163)</f>
        <v>30812.986245192191</v>
      </c>
      <c r="AE164" s="45">
        <f>IF(AE2,'Historic Data from PDF'!AD7,AE161+AE162-AE163)</f>
        <v>31074.77858350952</v>
      </c>
      <c r="AF164" s="45">
        <f>IF(AF2,'Historic Data from PDF'!AE7,AF161+AF162-AF163)</f>
        <v>31292.066224312901</v>
      </c>
      <c r="AG164" s="45">
        <f>IF(AG2,'Historic Data from PDF'!AF7,AG161+AG162-AG163)</f>
        <v>31472.414966179713</v>
      </c>
    </row>
    <row r="166" spans="2:33" x14ac:dyDescent="0.35">
      <c r="B166" s="42" t="s">
        <v>6</v>
      </c>
    </row>
    <row r="167" spans="2:33" x14ac:dyDescent="0.35">
      <c r="C167" s="42" t="s">
        <v>252</v>
      </c>
      <c r="I167" s="45">
        <f t="shared" ref="I167:AG167" si="62">I164</f>
        <v>0</v>
      </c>
      <c r="J167" s="45">
        <f t="shared" si="62"/>
        <v>0</v>
      </c>
      <c r="K167" s="45">
        <f t="shared" si="62"/>
        <v>0</v>
      </c>
      <c r="L167" s="45">
        <f t="shared" si="62"/>
        <v>0</v>
      </c>
      <c r="M167" s="45">
        <f t="shared" si="62"/>
        <v>20355</v>
      </c>
      <c r="N167" s="45">
        <f t="shared" si="62"/>
        <v>20367</v>
      </c>
      <c r="O167" s="45">
        <f t="shared" si="62"/>
        <v>22109</v>
      </c>
      <c r="P167" s="45">
        <f t="shared" si="62"/>
        <v>34043</v>
      </c>
      <c r="Q167" s="45">
        <f t="shared" si="62"/>
        <v>31825</v>
      </c>
      <c r="R167" s="45">
        <f t="shared" si="62"/>
        <v>32420</v>
      </c>
      <c r="S167" s="45">
        <f t="shared" si="62"/>
        <v>31848</v>
      </c>
      <c r="T167" s="45">
        <f t="shared" si="62"/>
        <v>31991</v>
      </c>
      <c r="U167" s="45">
        <f t="shared" si="62"/>
        <v>31738</v>
      </c>
      <c r="V167" s="45">
        <f t="shared" si="62"/>
        <v>28748</v>
      </c>
      <c r="W167" s="45">
        <f t="shared" si="62"/>
        <v>26678</v>
      </c>
      <c r="X167" s="45">
        <f t="shared" si="62"/>
        <v>27642.739999999998</v>
      </c>
      <c r="Y167" s="45">
        <f t="shared" si="62"/>
        <v>28443.474199999997</v>
      </c>
      <c r="Z167" s="45">
        <f t="shared" si="62"/>
        <v>29108.083585999997</v>
      </c>
      <c r="AA167" s="45">
        <f t="shared" si="62"/>
        <v>29659.709376379993</v>
      </c>
      <c r="AB167" s="45">
        <f t="shared" si="62"/>
        <v>30117.558782395394</v>
      </c>
      <c r="AC167" s="45">
        <f t="shared" si="62"/>
        <v>30497.573789388181</v>
      </c>
      <c r="AD167" s="45">
        <f t="shared" si="62"/>
        <v>30812.986245192191</v>
      </c>
      <c r="AE167" s="45">
        <f t="shared" si="62"/>
        <v>31074.77858350952</v>
      </c>
      <c r="AF167" s="45">
        <f t="shared" si="62"/>
        <v>31292.066224312901</v>
      </c>
      <c r="AG167" s="45">
        <f t="shared" si="62"/>
        <v>31472.414966179713</v>
      </c>
    </row>
    <row r="168" spans="2:33" x14ac:dyDescent="0.35">
      <c r="C168" s="42" t="s">
        <v>258</v>
      </c>
      <c r="I168" s="85">
        <f>IF(I2,'Historic Data from PDF'!H6,H168)</f>
        <v>0</v>
      </c>
      <c r="J168" s="85">
        <f>IF(J2,'Historic Data from PDF'!I6,I168)</f>
        <v>0</v>
      </c>
      <c r="K168" s="85">
        <f>IF(K2,'Historic Data from PDF'!J6,J168)</f>
        <v>0</v>
      </c>
      <c r="L168" s="85">
        <f>IF(L2,'Historic Data from PDF'!K6,K168)</f>
        <v>0</v>
      </c>
      <c r="M168" s="85">
        <f>IF(M2,'Historic Data from PDF'!L6,L168)</f>
        <v>20672</v>
      </c>
      <c r="N168" s="85">
        <f>IF(N2,'Historic Data from PDF'!M6,M168)</f>
        <v>21279</v>
      </c>
      <c r="O168" s="85">
        <f>IF(O2,'Historic Data from PDF'!N6,N168)</f>
        <v>21205</v>
      </c>
      <c r="P168" s="85">
        <f>IF(P2,'Historic Data from PDF'!O6,O168)</f>
        <v>84678</v>
      </c>
      <c r="Q168" s="85">
        <f>IF(Q2,'Historic Data from PDF'!P6,P168)</f>
        <v>81611</v>
      </c>
      <c r="R168" s="85">
        <f>IF(R2,'Historic Data from PDF'!Q6,Q168)</f>
        <v>87813</v>
      </c>
      <c r="S168" s="85">
        <f>IF(S2,'Historic Data from PDF'!R6,R168)</f>
        <v>89041</v>
      </c>
      <c r="T168" s="85">
        <f>IF(T2,'Historic Data from PDF'!S6,S168)</f>
        <v>91216</v>
      </c>
      <c r="U168" s="85">
        <f>IF(U2,'Historic Data from PDF'!T6,T168)</f>
        <v>94236</v>
      </c>
      <c r="V168" s="85">
        <f>IF(V2,'Historic Data from PDF'!U6,U168)</f>
        <v>81754</v>
      </c>
      <c r="W168" s="85">
        <f>IF(W2,'Historic Data from PDF'!V6,V168)</f>
        <v>72920</v>
      </c>
      <c r="X168" s="85">
        <f>IF(X2,'Historic Data from PDF'!W6,W168)</f>
        <v>72920</v>
      </c>
      <c r="Y168" s="85">
        <f>IF(Y2,'Historic Data from PDF'!X6,X168)</f>
        <v>72920</v>
      </c>
      <c r="Z168" s="45">
        <f>IF(Z2,'Historic Data from PDF'!Y6,Y168)</f>
        <v>72920</v>
      </c>
      <c r="AA168" s="45">
        <f>IF(AA2,'Historic Data from PDF'!Z6,Z168)</f>
        <v>72920</v>
      </c>
      <c r="AB168" s="45">
        <f>IF(AB2,'Historic Data from PDF'!AA6,AA168)</f>
        <v>72920</v>
      </c>
      <c r="AC168" s="45">
        <f>IF(AC2,'Historic Data from PDF'!AB6,AB168)</f>
        <v>72920</v>
      </c>
      <c r="AD168" s="45">
        <f>IF(AD2,'Historic Data from PDF'!AC6,AC168)</f>
        <v>72920</v>
      </c>
      <c r="AE168" s="45">
        <f>IF(AE2,'Historic Data from PDF'!AD6,AD168)</f>
        <v>72920</v>
      </c>
      <c r="AF168" s="45">
        <f>IF(AF2,'Historic Data from PDF'!AE6,AE168)</f>
        <v>72920</v>
      </c>
      <c r="AG168" s="45">
        <f>IF(AG2,'Historic Data from PDF'!AF6,AF168)</f>
        <v>72920</v>
      </c>
    </row>
    <row r="169" spans="2:33" x14ac:dyDescent="0.35">
      <c r="C169" s="42" t="s">
        <v>259</v>
      </c>
      <c r="I169" s="45">
        <f t="shared" ref="I169:AG169" si="63">I149</f>
        <v>0</v>
      </c>
      <c r="J169" s="45">
        <f t="shared" si="63"/>
        <v>0</v>
      </c>
      <c r="K169" s="45">
        <f t="shared" si="63"/>
        <v>0</v>
      </c>
      <c r="L169" s="45">
        <f t="shared" si="63"/>
        <v>0</v>
      </c>
      <c r="M169" s="45">
        <f t="shared" si="63"/>
        <v>1988.0000000000009</v>
      </c>
      <c r="N169" s="45">
        <f t="shared" si="63"/>
        <v>898</v>
      </c>
      <c r="O169" s="45">
        <f t="shared" si="63"/>
        <v>1003</v>
      </c>
      <c r="P169" s="45">
        <f t="shared" si="63"/>
        <v>-3169</v>
      </c>
      <c r="Q169" s="45">
        <f t="shared" si="63"/>
        <v>-8205</v>
      </c>
      <c r="R169" s="45">
        <f t="shared" si="63"/>
        <v>-9581</v>
      </c>
      <c r="S169" s="45">
        <f t="shared" si="63"/>
        <v>-7633</v>
      </c>
      <c r="T169" s="45">
        <f t="shared" si="63"/>
        <v>-7212.1998333358151</v>
      </c>
      <c r="U169" s="45">
        <f t="shared" si="63"/>
        <v>-7793</v>
      </c>
      <c r="V169" s="45">
        <f t="shared" si="63"/>
        <v>-9923</v>
      </c>
      <c r="W169" s="45">
        <f t="shared" si="63"/>
        <v>-12518</v>
      </c>
      <c r="X169" s="45">
        <f t="shared" si="63"/>
        <v>-11591.087408999998</v>
      </c>
      <c r="Y169" s="45">
        <f t="shared" si="63"/>
        <v>-11475.176534910001</v>
      </c>
      <c r="Z169" s="45">
        <f t="shared" si="63"/>
        <v>-11360.424769560899</v>
      </c>
      <c r="AA169" s="45">
        <f t="shared" si="63"/>
        <v>-11360.424769560899</v>
      </c>
      <c r="AB169" s="45">
        <f t="shared" si="63"/>
        <v>-11360.424769560899</v>
      </c>
      <c r="AC169" s="45">
        <f t="shared" si="63"/>
        <v>-11360.424769560899</v>
      </c>
      <c r="AD169" s="45">
        <f t="shared" si="63"/>
        <v>-11360.424769560899</v>
      </c>
      <c r="AE169" s="45">
        <f t="shared" si="63"/>
        <v>-11360.424769560899</v>
      </c>
      <c r="AF169" s="45">
        <f t="shared" si="63"/>
        <v>-11360.424769560899</v>
      </c>
      <c r="AG169" s="45">
        <f t="shared" si="63"/>
        <v>-11360.424769560899</v>
      </c>
    </row>
    <row r="170" spans="2:33" x14ac:dyDescent="0.35">
      <c r="C170" s="42" t="s">
        <v>422</v>
      </c>
      <c r="I170" s="45">
        <f>I154</f>
        <v>0</v>
      </c>
      <c r="J170" s="45">
        <f t="shared" ref="J170:AG170" si="64">J154</f>
        <v>0</v>
      </c>
      <c r="K170" s="45">
        <f t="shared" si="64"/>
        <v>0</v>
      </c>
      <c r="L170" s="45">
        <f t="shared" si="64"/>
        <v>0</v>
      </c>
      <c r="M170" s="45">
        <f t="shared" si="64"/>
        <v>-1357</v>
      </c>
      <c r="N170" s="45">
        <f t="shared" si="64"/>
        <v>-1603</v>
      </c>
      <c r="O170" s="45">
        <f t="shared" si="64"/>
        <v>-1458</v>
      </c>
      <c r="P170" s="45">
        <f t="shared" si="64"/>
        <v>-8549</v>
      </c>
      <c r="Q170" s="45">
        <f t="shared" si="64"/>
        <v>-8205</v>
      </c>
      <c r="R170" s="45">
        <f t="shared" si="64"/>
        <v>-8646</v>
      </c>
      <c r="S170" s="45">
        <f t="shared" si="64"/>
        <v>-8453</v>
      </c>
      <c r="T170" s="45">
        <f t="shared" si="64"/>
        <v>-8512</v>
      </c>
      <c r="U170" s="45">
        <f t="shared" si="64"/>
        <v>-7707</v>
      </c>
      <c r="V170" s="45">
        <f t="shared" si="64"/>
        <v>-5717</v>
      </c>
      <c r="W170" s="45">
        <f t="shared" si="64"/>
        <v>-4227</v>
      </c>
      <c r="X170" s="45">
        <f t="shared" si="64"/>
        <v>-4227</v>
      </c>
      <c r="Y170" s="45">
        <f t="shared" si="64"/>
        <v>-4227</v>
      </c>
      <c r="Z170" s="45">
        <f t="shared" si="64"/>
        <v>-4227</v>
      </c>
      <c r="AA170" s="45">
        <f t="shared" si="64"/>
        <v>-4227</v>
      </c>
      <c r="AB170" s="45">
        <f t="shared" si="64"/>
        <v>-4227</v>
      </c>
      <c r="AC170" s="45">
        <f t="shared" si="64"/>
        <v>-4227</v>
      </c>
      <c r="AD170" s="45">
        <f t="shared" si="64"/>
        <v>-4227</v>
      </c>
      <c r="AE170" s="45">
        <f t="shared" si="64"/>
        <v>-4227</v>
      </c>
      <c r="AF170" s="45">
        <f t="shared" si="64"/>
        <v>-4227</v>
      </c>
      <c r="AG170" s="45">
        <f t="shared" si="64"/>
        <v>-4227</v>
      </c>
    </row>
    <row r="171" spans="2:33" ht="15" thickBot="1" x14ac:dyDescent="0.4">
      <c r="C171" s="90" t="s">
        <v>387</v>
      </c>
      <c r="D171" s="90"/>
      <c r="E171" s="90"/>
      <c r="F171" s="90"/>
      <c r="G171" s="90"/>
      <c r="H171" s="90"/>
      <c r="I171" s="91">
        <f>SUM(I167:I170)</f>
        <v>0</v>
      </c>
      <c r="J171" s="91">
        <f t="shared" ref="J171:AG171" si="65">SUM(J167:J170)</f>
        <v>0</v>
      </c>
      <c r="K171" s="91">
        <f t="shared" si="65"/>
        <v>0</v>
      </c>
      <c r="L171" s="91">
        <f t="shared" si="65"/>
        <v>0</v>
      </c>
      <c r="M171" s="91">
        <f t="shared" si="65"/>
        <v>41658</v>
      </c>
      <c r="N171" s="91">
        <f t="shared" si="65"/>
        <v>40941</v>
      </c>
      <c r="O171" s="91">
        <f t="shared" si="65"/>
        <v>42859</v>
      </c>
      <c r="P171" s="91">
        <f t="shared" si="65"/>
        <v>107003</v>
      </c>
      <c r="Q171" s="91">
        <f t="shared" si="65"/>
        <v>97026</v>
      </c>
      <c r="R171" s="91">
        <f t="shared" si="65"/>
        <v>102006</v>
      </c>
      <c r="S171" s="91">
        <f t="shared" si="65"/>
        <v>104803</v>
      </c>
      <c r="T171" s="91">
        <f t="shared" si="65"/>
        <v>107482.80016666418</v>
      </c>
      <c r="U171" s="91">
        <f t="shared" si="65"/>
        <v>110474</v>
      </c>
      <c r="V171" s="91">
        <f t="shared" si="65"/>
        <v>94862</v>
      </c>
      <c r="W171" s="91">
        <f t="shared" si="65"/>
        <v>82853</v>
      </c>
      <c r="X171" s="91">
        <f t="shared" si="65"/>
        <v>84744.652590999991</v>
      </c>
      <c r="Y171" s="91">
        <f t="shared" si="65"/>
        <v>85661.297665089995</v>
      </c>
      <c r="Z171" s="91">
        <f t="shared" si="65"/>
        <v>86440.6588164391</v>
      </c>
      <c r="AA171" s="91">
        <f t="shared" si="65"/>
        <v>86992.284606819099</v>
      </c>
      <c r="AB171" s="91">
        <f t="shared" si="65"/>
        <v>87450.134012834504</v>
      </c>
      <c r="AC171" s="91">
        <f t="shared" si="65"/>
        <v>87830.14901982728</v>
      </c>
      <c r="AD171" s="91">
        <f t="shared" si="65"/>
        <v>88145.561475631301</v>
      </c>
      <c r="AE171" s="91">
        <f t="shared" si="65"/>
        <v>88407.353813948634</v>
      </c>
      <c r="AF171" s="91">
        <f t="shared" si="65"/>
        <v>88624.641454752011</v>
      </c>
      <c r="AG171" s="91">
        <f t="shared" si="65"/>
        <v>88804.990196618819</v>
      </c>
    </row>
    <row r="172" spans="2:33" x14ac:dyDescent="0.35">
      <c r="C172" s="92" t="s">
        <v>446</v>
      </c>
      <c r="D172" s="92"/>
      <c r="E172" s="92"/>
      <c r="F172" s="92"/>
      <c r="G172" s="92"/>
      <c r="H172" s="92"/>
      <c r="I172" s="93"/>
      <c r="J172" s="93"/>
      <c r="K172" s="93"/>
      <c r="L172" s="93"/>
      <c r="M172" s="93">
        <f>M171</f>
        <v>41658</v>
      </c>
      <c r="N172" s="93">
        <f>AVERAGE(M171:N171)</f>
        <v>41299.5</v>
      </c>
      <c r="O172" s="93">
        <f t="shared" ref="O172:AG172" si="66">AVERAGE(N171:O171)</f>
        <v>41900</v>
      </c>
      <c r="P172" s="93">
        <f t="shared" si="66"/>
        <v>74931</v>
      </c>
      <c r="Q172" s="93">
        <f t="shared" si="66"/>
        <v>102014.5</v>
      </c>
      <c r="R172" s="93">
        <f t="shared" si="66"/>
        <v>99516</v>
      </c>
      <c r="S172" s="93">
        <f t="shared" si="66"/>
        <v>103404.5</v>
      </c>
      <c r="T172" s="93">
        <f t="shared" si="66"/>
        <v>106142.90008333209</v>
      </c>
      <c r="U172" s="93">
        <f t="shared" si="66"/>
        <v>108978.40008333209</v>
      </c>
      <c r="V172" s="93">
        <f t="shared" si="66"/>
        <v>102668</v>
      </c>
      <c r="W172" s="93">
        <f t="shared" si="66"/>
        <v>88857.5</v>
      </c>
      <c r="X172" s="93">
        <f t="shared" si="66"/>
        <v>83798.826295499995</v>
      </c>
      <c r="Y172" s="93">
        <f t="shared" si="66"/>
        <v>85202.975128044985</v>
      </c>
      <c r="Z172" s="93">
        <f t="shared" si="66"/>
        <v>86050.978240764554</v>
      </c>
      <c r="AA172" s="93">
        <f t="shared" si="66"/>
        <v>86716.471711629099</v>
      </c>
      <c r="AB172" s="93">
        <f t="shared" si="66"/>
        <v>87221.209309826809</v>
      </c>
      <c r="AC172" s="93">
        <f t="shared" si="66"/>
        <v>87640.141516330885</v>
      </c>
      <c r="AD172" s="93">
        <f t="shared" si="66"/>
        <v>87987.855247729283</v>
      </c>
      <c r="AE172" s="93">
        <f t="shared" si="66"/>
        <v>88276.457644789974</v>
      </c>
      <c r="AF172" s="93">
        <f t="shared" si="66"/>
        <v>88515.997634350322</v>
      </c>
      <c r="AG172" s="93">
        <f t="shared" si="66"/>
        <v>88714.815825685422</v>
      </c>
    </row>
    <row r="173" spans="2:33" x14ac:dyDescent="0.35">
      <c r="C173" s="92"/>
      <c r="D173" s="92"/>
      <c r="E173" s="92"/>
      <c r="F173" s="92"/>
      <c r="G173" s="92"/>
      <c r="H173" s="92"/>
      <c r="I173" s="93"/>
      <c r="J173" s="93"/>
      <c r="K173" s="93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</row>
    <row r="174" spans="2:33" x14ac:dyDescent="0.35">
      <c r="C174" s="92" t="s">
        <v>425</v>
      </c>
      <c r="D174" s="92"/>
      <c r="E174" s="92"/>
      <c r="F174" s="92"/>
      <c r="G174" s="92"/>
      <c r="H174" s="92"/>
      <c r="I174" s="93">
        <f>'Historic Data from PDF'!H7</f>
        <v>0</v>
      </c>
      <c r="J174" s="93">
        <f>'Historic Data from PDF'!I7</f>
        <v>0</v>
      </c>
      <c r="K174" s="93">
        <f>'Historic Data from PDF'!J7</f>
        <v>0</v>
      </c>
      <c r="L174" s="93">
        <f>'Historic Data from PDF'!K7</f>
        <v>0</v>
      </c>
      <c r="M174" s="93">
        <f>'Historic Data from PDF'!L7</f>
        <v>20355</v>
      </c>
      <c r="N174" s="93">
        <f>'Historic Data from PDF'!M7</f>
        <v>20367</v>
      </c>
      <c r="O174" s="93">
        <f>'Historic Data from PDF'!N7</f>
        <v>22109</v>
      </c>
      <c r="P174" s="93">
        <f>'Historic Data from PDF'!O7</f>
        <v>34043</v>
      </c>
      <c r="Q174" s="93">
        <f>'Historic Data from PDF'!P7</f>
        <v>31825</v>
      </c>
      <c r="R174" s="93">
        <f>'Historic Data from PDF'!Q7</f>
        <v>32420</v>
      </c>
      <c r="S174" s="93">
        <f>'Historic Data from PDF'!R7</f>
        <v>31848</v>
      </c>
      <c r="T174" s="93">
        <f>'Historic Data from PDF'!S7</f>
        <v>31991</v>
      </c>
      <c r="U174" s="93">
        <f>'Historic Data from PDF'!T7</f>
        <v>31738</v>
      </c>
      <c r="V174" s="93">
        <f>'Historic Data from PDF'!U7</f>
        <v>28748</v>
      </c>
      <c r="W174" s="93">
        <f>'Historic Data from PDF'!V7</f>
        <v>26678</v>
      </c>
      <c r="X174" s="93">
        <f>'Historic Data from PDF'!W7</f>
        <v>0</v>
      </c>
      <c r="Y174" s="93">
        <f>'Historic Data from PDF'!X7</f>
        <v>1</v>
      </c>
      <c r="Z174" s="93">
        <f>'Historic Data from PDF'!Y7</f>
        <v>0</v>
      </c>
      <c r="AA174" s="93">
        <f>'Historic Data from PDF'!Z7</f>
        <v>0</v>
      </c>
      <c r="AB174" s="93">
        <f>'Historic Data from PDF'!AA7</f>
        <v>0</v>
      </c>
      <c r="AC174" s="93">
        <f>'Historic Data from PDF'!AB7</f>
        <v>0</v>
      </c>
      <c r="AD174" s="93">
        <f>'Historic Data from PDF'!AC7</f>
        <v>0</v>
      </c>
      <c r="AE174" s="93">
        <f>'Historic Data from PDF'!AD7</f>
        <v>0</v>
      </c>
      <c r="AF174" s="93">
        <f>'Historic Data from PDF'!AE7</f>
        <v>0</v>
      </c>
      <c r="AG174" s="93">
        <f>'Historic Data from PDF'!AF7</f>
        <v>0</v>
      </c>
    </row>
    <row r="175" spans="2:33" x14ac:dyDescent="0.35">
      <c r="C175" s="92" t="s">
        <v>426</v>
      </c>
      <c r="D175" s="92"/>
      <c r="E175" s="92"/>
      <c r="F175" s="92"/>
      <c r="G175" s="92"/>
      <c r="H175" s="92"/>
      <c r="I175" s="93">
        <f>I168</f>
        <v>0</v>
      </c>
      <c r="J175" s="93">
        <f t="shared" ref="J175:AG175" si="67">J168</f>
        <v>0</v>
      </c>
      <c r="K175" s="93">
        <f t="shared" si="67"/>
        <v>0</v>
      </c>
      <c r="L175" s="93">
        <f t="shared" si="67"/>
        <v>0</v>
      </c>
      <c r="M175" s="93">
        <f t="shared" si="67"/>
        <v>20672</v>
      </c>
      <c r="N175" s="93">
        <f t="shared" si="67"/>
        <v>21279</v>
      </c>
      <c r="O175" s="93">
        <f t="shared" si="67"/>
        <v>21205</v>
      </c>
      <c r="P175" s="93">
        <f t="shared" si="67"/>
        <v>84678</v>
      </c>
      <c r="Q175" s="93">
        <f t="shared" si="67"/>
        <v>81611</v>
      </c>
      <c r="R175" s="93">
        <f t="shared" si="67"/>
        <v>87813</v>
      </c>
      <c r="S175" s="93">
        <f t="shared" si="67"/>
        <v>89041</v>
      </c>
      <c r="T175" s="93">
        <f t="shared" si="67"/>
        <v>91216</v>
      </c>
      <c r="U175" s="93">
        <f t="shared" si="67"/>
        <v>94236</v>
      </c>
      <c r="V175" s="93">
        <f t="shared" si="67"/>
        <v>81754</v>
      </c>
      <c r="W175" s="93">
        <f t="shared" si="67"/>
        <v>72920</v>
      </c>
      <c r="X175" s="93">
        <f t="shared" si="67"/>
        <v>72920</v>
      </c>
      <c r="Y175" s="93">
        <f t="shared" si="67"/>
        <v>72920</v>
      </c>
      <c r="Z175" s="93">
        <f t="shared" si="67"/>
        <v>72920</v>
      </c>
      <c r="AA175" s="93">
        <f t="shared" si="67"/>
        <v>72920</v>
      </c>
      <c r="AB175" s="93">
        <f t="shared" si="67"/>
        <v>72920</v>
      </c>
      <c r="AC175" s="93">
        <f t="shared" si="67"/>
        <v>72920</v>
      </c>
      <c r="AD175" s="93">
        <f t="shared" si="67"/>
        <v>72920</v>
      </c>
      <c r="AE175" s="93">
        <f t="shared" si="67"/>
        <v>72920</v>
      </c>
      <c r="AF175" s="93">
        <f t="shared" si="67"/>
        <v>72920</v>
      </c>
      <c r="AG175" s="93">
        <f t="shared" si="67"/>
        <v>72920</v>
      </c>
    </row>
    <row r="176" spans="2:33" x14ac:dyDescent="0.35">
      <c r="C176" s="92" t="s">
        <v>427</v>
      </c>
      <c r="D176" s="92"/>
      <c r="E176" s="92"/>
      <c r="F176" s="92"/>
      <c r="G176" s="92"/>
      <c r="H176" s="92"/>
      <c r="I176" s="93">
        <f>'Historic Data from PDF'!H52</f>
        <v>0</v>
      </c>
      <c r="J176" s="93">
        <f>'Historic Data from PDF'!I52</f>
        <v>0</v>
      </c>
      <c r="K176" s="93">
        <f>'Historic Data from PDF'!J52</f>
        <v>0</v>
      </c>
      <c r="L176" s="93">
        <f>'Historic Data from PDF'!K52</f>
        <v>0</v>
      </c>
      <c r="M176" s="93">
        <f>'Historic Data from PDF'!L52</f>
        <v>10948</v>
      </c>
      <c r="N176" s="93">
        <f>'Historic Data from PDF'!M52</f>
        <v>9393</v>
      </c>
      <c r="O176" s="93">
        <f>'Historic Data from PDF'!N52</f>
        <v>10282</v>
      </c>
      <c r="P176" s="93">
        <f>'Historic Data from PDF'!O52</f>
        <v>12644</v>
      </c>
      <c r="Q176" s="93">
        <f>'Historic Data from PDF'!P52</f>
        <v>10093</v>
      </c>
      <c r="R176" s="93">
        <f>'Historic Data from PDF'!Q52</f>
        <v>10310</v>
      </c>
      <c r="S176" s="93">
        <f>'Historic Data from PDF'!R52</f>
        <v>12347</v>
      </c>
      <c r="T176" s="93">
        <f>'Historic Data from PDF'!S52</f>
        <v>13042</v>
      </c>
      <c r="U176" s="93">
        <f>'Historic Data from PDF'!T52</f>
        <v>13229</v>
      </c>
      <c r="V176" s="93">
        <f>'Historic Data from PDF'!U52</f>
        <v>12790</v>
      </c>
      <c r="W176" s="93">
        <f>'Historic Data from PDF'!V52</f>
        <v>11513</v>
      </c>
      <c r="X176" s="93">
        <f>'Historic Data from PDF'!W52</f>
        <v>0</v>
      </c>
      <c r="Y176" s="93">
        <f>'Historic Data from PDF'!X52</f>
        <v>0</v>
      </c>
      <c r="Z176" s="93">
        <f>'Historic Data from PDF'!Y52</f>
        <v>0</v>
      </c>
      <c r="AA176" s="93">
        <f>'Historic Data from PDF'!Z52</f>
        <v>0</v>
      </c>
      <c r="AB176" s="93">
        <f>'Historic Data from PDF'!AA52</f>
        <v>0</v>
      </c>
      <c r="AC176" s="93">
        <f>'Historic Data from PDF'!AB52</f>
        <v>0</v>
      </c>
      <c r="AD176" s="93">
        <f>'Historic Data from PDF'!AC52</f>
        <v>0</v>
      </c>
      <c r="AE176" s="93">
        <f>'Historic Data from PDF'!AD52</f>
        <v>0</v>
      </c>
      <c r="AF176" s="93">
        <f>'Historic Data from PDF'!AE52</f>
        <v>0</v>
      </c>
      <c r="AG176" s="93">
        <f>'Historic Data from PDF'!AF52</f>
        <v>0</v>
      </c>
    </row>
    <row r="177" spans="3:33" x14ac:dyDescent="0.35">
      <c r="C177" s="92" t="s">
        <v>428</v>
      </c>
      <c r="D177" s="92"/>
      <c r="E177" s="92"/>
      <c r="F177" s="92"/>
      <c r="G177" s="92"/>
      <c r="H177" s="92"/>
      <c r="I177" s="93">
        <f>'Historic Data from PDF'!H13</f>
        <v>0</v>
      </c>
      <c r="J177" s="93">
        <f>'Historic Data from PDF'!I13</f>
        <v>0</v>
      </c>
      <c r="K177" s="93">
        <f>'Historic Data from PDF'!J13</f>
        <v>0</v>
      </c>
      <c r="L177" s="93">
        <f>'Historic Data from PDF'!K13</f>
        <v>0</v>
      </c>
      <c r="M177" s="93">
        <f>'Historic Data from PDF'!L13</f>
        <v>2866</v>
      </c>
      <c r="N177" s="93">
        <f>'Historic Data from PDF'!M13</f>
        <v>3220</v>
      </c>
      <c r="O177" s="93">
        <f>'Historic Data from PDF'!N13</f>
        <v>3818</v>
      </c>
      <c r="P177" s="93">
        <f>'Historic Data from PDF'!O13</f>
        <v>5317</v>
      </c>
      <c r="Q177" s="93">
        <f>'Historic Data from PDF'!P13</f>
        <v>3601</v>
      </c>
      <c r="R177" s="93">
        <f>'Historic Data from PDF'!Q13</f>
        <v>4191</v>
      </c>
      <c r="S177" s="93">
        <f>'Historic Data from PDF'!R13</f>
        <v>4350</v>
      </c>
      <c r="T177" s="93">
        <f>'Historic Data from PDF'!S13</f>
        <v>4541</v>
      </c>
      <c r="U177" s="93">
        <f>'Historic Data from PDF'!T13</f>
        <v>4592</v>
      </c>
      <c r="V177" s="93">
        <f>'Historic Data from PDF'!U13</f>
        <v>4498</v>
      </c>
      <c r="W177" s="93">
        <f>'Historic Data from PDF'!V13</f>
        <v>3817</v>
      </c>
      <c r="X177" s="93">
        <f>'Historic Data from PDF'!W13</f>
        <v>0</v>
      </c>
      <c r="Y177" s="93">
        <f>'Historic Data from PDF'!X13</f>
        <v>1</v>
      </c>
      <c r="Z177" s="93">
        <f>'Historic Data from PDF'!Y13</f>
        <v>0</v>
      </c>
      <c r="AA177" s="93">
        <f>'Historic Data from PDF'!Z13</f>
        <v>0</v>
      </c>
      <c r="AB177" s="93">
        <f>'Historic Data from PDF'!AA13</f>
        <v>0</v>
      </c>
      <c r="AC177" s="93">
        <f>'Historic Data from PDF'!AB13</f>
        <v>0</v>
      </c>
      <c r="AD177" s="93">
        <f>'Historic Data from PDF'!AC13</f>
        <v>0</v>
      </c>
      <c r="AE177" s="93">
        <f>'Historic Data from PDF'!AD13</f>
        <v>0</v>
      </c>
      <c r="AF177" s="93">
        <f>'Historic Data from PDF'!AE13</f>
        <v>0</v>
      </c>
      <c r="AG177" s="93">
        <f>'Historic Data from PDF'!AF13</f>
        <v>0</v>
      </c>
    </row>
    <row r="178" spans="3:33" x14ac:dyDescent="0.35">
      <c r="C178" s="92" t="s">
        <v>429</v>
      </c>
      <c r="D178" s="92"/>
      <c r="E178" s="92"/>
      <c r="F178" s="92"/>
      <c r="G178" s="92"/>
      <c r="H178" s="92"/>
      <c r="I178" s="93">
        <f>-'Historic Data from PDF'!H38</f>
        <v>0</v>
      </c>
      <c r="J178" s="93">
        <f>-'Historic Data from PDF'!I38</f>
        <v>0</v>
      </c>
      <c r="K178" s="93">
        <f>-'Historic Data from PDF'!J38</f>
        <v>0</v>
      </c>
      <c r="L178" s="93">
        <f>-'Historic Data from PDF'!K38</f>
        <v>0</v>
      </c>
      <c r="M178" s="93">
        <f>-'Historic Data from PDF'!L38</f>
        <v>-4513</v>
      </c>
      <c r="N178" s="93">
        <f>-'Historic Data from PDF'!M38</f>
        <v>-5147</v>
      </c>
      <c r="O178" s="93">
        <f>-'Historic Data from PDF'!N38</f>
        <v>-5833</v>
      </c>
      <c r="P178" s="93">
        <f>-'Historic Data from PDF'!O38</f>
        <v>-7993</v>
      </c>
      <c r="Q178" s="93">
        <f>-'Historic Data from PDF'!P38</f>
        <v>-7929</v>
      </c>
      <c r="R178" s="93">
        <f>-'Historic Data from PDF'!Q38</f>
        <v>-9385</v>
      </c>
      <c r="S178" s="93">
        <f>-'Historic Data from PDF'!R38</f>
        <v>-11021</v>
      </c>
      <c r="T178" s="93">
        <f>-'Historic Data from PDF'!S38</f>
        <v>-11862</v>
      </c>
      <c r="U178" s="93">
        <f>-'Historic Data from PDF'!T38</f>
        <v>-12927</v>
      </c>
      <c r="V178" s="93">
        <f>-'Historic Data from PDF'!U38</f>
        <v>-12048</v>
      </c>
      <c r="W178" s="93">
        <f>-'Historic Data from PDF'!V38</f>
        <v>-12260</v>
      </c>
      <c r="X178" s="93">
        <f>-'Historic Data from PDF'!W38</f>
        <v>0</v>
      </c>
      <c r="Y178" s="93">
        <f>-'Historic Data from PDF'!X38</f>
        <v>1</v>
      </c>
      <c r="Z178" s="93">
        <f>-'Historic Data from PDF'!Y38</f>
        <v>0</v>
      </c>
      <c r="AA178" s="93">
        <f>-'Historic Data from PDF'!Z38</f>
        <v>0</v>
      </c>
      <c r="AB178" s="93">
        <f>-'Historic Data from PDF'!AA38</f>
        <v>0</v>
      </c>
      <c r="AC178" s="93">
        <f>-'Historic Data from PDF'!AB38</f>
        <v>0</v>
      </c>
      <c r="AD178" s="93">
        <f>-'Historic Data from PDF'!AC38</f>
        <v>0</v>
      </c>
      <c r="AE178" s="93">
        <f>-'Historic Data from PDF'!AD38</f>
        <v>0</v>
      </c>
      <c r="AF178" s="93">
        <f>-'Historic Data from PDF'!AE38</f>
        <v>0</v>
      </c>
      <c r="AG178" s="93">
        <f>-'Historic Data from PDF'!AF38</f>
        <v>0</v>
      </c>
    </row>
    <row r="179" spans="3:33" x14ac:dyDescent="0.35">
      <c r="C179" s="92" t="s">
        <v>430</v>
      </c>
      <c r="D179" s="92"/>
      <c r="E179" s="92"/>
      <c r="F179" s="92"/>
      <c r="G179" s="92"/>
      <c r="H179" s="92"/>
      <c r="I179" s="93">
        <f>-'Historic Data from PDF'!H53</f>
        <v>0</v>
      </c>
      <c r="J179" s="93">
        <f>-'Historic Data from PDF'!I53</f>
        <v>0</v>
      </c>
      <c r="K179" s="93">
        <f>-'Historic Data from PDF'!J53</f>
        <v>0</v>
      </c>
      <c r="L179" s="93">
        <f>-'Historic Data from PDF'!K53</f>
        <v>0</v>
      </c>
      <c r="M179" s="93">
        <f>-'Historic Data from PDF'!L53</f>
        <v>-7313</v>
      </c>
      <c r="N179" s="93">
        <f>-'Historic Data from PDF'!M53</f>
        <v>-6568</v>
      </c>
      <c r="O179" s="93">
        <f>-'Historic Data from PDF'!N53</f>
        <v>-7264</v>
      </c>
      <c r="P179" s="93">
        <f>-'Historic Data from PDF'!O53</f>
        <v>-13137</v>
      </c>
      <c r="Q179" s="93">
        <f>-'Historic Data from PDF'!P53</f>
        <v>-13970</v>
      </c>
      <c r="R179" s="93">
        <f>-'Historic Data from PDF'!Q53</f>
        <v>-14697</v>
      </c>
      <c r="S179" s="93">
        <f>-'Historic Data from PDF'!R53</f>
        <v>-13309</v>
      </c>
      <c r="T179" s="93">
        <f>-'Historic Data from PDF'!S53</f>
        <v>-12932</v>
      </c>
      <c r="U179" s="93">
        <f>-'Historic Data from PDF'!T53</f>
        <v>-12687</v>
      </c>
      <c r="V179" s="93">
        <f>-'Historic Data from PDF'!U53</f>
        <v>-15163</v>
      </c>
      <c r="W179" s="93">
        <f>-'Historic Data from PDF'!V53</f>
        <v>-15588</v>
      </c>
      <c r="X179" s="93">
        <f>-'Historic Data from PDF'!W53</f>
        <v>0</v>
      </c>
      <c r="Y179" s="93">
        <f>-'Historic Data from PDF'!X53</f>
        <v>0</v>
      </c>
      <c r="Z179" s="93">
        <f>-'Historic Data from PDF'!Y53</f>
        <v>0</v>
      </c>
      <c r="AA179" s="93">
        <f>-'Historic Data from PDF'!Z53</f>
        <v>0</v>
      </c>
      <c r="AB179" s="93">
        <f>-'Historic Data from PDF'!AA53</f>
        <v>0</v>
      </c>
      <c r="AC179" s="93">
        <f>-'Historic Data from PDF'!AB53</f>
        <v>0</v>
      </c>
      <c r="AD179" s="93">
        <f>-'Historic Data from PDF'!AC53</f>
        <v>0</v>
      </c>
      <c r="AE179" s="93">
        <f>-'Historic Data from PDF'!AD53</f>
        <v>0</v>
      </c>
      <c r="AF179" s="93">
        <f>-'Historic Data from PDF'!AE53</f>
        <v>0</v>
      </c>
      <c r="AG179" s="93">
        <f>-'Historic Data from PDF'!AF53</f>
        <v>0</v>
      </c>
    </row>
    <row r="180" spans="3:33" x14ac:dyDescent="0.35">
      <c r="C180" s="92" t="s">
        <v>431</v>
      </c>
      <c r="D180" s="92"/>
      <c r="E180" s="92"/>
      <c r="F180" s="92"/>
      <c r="G180" s="92"/>
      <c r="H180" s="92"/>
      <c r="I180" s="93">
        <f>'Historic Data from PDF'!H54</f>
        <v>0</v>
      </c>
      <c r="J180" s="93">
        <f>'Historic Data from PDF'!I54</f>
        <v>0</v>
      </c>
      <c r="K180" s="93">
        <f>'Historic Data from PDF'!J54</f>
        <v>0</v>
      </c>
      <c r="L180" s="93">
        <f>'Historic Data from PDF'!K54</f>
        <v>0</v>
      </c>
      <c r="M180" s="93">
        <f>'Historic Data from PDF'!L54</f>
        <v>-1357</v>
      </c>
      <c r="N180" s="93">
        <f>'Historic Data from PDF'!M54</f>
        <v>-1603</v>
      </c>
      <c r="O180" s="93">
        <f>'Historic Data from PDF'!N54</f>
        <v>-1458</v>
      </c>
      <c r="P180" s="93">
        <f>'Historic Data from PDF'!O54</f>
        <v>-8549</v>
      </c>
      <c r="Q180" s="93">
        <f>'Historic Data from PDF'!P54</f>
        <v>-8205</v>
      </c>
      <c r="R180" s="93">
        <f>'Historic Data from PDF'!Q54</f>
        <v>-8646</v>
      </c>
      <c r="S180" s="93">
        <f>'Historic Data from PDF'!R54</f>
        <v>-8453</v>
      </c>
      <c r="T180" s="93">
        <f>'Historic Data from PDF'!S54</f>
        <v>-8512</v>
      </c>
      <c r="U180" s="93">
        <f>'Historic Data from PDF'!T54</f>
        <v>-7707</v>
      </c>
      <c r="V180" s="93">
        <f>'Historic Data from PDF'!U54</f>
        <v>-5717</v>
      </c>
      <c r="W180" s="93">
        <f>'Historic Data from PDF'!V54</f>
        <v>-4227</v>
      </c>
      <c r="X180" s="93">
        <f>'Historic Data from PDF'!W54</f>
        <v>0</v>
      </c>
      <c r="Y180" s="93">
        <f>'Historic Data from PDF'!X54</f>
        <v>0</v>
      </c>
      <c r="Z180" s="93">
        <f>'Historic Data from PDF'!Y54</f>
        <v>0</v>
      </c>
      <c r="AA180" s="93">
        <f>'Historic Data from PDF'!Z54</f>
        <v>0</v>
      </c>
      <c r="AB180" s="93">
        <f>'Historic Data from PDF'!AA54</f>
        <v>0</v>
      </c>
      <c r="AC180" s="93">
        <f>'Historic Data from PDF'!AB54</f>
        <v>0</v>
      </c>
      <c r="AD180" s="93">
        <f>'Historic Data from PDF'!AC54</f>
        <v>0</v>
      </c>
      <c r="AE180" s="93">
        <f>'Historic Data from PDF'!AD54</f>
        <v>0</v>
      </c>
      <c r="AF180" s="93">
        <f>'Historic Data from PDF'!AE54</f>
        <v>0</v>
      </c>
      <c r="AG180" s="93">
        <f>'Historic Data from PDF'!AF54</f>
        <v>0</v>
      </c>
    </row>
    <row r="181" spans="3:33" x14ac:dyDescent="0.35">
      <c r="C181" s="92" t="s">
        <v>432</v>
      </c>
      <c r="D181" s="92"/>
      <c r="E181" s="92"/>
      <c r="F181" s="92"/>
      <c r="G181" s="92"/>
      <c r="H181" s="92"/>
      <c r="I181" s="93">
        <f t="shared" ref="I181:AG181" si="68">SUM(I174:I180)</f>
        <v>0</v>
      </c>
      <c r="J181" s="93">
        <f t="shared" si="68"/>
        <v>0</v>
      </c>
      <c r="K181" s="93">
        <f t="shared" si="68"/>
        <v>0</v>
      </c>
      <c r="L181" s="93">
        <f t="shared" si="68"/>
        <v>0</v>
      </c>
      <c r="M181" s="93">
        <f t="shared" si="68"/>
        <v>41658</v>
      </c>
      <c r="N181" s="93">
        <f t="shared" si="68"/>
        <v>40941</v>
      </c>
      <c r="O181" s="93">
        <f t="shared" si="68"/>
        <v>42859</v>
      </c>
      <c r="P181" s="93">
        <f t="shared" si="68"/>
        <v>107003</v>
      </c>
      <c r="Q181" s="93">
        <f t="shared" si="68"/>
        <v>97026</v>
      </c>
      <c r="R181" s="93">
        <f t="shared" si="68"/>
        <v>102006</v>
      </c>
      <c r="S181" s="93">
        <f t="shared" si="68"/>
        <v>104803</v>
      </c>
      <c r="T181" s="93">
        <f t="shared" si="68"/>
        <v>107484</v>
      </c>
      <c r="U181" s="93">
        <f t="shared" si="68"/>
        <v>110474</v>
      </c>
      <c r="V181" s="93">
        <f t="shared" si="68"/>
        <v>94862</v>
      </c>
      <c r="W181" s="93">
        <f t="shared" si="68"/>
        <v>82853</v>
      </c>
      <c r="X181" s="93">
        <f t="shared" si="68"/>
        <v>72920</v>
      </c>
      <c r="Y181" s="93">
        <f t="shared" si="68"/>
        <v>72923</v>
      </c>
      <c r="Z181" s="93">
        <f t="shared" si="68"/>
        <v>72920</v>
      </c>
      <c r="AA181" s="93">
        <f t="shared" si="68"/>
        <v>72920</v>
      </c>
      <c r="AB181" s="93">
        <f t="shared" si="68"/>
        <v>72920</v>
      </c>
      <c r="AC181" s="93">
        <f t="shared" si="68"/>
        <v>72920</v>
      </c>
      <c r="AD181" s="93">
        <f t="shared" si="68"/>
        <v>72920</v>
      </c>
      <c r="AE181" s="93">
        <f t="shared" si="68"/>
        <v>72920</v>
      </c>
      <c r="AF181" s="93">
        <f t="shared" si="68"/>
        <v>72920</v>
      </c>
      <c r="AG181" s="93">
        <f t="shared" si="68"/>
        <v>72920</v>
      </c>
    </row>
    <row r="183" spans="3:33" x14ac:dyDescent="0.35">
      <c r="C183" s="42" t="s">
        <v>188</v>
      </c>
      <c r="I183" s="55">
        <f t="shared" ref="I183:AG183" si="69">I139-I163</f>
        <v>34419</v>
      </c>
      <c r="J183" s="55">
        <f t="shared" si="69"/>
        <v>35544</v>
      </c>
      <c r="K183" s="55">
        <f t="shared" si="69"/>
        <v>34626</v>
      </c>
      <c r="L183" s="55">
        <f t="shared" si="69"/>
        <v>35987</v>
      </c>
      <c r="M183" s="55">
        <f t="shared" si="69"/>
        <v>5545</v>
      </c>
      <c r="N183" s="55">
        <f t="shared" si="69"/>
        <v>3484.8701930160605</v>
      </c>
      <c r="O183" s="55">
        <f t="shared" si="69"/>
        <v>4895.5195404463702</v>
      </c>
      <c r="P183" s="55">
        <f t="shared" si="69"/>
        <v>8186.8473073087334</v>
      </c>
      <c r="Q183" s="55">
        <f t="shared" si="69"/>
        <v>8644.0849274306183</v>
      </c>
      <c r="R183" s="55">
        <f t="shared" si="69"/>
        <v>9691.925286014477</v>
      </c>
      <c r="S183" s="55">
        <f t="shared" si="69"/>
        <v>9154.3571295201345</v>
      </c>
      <c r="T183" s="55">
        <f t="shared" si="69"/>
        <v>8636.9398800106519</v>
      </c>
      <c r="U183" s="55">
        <f t="shared" si="69"/>
        <v>8720.66414034427</v>
      </c>
      <c r="V183" s="55">
        <f t="shared" si="69"/>
        <v>8222.176702046756</v>
      </c>
      <c r="W183" s="55">
        <f t="shared" si="69"/>
        <v>7332.4396853462276</v>
      </c>
      <c r="X183" s="55">
        <f t="shared" si="69"/>
        <v>6759.8228000000054</v>
      </c>
      <c r="Y183" s="55">
        <f t="shared" si="69"/>
        <v>6479.3561720000007</v>
      </c>
      <c r="Z183" s="55">
        <f t="shared" si="69"/>
        <v>6227.9351382800014</v>
      </c>
      <c r="AA183" s="55">
        <f t="shared" si="69"/>
        <v>6114.9515426600019</v>
      </c>
      <c r="AB183" s="55">
        <f t="shared" si="69"/>
        <v>6021.1751582954021</v>
      </c>
      <c r="AC183" s="55">
        <f t="shared" si="69"/>
        <v>5943.3407592727845</v>
      </c>
      <c r="AD183" s="55">
        <f t="shared" si="69"/>
        <v>5878.7382080840098</v>
      </c>
      <c r="AE183" s="55">
        <f t="shared" si="69"/>
        <v>5825.1180905973288</v>
      </c>
      <c r="AF183" s="55">
        <f t="shared" si="69"/>
        <v>5780.6133930833821</v>
      </c>
      <c r="AG183" s="55">
        <f t="shared" si="69"/>
        <v>5743.6744941468078</v>
      </c>
    </row>
    <row r="184" spans="3:33" x14ac:dyDescent="0.35">
      <c r="C184" s="42" t="s">
        <v>149</v>
      </c>
      <c r="I184" s="47">
        <f t="shared" ref="I184:AG184" si="70">IF(I2,I42,I117)</f>
        <v>0.25</v>
      </c>
      <c r="J184" s="47">
        <f t="shared" si="70"/>
        <v>0.25</v>
      </c>
      <c r="K184" s="47">
        <f t="shared" si="70"/>
        <v>0.25</v>
      </c>
      <c r="L184" s="47">
        <f t="shared" si="70"/>
        <v>0.25</v>
      </c>
      <c r="M184" s="47">
        <f t="shared" si="70"/>
        <v>0.27536997885835096</v>
      </c>
      <c r="N184" s="47">
        <f t="shared" si="70"/>
        <v>0.2832618025751073</v>
      </c>
      <c r="O184" s="47">
        <f t="shared" si="70"/>
        <v>0.2856356631810677</v>
      </c>
      <c r="P184" s="47">
        <f t="shared" si="70"/>
        <v>0.25</v>
      </c>
      <c r="Q184" s="47">
        <f t="shared" si="70"/>
        <v>0.26958808063102541</v>
      </c>
      <c r="R184" s="47">
        <f t="shared" si="70"/>
        <v>0.2402804333970682</v>
      </c>
      <c r="S184" s="47">
        <f t="shared" si="70"/>
        <v>0.24409030544488711</v>
      </c>
      <c r="T184" s="47">
        <f t="shared" si="70"/>
        <v>0.22958302491981247</v>
      </c>
      <c r="U184" s="47">
        <f t="shared" si="70"/>
        <v>0.23554356206630686</v>
      </c>
      <c r="V184" s="47">
        <f t="shared" si="70"/>
        <v>0.2614418187256955</v>
      </c>
      <c r="W184" s="47">
        <f t="shared" si="70"/>
        <v>0.25</v>
      </c>
      <c r="X184" s="47">
        <f t="shared" si="70"/>
        <v>0.25</v>
      </c>
      <c r="Y184" s="47">
        <f t="shared" si="70"/>
        <v>0.25</v>
      </c>
      <c r="Z184" s="47">
        <f t="shared" si="70"/>
        <v>0.25</v>
      </c>
      <c r="AA184" s="47">
        <f t="shared" si="70"/>
        <v>0.25</v>
      </c>
      <c r="AB184" s="47">
        <f t="shared" si="70"/>
        <v>0.25</v>
      </c>
      <c r="AC184" s="47">
        <f t="shared" si="70"/>
        <v>0.25</v>
      </c>
      <c r="AD184" s="47">
        <f t="shared" si="70"/>
        <v>0.25</v>
      </c>
      <c r="AE184" s="47">
        <f t="shared" si="70"/>
        <v>0.25</v>
      </c>
      <c r="AF184" s="47">
        <f t="shared" si="70"/>
        <v>0.25</v>
      </c>
      <c r="AG184" s="47">
        <f t="shared" si="70"/>
        <v>0.25</v>
      </c>
    </row>
    <row r="185" spans="3:33" x14ac:dyDescent="0.35">
      <c r="C185" s="42" t="s">
        <v>264</v>
      </c>
      <c r="I185" s="55">
        <f>I183*I184</f>
        <v>8604.75</v>
      </c>
      <c r="J185" s="55">
        <f t="shared" ref="J185:AG185" si="71">J183*J184</f>
        <v>8886</v>
      </c>
      <c r="K185" s="55">
        <f t="shared" si="71"/>
        <v>8656.5</v>
      </c>
      <c r="L185" s="55">
        <f t="shared" si="71"/>
        <v>8996.75</v>
      </c>
      <c r="M185" s="55">
        <f t="shared" si="71"/>
        <v>1526.9265327695562</v>
      </c>
      <c r="N185" s="55">
        <f t="shared" si="71"/>
        <v>987.13061261399139</v>
      </c>
      <c r="O185" s="55">
        <f t="shared" si="71"/>
        <v>1398.3349705512746</v>
      </c>
      <c r="P185" s="55">
        <f t="shared" si="71"/>
        <v>2046.7118268271834</v>
      </c>
      <c r="Q185" s="55">
        <f t="shared" si="71"/>
        <v>2330.3422643975969</v>
      </c>
      <c r="R185" s="55">
        <f t="shared" si="71"/>
        <v>2328.7800081755627</v>
      </c>
      <c r="S185" s="55">
        <f t="shared" si="71"/>
        <v>2234.4898278961496</v>
      </c>
      <c r="T185" s="55">
        <f t="shared" si="71"/>
        <v>1982.8947837034077</v>
      </c>
      <c r="U185" s="55">
        <f t="shared" si="71"/>
        <v>2054.0962952005971</v>
      </c>
      <c r="V185" s="55">
        <f t="shared" si="71"/>
        <v>2149.6208308671448</v>
      </c>
      <c r="W185" s="55">
        <f t="shared" si="71"/>
        <v>1833.1099213365569</v>
      </c>
      <c r="X185" s="55">
        <f t="shared" si="71"/>
        <v>1689.9557000000013</v>
      </c>
      <c r="Y185" s="55">
        <f t="shared" si="71"/>
        <v>1619.8390430000002</v>
      </c>
      <c r="Z185" s="55">
        <f t="shared" si="71"/>
        <v>1556.9837845700004</v>
      </c>
      <c r="AA185" s="55">
        <f t="shared" si="71"/>
        <v>1528.7378856650005</v>
      </c>
      <c r="AB185" s="55">
        <f t="shared" si="71"/>
        <v>1505.2937895738505</v>
      </c>
      <c r="AC185" s="55">
        <f t="shared" si="71"/>
        <v>1485.8351898181961</v>
      </c>
      <c r="AD185" s="55">
        <f t="shared" si="71"/>
        <v>1469.6845520210024</v>
      </c>
      <c r="AE185" s="55">
        <f t="shared" si="71"/>
        <v>1456.2795226493322</v>
      </c>
      <c r="AF185" s="55">
        <f t="shared" si="71"/>
        <v>1445.1533482708455</v>
      </c>
      <c r="AG185" s="55">
        <f t="shared" si="71"/>
        <v>1435.9186235367019</v>
      </c>
    </row>
    <row r="186" spans="3:33" x14ac:dyDescent="0.35">
      <c r="C186" s="42" t="s">
        <v>196</v>
      </c>
      <c r="I186" s="55">
        <f t="shared" ref="I186:AG186" si="72">I183-I185</f>
        <v>25814.25</v>
      </c>
      <c r="J186" s="55">
        <f t="shared" si="72"/>
        <v>26658</v>
      </c>
      <c r="K186" s="55">
        <f t="shared" si="72"/>
        <v>25969.5</v>
      </c>
      <c r="L186" s="55">
        <f t="shared" si="72"/>
        <v>26990.25</v>
      </c>
      <c r="M186" s="55">
        <f t="shared" si="72"/>
        <v>4018.0734672304438</v>
      </c>
      <c r="N186" s="55">
        <f t="shared" si="72"/>
        <v>2497.7395804020689</v>
      </c>
      <c r="O186" s="55">
        <f t="shared" si="72"/>
        <v>3497.1845698950956</v>
      </c>
      <c r="P186" s="55">
        <f t="shared" si="72"/>
        <v>6140.1354804815501</v>
      </c>
      <c r="Q186" s="55">
        <f t="shared" si="72"/>
        <v>6313.742663033021</v>
      </c>
      <c r="R186" s="55">
        <f t="shared" si="72"/>
        <v>7363.1452778389139</v>
      </c>
      <c r="S186" s="55">
        <f t="shared" si="72"/>
        <v>6919.8673016239845</v>
      </c>
      <c r="T186" s="55">
        <f t="shared" si="72"/>
        <v>6654.0450963072444</v>
      </c>
      <c r="U186" s="55">
        <f t="shared" si="72"/>
        <v>6666.5678451436725</v>
      </c>
      <c r="V186" s="55">
        <f t="shared" si="72"/>
        <v>6072.5558711796111</v>
      </c>
      <c r="W186" s="55">
        <f t="shared" si="72"/>
        <v>5499.3297640096707</v>
      </c>
      <c r="X186" s="55">
        <f t="shared" si="72"/>
        <v>5069.867100000004</v>
      </c>
      <c r="Y186" s="55">
        <f t="shared" si="72"/>
        <v>4859.5171290000008</v>
      </c>
      <c r="Z186" s="55">
        <f t="shared" si="72"/>
        <v>4670.9513537100011</v>
      </c>
      <c r="AA186" s="55">
        <f t="shared" si="72"/>
        <v>4586.2136569950017</v>
      </c>
      <c r="AB186" s="55">
        <f t="shared" si="72"/>
        <v>4515.8813687215516</v>
      </c>
      <c r="AC186" s="55">
        <f t="shared" si="72"/>
        <v>4457.5055694545881</v>
      </c>
      <c r="AD186" s="55">
        <f t="shared" si="72"/>
        <v>4409.0536560630071</v>
      </c>
      <c r="AE186" s="55">
        <f t="shared" si="72"/>
        <v>4368.8385679479961</v>
      </c>
      <c r="AF186" s="55">
        <f t="shared" si="72"/>
        <v>4335.4600448125366</v>
      </c>
      <c r="AG186" s="55">
        <f t="shared" si="72"/>
        <v>4307.7558706101063</v>
      </c>
    </row>
    <row r="187" spans="3:33" x14ac:dyDescent="0.35"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</row>
    <row r="188" spans="3:33" x14ac:dyDescent="0.35">
      <c r="C188" s="42" t="s">
        <v>400</v>
      </c>
      <c r="I188" s="47" t="b">
        <f>IF(I172,I186/I172)</f>
        <v>0</v>
      </c>
      <c r="J188" s="47" t="b">
        <f t="shared" ref="J188:AG188" si="73">IF(J172,J186/J172)</f>
        <v>0</v>
      </c>
      <c r="K188" s="47" t="b">
        <f t="shared" si="73"/>
        <v>0</v>
      </c>
      <c r="L188" s="47" t="b">
        <f t="shared" si="73"/>
        <v>0</v>
      </c>
      <c r="M188" s="47">
        <f t="shared" si="73"/>
        <v>9.6453825609257374E-2</v>
      </c>
      <c r="N188" s="47">
        <f t="shared" si="73"/>
        <v>6.0478688129446331E-2</v>
      </c>
      <c r="O188" s="47">
        <f t="shared" si="73"/>
        <v>8.346502553448916E-2</v>
      </c>
      <c r="P188" s="47">
        <f t="shared" si="73"/>
        <v>8.1943861425598882E-2</v>
      </c>
      <c r="Q188" s="47">
        <f t="shared" si="73"/>
        <v>6.1890639693700608E-2</v>
      </c>
      <c r="R188" s="47">
        <f t="shared" si="73"/>
        <v>7.3989562259726208E-2</v>
      </c>
      <c r="S188" s="47">
        <f t="shared" si="73"/>
        <v>6.6920369051868961E-2</v>
      </c>
      <c r="T188" s="47">
        <f t="shared" si="73"/>
        <v>6.2689497753341927E-2</v>
      </c>
      <c r="U188" s="47">
        <f t="shared" si="73"/>
        <v>6.1173295258931809E-2</v>
      </c>
      <c r="V188" s="47">
        <f t="shared" si="73"/>
        <v>5.914750332313487E-2</v>
      </c>
      <c r="W188" s="47">
        <f t="shared" si="73"/>
        <v>6.1889314509294892E-2</v>
      </c>
      <c r="X188" s="47">
        <f t="shared" si="73"/>
        <v>6.0500454769164901E-2</v>
      </c>
      <c r="Y188" s="47">
        <f t="shared" si="73"/>
        <v>5.7034594410547368E-2</v>
      </c>
      <c r="Z188" s="47">
        <f t="shared" si="73"/>
        <v>5.4281211546962423E-2</v>
      </c>
      <c r="AA188" s="47">
        <f t="shared" si="73"/>
        <v>5.2887456863399671E-2</v>
      </c>
      <c r="AB188" s="47">
        <f t="shared" si="73"/>
        <v>5.1775037338455801E-2</v>
      </c>
      <c r="AC188" s="47">
        <f t="shared" si="73"/>
        <v>5.0861460197710609E-2</v>
      </c>
      <c r="AD188" s="47">
        <f t="shared" si="73"/>
        <v>5.0109798035755534E-2</v>
      </c>
      <c r="AE188" s="47">
        <f t="shared" si="73"/>
        <v>4.9490415502709544E-2</v>
      </c>
      <c r="AF188" s="47">
        <f t="shared" si="73"/>
        <v>4.8979395371239409E-2</v>
      </c>
      <c r="AG188" s="47">
        <f t="shared" si="73"/>
        <v>4.855734445838629E-2</v>
      </c>
    </row>
  </sheetData>
  <sortState columnSort="1" ref="D1:T4">
    <sortCondition ref="D1:T1"/>
  </sortState>
  <conditionalFormatting sqref="H2:AG95 H96:W96 H97:AG1048576">
    <cfRule type="expression" dxfId="10" priority="32">
      <formula>H$2</formula>
    </cfRule>
  </conditionalFormatting>
  <conditionalFormatting sqref="A1:H1 AH1:XFD1 A2:XFD7 A9:XFD107 D8:XFD8 A8:B8 A109:XFD119 D108:XFD108 A108:B108 A121:XFD124 D120:XFD120 A120:B120 A126:XFD128 D125:XFD125 A125:B125 A130:XFD132 D129:XFD129 A129:B129 A134:XFD142 D133:XFD133 A133:B133 D143:XFD143 A143:B143 A161:XFD165 D160:XFD160 A160:B160 D166:XFD166 A166:B166 A167:XFD1048576 A144:XFD159">
    <cfRule type="containsText" dxfId="9" priority="3" operator="containsText" text="FALSE">
      <formula>NOT(ISERROR(SEARCH("FALSE",A1)))</formula>
    </cfRule>
    <cfRule type="cellIs" dxfId="8" priority="4" operator="equal">
      <formula>TRUE</formula>
    </cfRule>
    <cfRule type="containsText" dxfId="7" priority="5" operator="containsText" text="FALSE">
      <formula>NOT(ISERROR(SEARCH("FALSE",A1)))</formula>
    </cfRule>
    <cfRule type="cellIs" dxfId="6" priority="6" operator="equal">
      <formula>TRUE</formula>
    </cfRule>
    <cfRule type="containsText" dxfId="5" priority="7" operator="containsText" text="FALSE">
      <formula>NOT(ISERROR(SEARCH("FALSE",A1)))</formula>
    </cfRule>
    <cfRule type="cellIs" dxfId="4" priority="8" operator="equal">
      <formula>TRUE</formula>
    </cfRule>
    <cfRule type="containsText" dxfId="3" priority="9" operator="containsText" text="FALSE">
      <formula>NOT(ISERROR(SEARCH("FALSE",A1)))</formula>
    </cfRule>
    <cfRule type="cellIs" dxfId="2" priority="10" operator="equal">
      <formula>TRUE</formula>
    </cfRule>
  </conditionalFormatting>
  <conditionalFormatting sqref="I1:AG1">
    <cfRule type="containsText" dxfId="1" priority="1" operator="containsText" text="FALSE">
      <formula>NOT(ISERROR(SEARCH("FALSE",I1)))</formula>
    </cfRule>
    <cfRule type="cellIs" dxfId="0" priority="2" operator="equal">
      <formula>TRUE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Drop Down 4">
              <controlPr defaultSize="0" autoLine="0" autoPict="0">
                <anchor moveWithCells="1">
                  <from>
                    <xdr:col>2</xdr:col>
                    <xdr:colOff>1593850</xdr:colOff>
                    <xdr:row>0</xdr:row>
                    <xdr:rowOff>165100</xdr:rowOff>
                  </from>
                  <to>
                    <xdr:col>2</xdr:col>
                    <xdr:colOff>3035300</xdr:colOff>
                    <xdr:row>2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Check Box 5">
              <controlPr defaultSize="0" autoFill="0" autoLine="0" autoPict="0">
                <anchor moveWithCells="1">
                  <from>
                    <xdr:col>2</xdr:col>
                    <xdr:colOff>3181350</xdr:colOff>
                    <xdr:row>9</xdr:row>
                    <xdr:rowOff>158750</xdr:rowOff>
                  </from>
                  <to>
                    <xdr:col>5</xdr:col>
                    <xdr:colOff>273050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"/>
  <sheetViews>
    <sheetView workbookViewId="0">
      <selection activeCell="P8" sqref="P8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calc">
                <anchor moveWithCells="1" sizeWithCells="1">
                  <from>
                    <xdr:col>12</xdr:col>
                    <xdr:colOff>44450</xdr:colOff>
                    <xdr:row>1</xdr:row>
                    <xdr:rowOff>0</xdr:rowOff>
                  </from>
                  <to>
                    <xdr:col>14</xdr:col>
                    <xdr:colOff>171450</xdr:colOff>
                    <xdr:row>3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B2:V33"/>
  <sheetViews>
    <sheetView showGridLines="0" zoomScale="80" zoomScaleNormal="80" workbookViewId="0">
      <selection activeCell="D3" sqref="D3"/>
    </sheetView>
  </sheetViews>
  <sheetFormatPr defaultColWidth="10.7265625" defaultRowHeight="17.5" customHeight="1" x14ac:dyDescent="0.35"/>
  <cols>
    <col min="1" max="2" width="2.453125" style="4" customWidth="1"/>
    <col min="3" max="3" width="30.453125" style="4" customWidth="1"/>
    <col min="4" max="16384" width="10.7265625" style="4"/>
  </cols>
  <sheetData>
    <row r="2" spans="3:22" ht="17.5" customHeight="1" x14ac:dyDescent="0.35">
      <c r="K2" s="5" t="s">
        <v>369</v>
      </c>
    </row>
    <row r="3" spans="3:22" ht="17.5" customHeight="1" x14ac:dyDescent="0.35">
      <c r="C3" s="4" t="s">
        <v>296</v>
      </c>
      <c r="D3" s="13">
        <v>2016</v>
      </c>
      <c r="I3" s="4">
        <f>LBO!D33</f>
        <v>1.7687190329755742E-2</v>
      </c>
      <c r="J3" s="12">
        <v>1</v>
      </c>
      <c r="K3" s="4">
        <f>J3+1</f>
        <v>2</v>
      </c>
      <c r="L3" s="4">
        <f t="shared" ref="L3:S3" si="0">K3+1</f>
        <v>3</v>
      </c>
      <c r="M3" s="4">
        <f t="shared" si="0"/>
        <v>4</v>
      </c>
      <c r="N3" s="4">
        <f t="shared" si="0"/>
        <v>5</v>
      </c>
      <c r="O3" s="4">
        <f t="shared" si="0"/>
        <v>6</v>
      </c>
      <c r="P3" s="4">
        <f t="shared" si="0"/>
        <v>7</v>
      </c>
      <c r="Q3" s="4">
        <f t="shared" si="0"/>
        <v>8</v>
      </c>
      <c r="R3" s="4">
        <f t="shared" si="0"/>
        <v>9</v>
      </c>
      <c r="S3" s="4">
        <f t="shared" si="0"/>
        <v>10</v>
      </c>
      <c r="U3" s="7" t="s">
        <v>367</v>
      </c>
      <c r="V3" s="8" t="s">
        <v>368</v>
      </c>
    </row>
    <row r="4" spans="3:22" ht="17.5" customHeight="1" x14ac:dyDescent="0.35">
      <c r="C4" s="4" t="s">
        <v>298</v>
      </c>
      <c r="D4" s="13">
        <v>10</v>
      </c>
      <c r="I4" s="12">
        <v>10</v>
      </c>
      <c r="J4" s="9">
        <f t="dataTable" ref="J4:S8" dt2D="1" dtr="1" r1="D4" r2="D11" ca="1"/>
        <v>-0.28382381861247308</v>
      </c>
      <c r="K4" s="9">
        <v>-0.11567878799628595</v>
      </c>
      <c r="L4" s="9">
        <v>-5.099353219522984E-2</v>
      </c>
      <c r="M4" s="9">
        <v>-1.4219024689083426E-2</v>
      </c>
      <c r="N4" s="9">
        <v>8.6857521491834344E-3</v>
      </c>
      <c r="O4" s="9">
        <v>2.437007791431034E-2</v>
      </c>
      <c r="P4" s="9">
        <v>3.5813525101848764E-2</v>
      </c>
      <c r="Q4" s="9">
        <v>4.4550392455368959E-2</v>
      </c>
      <c r="R4" s="9">
        <v>5.1451397864136883E-2</v>
      </c>
      <c r="S4" s="9">
        <v>5.3355955567075286E-2</v>
      </c>
      <c r="U4" s="9">
        <f>MAX(J4:S4)</f>
        <v>5.3355955567075286E-2</v>
      </c>
      <c r="V4" s="4">
        <f>MATCH(U4,J4:S4,0)</f>
        <v>10</v>
      </c>
    </row>
    <row r="5" spans="3:22" ht="17.5" customHeight="1" x14ac:dyDescent="0.35">
      <c r="C5" s="4" t="s">
        <v>297</v>
      </c>
      <c r="D5" s="6">
        <f>D3+D4</f>
        <v>2026</v>
      </c>
      <c r="I5" s="4">
        <f>I4+1</f>
        <v>11</v>
      </c>
      <c r="J5" s="9">
        <v>-0.21656140879066377</v>
      </c>
      <c r="K5" s="9">
        <v>-7.6183266126850113E-2</v>
      </c>
      <c r="L5" s="9">
        <v>-2.3741864952101843E-2</v>
      </c>
      <c r="M5" s="9">
        <v>6.3071302816279928E-3</v>
      </c>
      <c r="N5" s="9">
        <v>2.4941417102179786E-2</v>
      </c>
      <c r="O5" s="9">
        <v>3.7678945463753166E-2</v>
      </c>
      <c r="P5" s="9">
        <v>4.6969391414926065E-2</v>
      </c>
      <c r="Q5" s="9">
        <v>5.4066574130923639E-2</v>
      </c>
      <c r="R5" s="9">
        <v>5.96790174987476E-2</v>
      </c>
      <c r="S5" s="9">
        <v>6.0470910002914158E-2</v>
      </c>
      <c r="U5" s="9">
        <f>MAX(J5:S5)</f>
        <v>6.0470910002914158E-2</v>
      </c>
      <c r="V5" s="4">
        <f>MATCH(U5,J5:S5,0)</f>
        <v>10</v>
      </c>
    </row>
    <row r="6" spans="3:22" ht="17.5" customHeight="1" x14ac:dyDescent="0.35">
      <c r="I6" s="4">
        <f>I5+1</f>
        <v>12</v>
      </c>
      <c r="J6" s="9">
        <v>-0.14929899896885424</v>
      </c>
      <c r="K6" s="9">
        <v>-3.8345960973502402E-2</v>
      </c>
      <c r="L6" s="9">
        <v>2.0231958240299885E-3</v>
      </c>
      <c r="M6" s="9">
        <v>2.5603223116472673E-2</v>
      </c>
      <c r="N6" s="9">
        <v>4.0181663351850805E-2</v>
      </c>
      <c r="O6" s="9">
        <v>5.0141569215023774E-2</v>
      </c>
      <c r="P6" s="9">
        <v>5.7412498439393111E-2</v>
      </c>
      <c r="Q6" s="9">
        <v>6.2976693012747997E-2</v>
      </c>
      <c r="R6" s="9">
        <v>6.7387103779901647E-2</v>
      </c>
      <c r="S6" s="9">
        <v>6.7144262072750038E-2</v>
      </c>
      <c r="U6" s="9">
        <f>MAX(J6:S6)</f>
        <v>6.7387103779901647E-2</v>
      </c>
      <c r="V6" s="4">
        <f>MATCH(U6,J6:S6,0)</f>
        <v>9</v>
      </c>
    </row>
    <row r="7" spans="3:22" ht="17.5" customHeight="1" x14ac:dyDescent="0.35">
      <c r="C7" s="4" t="s">
        <v>292</v>
      </c>
      <c r="D7" s="14">
        <v>10.5</v>
      </c>
      <c r="I7" s="4">
        <f>I6+1</f>
        <v>13</v>
      </c>
      <c r="J7" s="9">
        <v>-8.2036589147045036E-2</v>
      </c>
      <c r="K7" s="9">
        <v>-1.9740469652554937E-3</v>
      </c>
      <c r="L7" s="9">
        <v>2.6489719867333061E-2</v>
      </c>
      <c r="M7" s="9">
        <v>4.3829433959330144E-2</v>
      </c>
      <c r="N7" s="9">
        <v>5.4539891084508074E-2</v>
      </c>
      <c r="O7" s="9">
        <v>6.1868998954725862E-2</v>
      </c>
      <c r="P7" s="9">
        <v>6.7235732926712366E-2</v>
      </c>
      <c r="Q7" s="9">
        <v>7.1358887775120117E-2</v>
      </c>
      <c r="R7" s="9">
        <v>7.4641744911566832E-2</v>
      </c>
      <c r="S7" s="9">
        <v>7.3431096590441447E-2</v>
      </c>
      <c r="U7" s="9">
        <f>MAX(J7:S7)</f>
        <v>7.4641744911566832E-2</v>
      </c>
      <c r="V7" s="4">
        <f>MATCH(U7,J7:S7,0)</f>
        <v>9</v>
      </c>
    </row>
    <row r="8" spans="3:22" ht="17.5" customHeight="1" x14ac:dyDescent="0.35">
      <c r="C8" s="4" t="s">
        <v>293</v>
      </c>
      <c r="D8" s="15">
        <v>0.2</v>
      </c>
      <c r="I8" s="4">
        <f>I7+1</f>
        <v>14</v>
      </c>
      <c r="J8" s="9">
        <v>-1.4774179325235615E-2</v>
      </c>
      <c r="K8" s="9">
        <v>3.3090596575993114E-2</v>
      </c>
      <c r="L8" s="9">
        <v>4.9810328728736142E-2</v>
      </c>
      <c r="M8" s="9">
        <v>6.1115348034856742E-2</v>
      </c>
      <c r="N8" s="9">
        <v>6.8123996792782915E-2</v>
      </c>
      <c r="O8" s="9">
        <v>7.2951168433935898E-2</v>
      </c>
      <c r="P8" s="9">
        <v>7.6514482089224289E-2</v>
      </c>
      <c r="Q8" s="9">
        <v>7.9276749767849708E-2</v>
      </c>
      <c r="R8" s="9">
        <v>8.1496893888948652E-2</v>
      </c>
      <c r="S8" s="9">
        <v>7.9376573709128762E-2</v>
      </c>
      <c r="U8" s="9">
        <f>MAX(J8:S8)</f>
        <v>8.1496893888948652E-2</v>
      </c>
      <c r="V8" s="4">
        <f>MATCH(U8,J8:S8,0)</f>
        <v>9</v>
      </c>
    </row>
    <row r="9" spans="3:22" ht="17.5" customHeight="1" x14ac:dyDescent="0.35">
      <c r="C9" s="4" t="s">
        <v>291</v>
      </c>
      <c r="D9" s="10">
        <f>D7*(1+D8)</f>
        <v>12.6</v>
      </c>
    </row>
    <row r="11" spans="3:22" ht="17.5" customHeight="1" x14ac:dyDescent="0.35">
      <c r="C11" s="4" t="s">
        <v>294</v>
      </c>
      <c r="D11" s="14">
        <v>14</v>
      </c>
    </row>
    <row r="13" spans="3:22" ht="17.5" customHeight="1" x14ac:dyDescent="0.35">
      <c r="D13" s="12">
        <v>1</v>
      </c>
      <c r="E13" s="12">
        <v>2</v>
      </c>
      <c r="F13" s="12">
        <v>3</v>
      </c>
      <c r="G13" s="12">
        <v>4</v>
      </c>
    </row>
    <row r="14" spans="3:22" ht="17.5" customHeight="1" x14ac:dyDescent="0.35">
      <c r="C14" s="4" t="s">
        <v>295</v>
      </c>
      <c r="D14" s="15">
        <v>-0.05</v>
      </c>
      <c r="E14" s="15">
        <v>0.05</v>
      </c>
      <c r="F14" s="15">
        <v>0.1</v>
      </c>
      <c r="G14" s="15">
        <v>0.15</v>
      </c>
    </row>
    <row r="15" spans="3:22" ht="17.5" customHeight="1" x14ac:dyDescent="0.35">
      <c r="C15" s="4" t="s">
        <v>314</v>
      </c>
      <c r="D15" s="12" t="b">
        <v>0</v>
      </c>
    </row>
    <row r="18" spans="2:4" ht="17.5" customHeight="1" x14ac:dyDescent="0.35">
      <c r="C18" s="4" t="s">
        <v>329</v>
      </c>
    </row>
    <row r="19" spans="2:4" ht="17.5" customHeight="1" x14ac:dyDescent="0.35">
      <c r="C19" s="11" t="s">
        <v>330</v>
      </c>
      <c r="D19" s="15">
        <v>0.01</v>
      </c>
    </row>
    <row r="20" spans="2:4" ht="17.5" customHeight="1" x14ac:dyDescent="0.35">
      <c r="C20" s="11" t="s">
        <v>331</v>
      </c>
      <c r="D20" s="15">
        <v>0.01</v>
      </c>
    </row>
    <row r="22" spans="2:4" ht="17.5" customHeight="1" x14ac:dyDescent="0.35">
      <c r="C22" s="4" t="s">
        <v>336</v>
      </c>
      <c r="D22" s="4">
        <f>LOOKUP(D3-1,Valuation!3:3,'Assumptions and Free Cash Flow'!81:81)</f>
        <v>38132</v>
      </c>
    </row>
    <row r="25" spans="2:4" ht="17.5" customHeight="1" x14ac:dyDescent="0.35">
      <c r="C25" s="4" t="s">
        <v>299</v>
      </c>
    </row>
    <row r="26" spans="2:4" ht="17.5" customHeight="1" x14ac:dyDescent="0.35">
      <c r="B26" s="5" t="s">
        <v>307</v>
      </c>
      <c r="C26" s="4" t="s">
        <v>300</v>
      </c>
      <c r="D26" s="12">
        <v>4</v>
      </c>
    </row>
    <row r="27" spans="2:4" ht="17.5" customHeight="1" x14ac:dyDescent="0.35">
      <c r="C27" s="4" t="s">
        <v>301</v>
      </c>
      <c r="D27" s="15">
        <v>0.02</v>
      </c>
    </row>
    <row r="29" spans="2:4" ht="17.5" customHeight="1" x14ac:dyDescent="0.35">
      <c r="B29" s="5" t="s">
        <v>308</v>
      </c>
      <c r="C29" s="4" t="s">
        <v>302</v>
      </c>
      <c r="D29" s="12">
        <v>2</v>
      </c>
    </row>
    <row r="30" spans="2:4" ht="17.5" customHeight="1" x14ac:dyDescent="0.35">
      <c r="C30" s="4" t="s">
        <v>303</v>
      </c>
      <c r="D30" s="15">
        <v>0.03</v>
      </c>
    </row>
    <row r="32" spans="2:4" ht="17.5" customHeight="1" x14ac:dyDescent="0.35">
      <c r="B32" s="5" t="s">
        <v>277</v>
      </c>
      <c r="C32" s="4" t="s">
        <v>304</v>
      </c>
      <c r="D32" s="12">
        <v>2</v>
      </c>
    </row>
    <row r="33" spans="3:4" ht="17.5" customHeight="1" x14ac:dyDescent="0.35">
      <c r="C33" s="4" t="s">
        <v>306</v>
      </c>
      <c r="D33" s="15">
        <v>0.04</v>
      </c>
    </row>
  </sheetData>
  <conditionalFormatting sqref="J4:S8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Check Box 1">
              <controlPr defaultSize="0" autoFill="0" autoLine="0" autoPict="0" macro="[0]!LBOtransactionassumption_CheckBox1_Click">
                <anchor moveWithCells="1">
                  <from>
                    <xdr:col>4</xdr:col>
                    <xdr:colOff>152400</xdr:colOff>
                    <xdr:row>14</xdr:row>
                    <xdr:rowOff>0</xdr:rowOff>
                  </from>
                  <to>
                    <xdr:col>6</xdr:col>
                    <xdr:colOff>165100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3:U104"/>
  <sheetViews>
    <sheetView showGridLines="0" zoomScale="70" zoomScaleNormal="70" workbookViewId="0">
      <pane xSplit="2" ySplit="8" topLeftCell="C9" activePane="bottomRight" state="frozen"/>
      <selection pane="topRight" activeCell="C1" sqref="C1"/>
      <selection pane="bottomLeft" activeCell="A6" sqref="A6"/>
      <selection pane="bottomRight"/>
    </sheetView>
  </sheetViews>
  <sheetFormatPr defaultColWidth="10.7265625" defaultRowHeight="17.5" customHeight="1" x14ac:dyDescent="0.35"/>
  <cols>
    <col min="1" max="1" width="3" style="4" customWidth="1"/>
    <col min="2" max="2" width="58.1796875" style="4" customWidth="1"/>
    <col min="3" max="3" width="10.453125" style="4" customWidth="1"/>
    <col min="4" max="4" width="11.7265625" style="4" customWidth="1"/>
    <col min="5" max="5" width="11.81640625" style="4" bestFit="1" customWidth="1"/>
    <col min="6" max="16384" width="10.7265625" style="4"/>
  </cols>
  <sheetData>
    <row r="3" spans="1:21" ht="17.5" customHeight="1" x14ac:dyDescent="0.35">
      <c r="B3" s="4" t="s">
        <v>310</v>
      </c>
      <c r="E3" s="4">
        <f>MATCH(E4,Valuation!3:3)</f>
        <v>25</v>
      </c>
      <c r="F3" s="4">
        <f>MATCH(F4,Valuation!3:3)</f>
        <v>26</v>
      </c>
      <c r="G3" s="4">
        <f>MATCH(G4,Valuation!3:3)</f>
        <v>27</v>
      </c>
      <c r="H3" s="4">
        <f>MATCH(H4,Valuation!3:3)</f>
        <v>28</v>
      </c>
      <c r="I3" s="4">
        <f>MATCH(I4,Valuation!3:3)</f>
        <v>29</v>
      </c>
      <c r="J3" s="4">
        <f>MATCH(J4,Valuation!3:3)</f>
        <v>30</v>
      </c>
      <c r="K3" s="4">
        <f>MATCH(K4,Valuation!3:3)</f>
        <v>31</v>
      </c>
      <c r="L3" s="4">
        <f>MATCH(L4,Valuation!3:3)</f>
        <v>32</v>
      </c>
      <c r="M3" s="4">
        <f>MATCH(M4,Valuation!3:3)</f>
        <v>33</v>
      </c>
      <c r="N3" s="4">
        <f>MATCH(N4,Valuation!3:3)</f>
        <v>33</v>
      </c>
      <c r="O3" s="4">
        <f>MATCH(O4,Valuation!3:3)</f>
        <v>33</v>
      </c>
      <c r="P3" s="4">
        <f>MATCH(P4,Valuation!3:3)</f>
        <v>33</v>
      </c>
      <c r="Q3" s="4">
        <f>MATCH(Q4,Valuation!3:3)</f>
        <v>33</v>
      </c>
      <c r="R3" s="4">
        <f>MATCH(R4,Valuation!3:3)</f>
        <v>33</v>
      </c>
      <c r="S3" s="4">
        <f>MATCH(S4,Valuation!3:3)</f>
        <v>33</v>
      </c>
      <c r="T3" s="4">
        <f>MATCH(T4,Valuation!3:3)</f>
        <v>33</v>
      </c>
      <c r="U3" s="4">
        <f>MATCH(U4,Valuation!3:3)</f>
        <v>33</v>
      </c>
    </row>
    <row r="4" spans="1:21" ht="17.5" customHeight="1" x14ac:dyDescent="0.35">
      <c r="B4" s="4" t="s">
        <v>309</v>
      </c>
      <c r="D4" s="13">
        <v>2016</v>
      </c>
      <c r="E4" s="6">
        <f>'LBO transaction assumption'!D3+1</f>
        <v>2017</v>
      </c>
      <c r="F4" s="6">
        <f>E4+1</f>
        <v>2018</v>
      </c>
      <c r="G4" s="6">
        <f t="shared" ref="G4:P4" si="0">F4+1</f>
        <v>2019</v>
      </c>
      <c r="H4" s="6">
        <f t="shared" si="0"/>
        <v>2020</v>
      </c>
      <c r="I4" s="6">
        <f t="shared" si="0"/>
        <v>2021</v>
      </c>
      <c r="J4" s="6">
        <f t="shared" si="0"/>
        <v>2022</v>
      </c>
      <c r="K4" s="6">
        <f t="shared" si="0"/>
        <v>2023</v>
      </c>
      <c r="L4" s="6">
        <f t="shared" si="0"/>
        <v>2024</v>
      </c>
      <c r="M4" s="6">
        <f t="shared" si="0"/>
        <v>2025</v>
      </c>
      <c r="N4" s="6">
        <f t="shared" si="0"/>
        <v>2026</v>
      </c>
      <c r="O4" s="6">
        <f t="shared" si="0"/>
        <v>2027</v>
      </c>
      <c r="P4" s="6">
        <f t="shared" si="0"/>
        <v>2028</v>
      </c>
      <c r="Q4" s="6">
        <f>P4+1</f>
        <v>2029</v>
      </c>
      <c r="R4" s="6">
        <f>Q4+1</f>
        <v>2030</v>
      </c>
      <c r="S4" s="6">
        <f>R4+1</f>
        <v>2031</v>
      </c>
      <c r="T4" s="6">
        <f>S4+1</f>
        <v>2032</v>
      </c>
      <c r="U4" s="6">
        <f>T4+1</f>
        <v>2033</v>
      </c>
    </row>
    <row r="5" spans="1:21" ht="17.5" customHeight="1" x14ac:dyDescent="0.35">
      <c r="B5" s="4" t="s">
        <v>297</v>
      </c>
      <c r="D5" s="4">
        <f>'LBO transaction assumption'!D5</f>
        <v>2026</v>
      </c>
      <c r="E5" s="4" t="b">
        <f t="shared" ref="E5:U5" si="1">E4=$D$5</f>
        <v>0</v>
      </c>
      <c r="F5" s="4" t="b">
        <f t="shared" si="1"/>
        <v>0</v>
      </c>
      <c r="G5" s="4" t="b">
        <f t="shared" si="1"/>
        <v>0</v>
      </c>
      <c r="H5" s="4" t="b">
        <f t="shared" si="1"/>
        <v>0</v>
      </c>
      <c r="I5" s="4" t="b">
        <f t="shared" si="1"/>
        <v>0</v>
      </c>
      <c r="J5" s="4" t="b">
        <f t="shared" si="1"/>
        <v>0</v>
      </c>
      <c r="K5" s="4" t="b">
        <f t="shared" si="1"/>
        <v>0</v>
      </c>
      <c r="L5" s="4" t="b">
        <f t="shared" si="1"/>
        <v>0</v>
      </c>
      <c r="M5" s="4" t="b">
        <f t="shared" si="1"/>
        <v>0</v>
      </c>
      <c r="N5" s="4" t="b">
        <f t="shared" si="1"/>
        <v>1</v>
      </c>
      <c r="O5" s="4" t="b">
        <f t="shared" si="1"/>
        <v>0</v>
      </c>
      <c r="P5" s="4" t="b">
        <f t="shared" si="1"/>
        <v>0</v>
      </c>
      <c r="Q5" s="4" t="b">
        <f t="shared" si="1"/>
        <v>0</v>
      </c>
      <c r="R5" s="4" t="b">
        <f t="shared" si="1"/>
        <v>0</v>
      </c>
      <c r="S5" s="4" t="b">
        <f t="shared" si="1"/>
        <v>0</v>
      </c>
      <c r="T5" s="4" t="b">
        <f t="shared" si="1"/>
        <v>0</v>
      </c>
      <c r="U5" s="4" t="b">
        <f t="shared" si="1"/>
        <v>0</v>
      </c>
    </row>
    <row r="6" spans="1:21" ht="17.5" customHeight="1" x14ac:dyDescent="0.35">
      <c r="B6" s="4" t="s">
        <v>298</v>
      </c>
      <c r="E6" s="4" t="b">
        <f t="shared" ref="E6:U6" si="2">E4&lt;=$D$5</f>
        <v>1</v>
      </c>
      <c r="F6" s="4" t="b">
        <f t="shared" si="2"/>
        <v>1</v>
      </c>
      <c r="G6" s="4" t="b">
        <f t="shared" si="2"/>
        <v>1</v>
      </c>
      <c r="H6" s="4" t="b">
        <f t="shared" si="2"/>
        <v>1</v>
      </c>
      <c r="I6" s="4" t="b">
        <f t="shared" si="2"/>
        <v>1</v>
      </c>
      <c r="J6" s="4" t="b">
        <f t="shared" si="2"/>
        <v>1</v>
      </c>
      <c r="K6" s="4" t="b">
        <f t="shared" si="2"/>
        <v>1</v>
      </c>
      <c r="L6" s="4" t="b">
        <f t="shared" si="2"/>
        <v>1</v>
      </c>
      <c r="M6" s="4" t="b">
        <f t="shared" si="2"/>
        <v>1</v>
      </c>
      <c r="N6" s="4" t="b">
        <f t="shared" si="2"/>
        <v>1</v>
      </c>
      <c r="O6" s="4" t="b">
        <f t="shared" si="2"/>
        <v>0</v>
      </c>
      <c r="P6" s="4" t="b">
        <f t="shared" si="2"/>
        <v>0</v>
      </c>
      <c r="Q6" s="4" t="b">
        <f t="shared" si="2"/>
        <v>0</v>
      </c>
      <c r="R6" s="4" t="b">
        <f t="shared" si="2"/>
        <v>0</v>
      </c>
      <c r="S6" s="4" t="b">
        <f t="shared" si="2"/>
        <v>0</v>
      </c>
      <c r="T6" s="4" t="b">
        <f t="shared" si="2"/>
        <v>0</v>
      </c>
      <c r="U6" s="4" t="b">
        <f t="shared" si="2"/>
        <v>0</v>
      </c>
    </row>
    <row r="7" spans="1:21" ht="17.5" customHeight="1" x14ac:dyDescent="0.35">
      <c r="B7" s="4" t="s">
        <v>364</v>
      </c>
      <c r="D7" s="20">
        <f t="shared" ref="D7:U7" si="3">IF(D5,DATE(D4,12,31),DATE(D4,7,1))</f>
        <v>42735</v>
      </c>
      <c r="E7" s="20">
        <f t="shared" si="3"/>
        <v>42917</v>
      </c>
      <c r="F7" s="20">
        <f t="shared" si="3"/>
        <v>43282</v>
      </c>
      <c r="G7" s="20">
        <f t="shared" si="3"/>
        <v>43647</v>
      </c>
      <c r="H7" s="20">
        <f t="shared" si="3"/>
        <v>44013</v>
      </c>
      <c r="I7" s="20">
        <f t="shared" si="3"/>
        <v>44378</v>
      </c>
      <c r="J7" s="20">
        <f t="shared" si="3"/>
        <v>44743</v>
      </c>
      <c r="K7" s="20">
        <f t="shared" si="3"/>
        <v>45108</v>
      </c>
      <c r="L7" s="20">
        <f t="shared" si="3"/>
        <v>45474</v>
      </c>
      <c r="M7" s="20">
        <f t="shared" si="3"/>
        <v>45839</v>
      </c>
      <c r="N7" s="20">
        <f t="shared" si="3"/>
        <v>46387</v>
      </c>
      <c r="O7" s="20">
        <f t="shared" si="3"/>
        <v>46569</v>
      </c>
      <c r="P7" s="20">
        <f t="shared" si="3"/>
        <v>46935</v>
      </c>
      <c r="Q7" s="20">
        <f t="shared" si="3"/>
        <v>47300</v>
      </c>
      <c r="R7" s="20">
        <f t="shared" si="3"/>
        <v>47665</v>
      </c>
      <c r="S7" s="20">
        <f t="shared" si="3"/>
        <v>48030</v>
      </c>
      <c r="T7" s="20">
        <f t="shared" si="3"/>
        <v>48396</v>
      </c>
      <c r="U7" s="20">
        <f t="shared" si="3"/>
        <v>48761</v>
      </c>
    </row>
    <row r="8" spans="1:21" ht="17.5" customHeight="1" x14ac:dyDescent="0.35">
      <c r="B8" s="4" t="s">
        <v>312</v>
      </c>
      <c r="E8" s="12">
        <v>1</v>
      </c>
      <c r="F8" s="4">
        <f>E8+1</f>
        <v>2</v>
      </c>
      <c r="G8" s="4">
        <f t="shared" ref="G8:P8" si="4">F8+1</f>
        <v>3</v>
      </c>
      <c r="H8" s="4">
        <f t="shared" si="4"/>
        <v>4</v>
      </c>
      <c r="I8" s="4">
        <f t="shared" si="4"/>
        <v>5</v>
      </c>
      <c r="J8" s="4">
        <f t="shared" si="4"/>
        <v>6</v>
      </c>
      <c r="K8" s="4">
        <f t="shared" si="4"/>
        <v>7</v>
      </c>
      <c r="L8" s="4">
        <f t="shared" si="4"/>
        <v>8</v>
      </c>
      <c r="M8" s="4">
        <f t="shared" si="4"/>
        <v>9</v>
      </c>
      <c r="N8" s="4">
        <f t="shared" si="4"/>
        <v>10</v>
      </c>
      <c r="O8" s="4">
        <f t="shared" si="4"/>
        <v>11</v>
      </c>
      <c r="P8" s="4">
        <f t="shared" si="4"/>
        <v>12</v>
      </c>
      <c r="Q8" s="4">
        <f>P8+1</f>
        <v>13</v>
      </c>
      <c r="R8" s="4">
        <f>Q8+1</f>
        <v>14</v>
      </c>
      <c r="S8" s="4">
        <f>R8+1</f>
        <v>15</v>
      </c>
      <c r="T8" s="4">
        <f>S8+1</f>
        <v>16</v>
      </c>
      <c r="U8" s="4">
        <f>T8+1</f>
        <v>17</v>
      </c>
    </row>
    <row r="10" spans="1:21" s="24" customFormat="1" ht="17.5" customHeight="1" x14ac:dyDescent="0.35">
      <c r="A10" s="24" t="s">
        <v>376</v>
      </c>
    </row>
    <row r="11" spans="1:21" ht="17.5" customHeight="1" x14ac:dyDescent="0.35">
      <c r="B11" s="4" t="s">
        <v>140</v>
      </c>
      <c r="E11" s="4">
        <f>INDEX('Assumptions and Free Cash Flow'!139:139,0,LBO!E$3)*E6</f>
        <v>11178.621972000001</v>
      </c>
      <c r="F11" s="4">
        <f>INDEX('Assumptions and Free Cash Flow'!139:139,0,LBO!F$3)*F6</f>
        <v>11063.325752280001</v>
      </c>
      <c r="G11" s="4">
        <f>INDEX('Assumptions and Free Cash Flow'!139:139,0,LBO!G$3)*G6</f>
        <v>11063.325752280001</v>
      </c>
      <c r="H11" s="4">
        <f>INDEX('Assumptions and Free Cash Flow'!139:139,0,LBO!H$3)*H6</f>
        <v>11063.325752280001</v>
      </c>
      <c r="I11" s="4">
        <f>INDEX('Assumptions and Free Cash Flow'!139:139,0,LBO!I$3)*I6</f>
        <v>11063.325752280001</v>
      </c>
      <c r="J11" s="4">
        <f>INDEX('Assumptions and Free Cash Flow'!139:139,0,LBO!J$3)*J6</f>
        <v>11063.325752280001</v>
      </c>
      <c r="K11" s="4">
        <f>INDEX('Assumptions and Free Cash Flow'!139:139,0,LBO!K$3)*K6</f>
        <v>11063.325752280001</v>
      </c>
      <c r="L11" s="4">
        <f>INDEX('Assumptions and Free Cash Flow'!139:139,0,LBO!L$3)*L6</f>
        <v>11063.325752280001</v>
      </c>
      <c r="M11" s="4">
        <f>INDEX('Assumptions and Free Cash Flow'!139:139,0,LBO!M$3)*M6</f>
        <v>11063.325752280001</v>
      </c>
      <c r="N11" s="4">
        <f>INDEX('Assumptions and Free Cash Flow'!139:139,0,LBO!N$3)*N6</f>
        <v>11063.325752280001</v>
      </c>
      <c r="O11" s="4">
        <f>INDEX('Assumptions and Free Cash Flow'!139:139,0,LBO!O$3)*O6</f>
        <v>0</v>
      </c>
      <c r="P11" s="4">
        <f>INDEX('Assumptions and Free Cash Flow'!139:139,0,LBO!P$3)*P6</f>
        <v>0</v>
      </c>
      <c r="Q11" s="4">
        <f>INDEX('Assumptions and Free Cash Flow'!139:139,0,LBO!Q$3)*Q6</f>
        <v>0</v>
      </c>
      <c r="R11" s="4">
        <f>INDEX('Assumptions and Free Cash Flow'!139:139,0,LBO!R$3)*R6</f>
        <v>0</v>
      </c>
      <c r="S11" s="4">
        <f>INDEX('Assumptions and Free Cash Flow'!139:139,0,LBO!S$3)*S6</f>
        <v>0</v>
      </c>
      <c r="T11" s="4">
        <f>INDEX('Assumptions and Free Cash Flow'!139:139,0,LBO!T$3)*T6</f>
        <v>0</v>
      </c>
      <c r="U11" s="4">
        <f>INDEX('Assumptions and Free Cash Flow'!139:139,0,LBO!U$3)*U6</f>
        <v>0</v>
      </c>
    </row>
    <row r="12" spans="1:21" ht="17.5" customHeight="1" x14ac:dyDescent="0.35">
      <c r="B12" s="4" t="s">
        <v>248</v>
      </c>
      <c r="E12" s="4">
        <f>INDEX('Assumptions and Free Cash Flow'!150:150,0,LBO!E$3)*E6</f>
        <v>115.91087408999738</v>
      </c>
      <c r="F12" s="4">
        <f>INDEX('Assumptions and Free Cash Flow'!150:150,0,LBO!F$3)*F6</f>
        <v>114.75176534910133</v>
      </c>
      <c r="G12" s="4">
        <f>INDEX('Assumptions and Free Cash Flow'!150:150,0,LBO!G$3)*G6</f>
        <v>0</v>
      </c>
      <c r="H12" s="4">
        <f>INDEX('Assumptions and Free Cash Flow'!150:150,0,LBO!H$3)*H6</f>
        <v>0</v>
      </c>
      <c r="I12" s="4">
        <f>INDEX('Assumptions and Free Cash Flow'!150:150,0,LBO!I$3)*I6</f>
        <v>0</v>
      </c>
      <c r="J12" s="4">
        <f>INDEX('Assumptions and Free Cash Flow'!150:150,0,LBO!J$3)*J6</f>
        <v>0</v>
      </c>
      <c r="K12" s="4">
        <f>INDEX('Assumptions and Free Cash Flow'!150:150,0,LBO!K$3)*K6</f>
        <v>0</v>
      </c>
      <c r="L12" s="4">
        <f>INDEX('Assumptions and Free Cash Flow'!150:150,0,LBO!L$3)*L6</f>
        <v>0</v>
      </c>
      <c r="M12" s="4">
        <f>INDEX('Assumptions and Free Cash Flow'!150:150,0,LBO!M$3)*M6</f>
        <v>0</v>
      </c>
      <c r="N12" s="4">
        <f>INDEX('Assumptions and Free Cash Flow'!150:150,0,LBO!N$3)*N6</f>
        <v>0</v>
      </c>
      <c r="O12" s="4">
        <f>INDEX('Assumptions and Free Cash Flow'!150:150,0,LBO!O$3)*O6</f>
        <v>0</v>
      </c>
      <c r="P12" s="4">
        <f>INDEX('Assumptions and Free Cash Flow'!150:150,0,LBO!P$3)*P6</f>
        <v>0</v>
      </c>
      <c r="Q12" s="4">
        <f>INDEX('Assumptions and Free Cash Flow'!150:150,0,LBO!Q$3)*Q6</f>
        <v>0</v>
      </c>
      <c r="R12" s="4">
        <f>INDEX('Assumptions and Free Cash Flow'!150:150,0,LBO!R$3)*R6</f>
        <v>0</v>
      </c>
      <c r="S12" s="4">
        <f>INDEX('Assumptions and Free Cash Flow'!150:150,0,LBO!S$3)*S6</f>
        <v>0</v>
      </c>
      <c r="T12" s="4">
        <f>INDEX('Assumptions and Free Cash Flow'!150:150,0,LBO!T$3)*T6</f>
        <v>0</v>
      </c>
      <c r="U12" s="4">
        <f>INDEX('Assumptions and Free Cash Flow'!150:150,0,LBO!U$3)*U6</f>
        <v>0</v>
      </c>
    </row>
    <row r="13" spans="1:21" ht="17.5" customHeight="1" x14ac:dyDescent="0.35">
      <c r="B13" s="4" t="s">
        <v>263</v>
      </c>
      <c r="E13" s="4">
        <f>INDEX('Assumptions and Free Cash Flow'!156:156,0,LBO!E$3)*E6</f>
        <v>5500</v>
      </c>
      <c r="F13" s="4">
        <f>INDEX('Assumptions and Free Cash Flow'!156:156,0,LBO!F$3)*F6</f>
        <v>5500</v>
      </c>
      <c r="G13" s="4">
        <f>INDEX('Assumptions and Free Cash Flow'!156:156,0,LBO!G$3)*G6</f>
        <v>5500</v>
      </c>
      <c r="H13" s="4">
        <f>INDEX('Assumptions and Free Cash Flow'!156:156,0,LBO!H$3)*H6</f>
        <v>5500</v>
      </c>
      <c r="I13" s="4">
        <f>INDEX('Assumptions and Free Cash Flow'!156:156,0,LBO!I$3)*I6</f>
        <v>5500</v>
      </c>
      <c r="J13" s="4">
        <f>INDEX('Assumptions and Free Cash Flow'!156:156,0,LBO!J$3)*J6</f>
        <v>5500</v>
      </c>
      <c r="K13" s="4">
        <f>INDEX('Assumptions and Free Cash Flow'!156:156,0,LBO!K$3)*K6</f>
        <v>5500</v>
      </c>
      <c r="L13" s="4">
        <f>INDEX('Assumptions and Free Cash Flow'!156:156,0,LBO!L$3)*L6</f>
        <v>5500</v>
      </c>
      <c r="M13" s="4">
        <f>INDEX('Assumptions and Free Cash Flow'!156:156,0,LBO!M$3)*M6</f>
        <v>5500</v>
      </c>
      <c r="N13" s="4">
        <f>INDEX('Assumptions and Free Cash Flow'!156:156,0,LBO!N$3)*N6</f>
        <v>5500</v>
      </c>
      <c r="O13" s="4">
        <f>INDEX('Assumptions and Free Cash Flow'!156:156,0,LBO!O$3)*O6</f>
        <v>0</v>
      </c>
      <c r="P13" s="4">
        <f>INDEX('Assumptions and Free Cash Flow'!156:156,0,LBO!P$3)*P6</f>
        <v>0</v>
      </c>
      <c r="Q13" s="4">
        <f>INDEX('Assumptions and Free Cash Flow'!156:156,0,LBO!Q$3)*Q6</f>
        <v>0</v>
      </c>
      <c r="R13" s="4">
        <f>INDEX('Assumptions and Free Cash Flow'!156:156,0,LBO!R$3)*R6</f>
        <v>0</v>
      </c>
      <c r="S13" s="4">
        <f>INDEX('Assumptions and Free Cash Flow'!156:156,0,LBO!S$3)*S6</f>
        <v>0</v>
      </c>
      <c r="T13" s="4">
        <f>INDEX('Assumptions and Free Cash Flow'!156:156,0,LBO!T$3)*T6</f>
        <v>0</v>
      </c>
      <c r="U13" s="4">
        <f>INDEX('Assumptions and Free Cash Flow'!156:156,0,LBO!U$3)*U6</f>
        <v>0</v>
      </c>
    </row>
    <row r="14" spans="1:21" ht="17.5" customHeight="1" x14ac:dyDescent="0.35">
      <c r="B14" s="4" t="s">
        <v>311</v>
      </c>
      <c r="E14" s="4">
        <f>E11-E12-E13</f>
        <v>5562.7110979100034</v>
      </c>
      <c r="F14" s="4">
        <f t="shared" ref="F14:P14" si="5">F11-F12-F13</f>
        <v>5448.5739869309</v>
      </c>
      <c r="G14" s="4">
        <f t="shared" si="5"/>
        <v>5563.3257522800013</v>
      </c>
      <c r="H14" s="4">
        <f t="shared" si="5"/>
        <v>5563.3257522800013</v>
      </c>
      <c r="I14" s="4">
        <f t="shared" si="5"/>
        <v>5563.3257522800013</v>
      </c>
      <c r="J14" s="4">
        <f t="shared" si="5"/>
        <v>5563.3257522800013</v>
      </c>
      <c r="K14" s="4">
        <f t="shared" si="5"/>
        <v>5563.3257522800013</v>
      </c>
      <c r="L14" s="4">
        <f t="shared" si="5"/>
        <v>5563.3257522800013</v>
      </c>
      <c r="M14" s="4">
        <f t="shared" si="5"/>
        <v>5563.3257522800013</v>
      </c>
      <c r="N14" s="4">
        <f t="shared" si="5"/>
        <v>5563.3257522800013</v>
      </c>
      <c r="O14" s="4">
        <f t="shared" si="5"/>
        <v>0</v>
      </c>
      <c r="P14" s="4">
        <f t="shared" si="5"/>
        <v>0</v>
      </c>
      <c r="Q14" s="4">
        <f>Q11-Q12-Q13</f>
        <v>0</v>
      </c>
      <c r="R14" s="4">
        <f>R11-R12-R13</f>
        <v>0</v>
      </c>
      <c r="S14" s="4">
        <f>S11-S12-S13</f>
        <v>0</v>
      </c>
      <c r="T14" s="4">
        <f>T11-T12-T13</f>
        <v>0</v>
      </c>
      <c r="U14" s="4">
        <f>U11-U12-U13</f>
        <v>0</v>
      </c>
    </row>
    <row r="16" spans="1:21" ht="17.5" customHeight="1" x14ac:dyDescent="0.35">
      <c r="B16" s="4" t="s">
        <v>313</v>
      </c>
      <c r="E16" s="9">
        <f>LOOKUP(E8,'LBO transaction assumption'!13:13,'LBO transaction assumption'!14:14)</f>
        <v>-0.05</v>
      </c>
      <c r="F16" s="9">
        <f>LOOKUP(F8,'LBO transaction assumption'!13:13,'LBO transaction assumption'!14:14)</f>
        <v>0.05</v>
      </c>
      <c r="G16" s="9">
        <f>LOOKUP(G8,'LBO transaction assumption'!13:13,'LBO transaction assumption'!14:14)</f>
        <v>0.1</v>
      </c>
      <c r="H16" s="9">
        <f>LOOKUP(H8,'LBO transaction assumption'!13:13,'LBO transaction assumption'!14:14)</f>
        <v>0.15</v>
      </c>
      <c r="I16" s="9">
        <f>LOOKUP(I8,'LBO transaction assumption'!13:13,'LBO transaction assumption'!14:14)</f>
        <v>0.15</v>
      </c>
      <c r="J16" s="9">
        <f>LOOKUP(J8,'LBO transaction assumption'!13:13,'LBO transaction assumption'!14:14)</f>
        <v>0.15</v>
      </c>
      <c r="K16" s="9">
        <f>LOOKUP(K8,'LBO transaction assumption'!13:13,'LBO transaction assumption'!14:14)</f>
        <v>0.15</v>
      </c>
      <c r="L16" s="9">
        <f>LOOKUP(L8,'LBO transaction assumption'!13:13,'LBO transaction assumption'!14:14)</f>
        <v>0.15</v>
      </c>
      <c r="M16" s="9">
        <f>LOOKUP(M8,'LBO transaction assumption'!13:13,'LBO transaction assumption'!14:14)</f>
        <v>0.15</v>
      </c>
      <c r="N16" s="9">
        <f>LOOKUP(N8,'LBO transaction assumption'!13:13,'LBO transaction assumption'!14:14)</f>
        <v>0.15</v>
      </c>
      <c r="O16" s="9">
        <f>LOOKUP(O8,'LBO transaction assumption'!13:13,'LBO transaction assumption'!14:14)</f>
        <v>0.15</v>
      </c>
      <c r="P16" s="9">
        <f>LOOKUP(P8,'LBO transaction assumption'!13:13,'LBO transaction assumption'!14:14)</f>
        <v>0.15</v>
      </c>
      <c r="Q16" s="9">
        <f>LOOKUP(Q8,'LBO transaction assumption'!13:13,'LBO transaction assumption'!14:14)</f>
        <v>0.15</v>
      </c>
      <c r="R16" s="9">
        <f>LOOKUP(R8,'LBO transaction assumption'!13:13,'LBO transaction assumption'!14:14)</f>
        <v>0.15</v>
      </c>
      <c r="S16" s="9">
        <f>LOOKUP(S8,'LBO transaction assumption'!13:13,'LBO transaction assumption'!14:14)</f>
        <v>0.15</v>
      </c>
      <c r="T16" s="9">
        <f>LOOKUP(T8,'LBO transaction assumption'!13:13,'LBO transaction assumption'!14:14)</f>
        <v>0.15</v>
      </c>
      <c r="U16" s="9">
        <f>LOOKUP(U8,'LBO transaction assumption'!13:13,'LBO transaction assumption'!14:14)</f>
        <v>0.15</v>
      </c>
    </row>
    <row r="17" spans="2:21" ht="17.5" customHeight="1" x14ac:dyDescent="0.35">
      <c r="B17" s="4" t="s">
        <v>315</v>
      </c>
      <c r="E17" s="4" t="b">
        <f>'LBO transaction assumption'!$D$15</f>
        <v>0</v>
      </c>
      <c r="F17" s="4" t="b">
        <f>'LBO transaction assumption'!$D$15</f>
        <v>0</v>
      </c>
      <c r="G17" s="4" t="b">
        <f>'LBO transaction assumption'!$D$15</f>
        <v>0</v>
      </c>
      <c r="H17" s="4" t="b">
        <f>'LBO transaction assumption'!$D$15</f>
        <v>0</v>
      </c>
      <c r="I17" s="4" t="b">
        <f>'LBO transaction assumption'!$D$15</f>
        <v>0</v>
      </c>
      <c r="J17" s="4" t="b">
        <f>'LBO transaction assumption'!$D$15</f>
        <v>0</v>
      </c>
      <c r="K17" s="4" t="b">
        <f>'LBO transaction assumption'!$D$15</f>
        <v>0</v>
      </c>
      <c r="L17" s="4" t="b">
        <f>'LBO transaction assumption'!$D$15</f>
        <v>0</v>
      </c>
      <c r="M17" s="4" t="b">
        <f>'LBO transaction assumption'!$D$15</f>
        <v>0</v>
      </c>
      <c r="N17" s="4" t="b">
        <f>'LBO transaction assumption'!$D$15</f>
        <v>0</v>
      </c>
      <c r="O17" s="4" t="b">
        <f>'LBO transaction assumption'!$D$15</f>
        <v>0</v>
      </c>
      <c r="P17" s="4" t="b">
        <f>'LBO transaction assumption'!$D$15</f>
        <v>0</v>
      </c>
      <c r="Q17" s="4" t="b">
        <f>'LBO transaction assumption'!$D$15</f>
        <v>0</v>
      </c>
      <c r="R17" s="4" t="b">
        <f>'LBO transaction assumption'!$D$15</f>
        <v>0</v>
      </c>
      <c r="S17" s="4" t="b">
        <f>'LBO transaction assumption'!$D$15</f>
        <v>0</v>
      </c>
      <c r="T17" s="4" t="b">
        <f>'LBO transaction assumption'!$D$15</f>
        <v>0</v>
      </c>
      <c r="U17" s="4" t="b">
        <f>'LBO transaction assumption'!$D$15</f>
        <v>0</v>
      </c>
    </row>
    <row r="18" spans="2:21" ht="17.5" customHeight="1" x14ac:dyDescent="0.35">
      <c r="B18" s="4" t="s">
        <v>316</v>
      </c>
      <c r="E18" s="4">
        <f>E16*E17</f>
        <v>0</v>
      </c>
      <c r="F18" s="4">
        <f t="shared" ref="F18:P18" si="6">F16*F17</f>
        <v>0</v>
      </c>
      <c r="G18" s="4">
        <f t="shared" si="6"/>
        <v>0</v>
      </c>
      <c r="H18" s="4">
        <f t="shared" si="6"/>
        <v>0</v>
      </c>
      <c r="I18" s="4">
        <f t="shared" si="6"/>
        <v>0</v>
      </c>
      <c r="J18" s="4">
        <f t="shared" si="6"/>
        <v>0</v>
      </c>
      <c r="K18" s="4">
        <f t="shared" si="6"/>
        <v>0</v>
      </c>
      <c r="L18" s="4">
        <f t="shared" si="6"/>
        <v>0</v>
      </c>
      <c r="M18" s="4">
        <f t="shared" si="6"/>
        <v>0</v>
      </c>
      <c r="N18" s="4">
        <f t="shared" si="6"/>
        <v>0</v>
      </c>
      <c r="O18" s="4">
        <f t="shared" si="6"/>
        <v>0</v>
      </c>
      <c r="P18" s="4">
        <f t="shared" si="6"/>
        <v>0</v>
      </c>
      <c r="Q18" s="4">
        <f>Q16*Q17</f>
        <v>0</v>
      </c>
      <c r="R18" s="4">
        <f>R16*R17</f>
        <v>0</v>
      </c>
      <c r="S18" s="4">
        <f>S16*S17</f>
        <v>0</v>
      </c>
      <c r="T18" s="4">
        <f>T16*T17</f>
        <v>0</v>
      </c>
      <c r="U18" s="4">
        <f>U16*U17</f>
        <v>0</v>
      </c>
    </row>
    <row r="19" spans="2:21" ht="17.5" customHeight="1" x14ac:dyDescent="0.35">
      <c r="B19" s="4" t="s">
        <v>317</v>
      </c>
      <c r="E19" s="4">
        <f>(1+E18)*E11</f>
        <v>11178.621972000001</v>
      </c>
      <c r="F19" s="4">
        <f t="shared" ref="F19:P19" si="7">(1+F18)*F11</f>
        <v>11063.325752280001</v>
      </c>
      <c r="G19" s="4">
        <f t="shared" si="7"/>
        <v>11063.325752280001</v>
      </c>
      <c r="H19" s="4">
        <f t="shared" si="7"/>
        <v>11063.325752280001</v>
      </c>
      <c r="I19" s="4">
        <f t="shared" si="7"/>
        <v>11063.325752280001</v>
      </c>
      <c r="J19" s="4">
        <f t="shared" si="7"/>
        <v>11063.325752280001</v>
      </c>
      <c r="K19" s="4">
        <f t="shared" si="7"/>
        <v>11063.325752280001</v>
      </c>
      <c r="L19" s="4">
        <f t="shared" si="7"/>
        <v>11063.325752280001</v>
      </c>
      <c r="M19" s="4">
        <f t="shared" si="7"/>
        <v>11063.325752280001</v>
      </c>
      <c r="N19" s="4">
        <f t="shared" si="7"/>
        <v>11063.325752280001</v>
      </c>
      <c r="O19" s="4">
        <f t="shared" si="7"/>
        <v>0</v>
      </c>
      <c r="P19" s="4">
        <f t="shared" si="7"/>
        <v>0</v>
      </c>
      <c r="Q19" s="4">
        <f>(1+Q18)*Q11</f>
        <v>0</v>
      </c>
      <c r="R19" s="4">
        <f>(1+R18)*R11</f>
        <v>0</v>
      </c>
      <c r="S19" s="4">
        <f>(1+S18)*S11</f>
        <v>0</v>
      </c>
      <c r="T19" s="4">
        <f>(1+T18)*T11</f>
        <v>0</v>
      </c>
      <c r="U19" s="4">
        <f>(1+U18)*U11</f>
        <v>0</v>
      </c>
    </row>
    <row r="21" spans="2:21" ht="17.5" customHeight="1" x14ac:dyDescent="0.35">
      <c r="B21" s="4" t="s">
        <v>319</v>
      </c>
      <c r="D21" s="4">
        <f>'LBO transaction assumption'!D11</f>
        <v>14</v>
      </c>
      <c r="E21" s="4">
        <f t="shared" ref="E21:U21" si="8">$D$21*E19*E5</f>
        <v>0</v>
      </c>
      <c r="F21" s="4">
        <f t="shared" si="8"/>
        <v>0</v>
      </c>
      <c r="G21" s="4">
        <f t="shared" si="8"/>
        <v>0</v>
      </c>
      <c r="H21" s="4">
        <f t="shared" si="8"/>
        <v>0</v>
      </c>
      <c r="I21" s="4">
        <f t="shared" si="8"/>
        <v>0</v>
      </c>
      <c r="J21" s="4">
        <f t="shared" si="8"/>
        <v>0</v>
      </c>
      <c r="K21" s="4">
        <f t="shared" si="8"/>
        <v>0</v>
      </c>
      <c r="L21" s="4">
        <f t="shared" si="8"/>
        <v>0</v>
      </c>
      <c r="M21" s="4">
        <f t="shared" si="8"/>
        <v>0</v>
      </c>
      <c r="N21" s="4">
        <f t="shared" si="8"/>
        <v>154886.56053192003</v>
      </c>
      <c r="O21" s="4">
        <f t="shared" si="8"/>
        <v>0</v>
      </c>
      <c r="P21" s="4">
        <f t="shared" si="8"/>
        <v>0</v>
      </c>
      <c r="Q21" s="4">
        <f t="shared" si="8"/>
        <v>0</v>
      </c>
      <c r="R21" s="4">
        <f t="shared" si="8"/>
        <v>0</v>
      </c>
      <c r="S21" s="4">
        <f t="shared" si="8"/>
        <v>0</v>
      </c>
      <c r="T21" s="4">
        <f t="shared" si="8"/>
        <v>0</v>
      </c>
      <c r="U21" s="4">
        <f t="shared" si="8"/>
        <v>0</v>
      </c>
    </row>
    <row r="23" spans="2:21" ht="17.5" customHeight="1" x14ac:dyDescent="0.35">
      <c r="B23" s="4" t="s">
        <v>321</v>
      </c>
      <c r="D23" s="4">
        <f>'LBO transaction assumption'!D3</f>
        <v>2016</v>
      </c>
    </row>
    <row r="24" spans="2:21" ht="17.5" customHeight="1" x14ac:dyDescent="0.35">
      <c r="B24" s="4" t="s">
        <v>322</v>
      </c>
      <c r="D24" s="4">
        <f>LOOKUP(D23,Valuation!3:3,'Assumptions and Free Cash Flow'!139:139)</f>
        <v>11295.082800000006</v>
      </c>
    </row>
    <row r="25" spans="2:21" ht="17.5" customHeight="1" x14ac:dyDescent="0.35">
      <c r="B25" s="4" t="s">
        <v>323</v>
      </c>
      <c r="D25" s="4">
        <f>'LBO transaction assumption'!D9</f>
        <v>12.6</v>
      </c>
    </row>
    <row r="26" spans="2:21" ht="17.5" customHeight="1" x14ac:dyDescent="0.35">
      <c r="B26" s="4" t="s">
        <v>320</v>
      </c>
      <c r="D26" s="4">
        <f>D24*D25</f>
        <v>142318.04328000007</v>
      </c>
    </row>
    <row r="28" spans="2:21" ht="17.5" customHeight="1" x14ac:dyDescent="0.35">
      <c r="B28" s="11" t="s">
        <v>324</v>
      </c>
      <c r="C28" s="11"/>
      <c r="D28" s="4">
        <f>-D26-D40</f>
        <v>-180450.04328000007</v>
      </c>
    </row>
    <row r="29" spans="2:21" ht="17.5" customHeight="1" x14ac:dyDescent="0.35">
      <c r="B29" s="11" t="s">
        <v>325</v>
      </c>
      <c r="C29" s="11"/>
      <c r="E29" s="4">
        <f>E19-E12-E13</f>
        <v>5562.7110979100034</v>
      </c>
      <c r="F29" s="4">
        <f t="shared" ref="F29:P29" si="9">F19-F12-F13</f>
        <v>5448.5739869309</v>
      </c>
      <c r="G29" s="4">
        <f t="shared" si="9"/>
        <v>5563.3257522800013</v>
      </c>
      <c r="H29" s="4">
        <f t="shared" si="9"/>
        <v>5563.3257522800013</v>
      </c>
      <c r="I29" s="4">
        <f t="shared" si="9"/>
        <v>5563.3257522800013</v>
      </c>
      <c r="J29" s="4">
        <f t="shared" si="9"/>
        <v>5563.3257522800013</v>
      </c>
      <c r="K29" s="4">
        <f t="shared" si="9"/>
        <v>5563.3257522800013</v>
      </c>
      <c r="L29" s="4">
        <f t="shared" si="9"/>
        <v>5563.3257522800013</v>
      </c>
      <c r="M29" s="4">
        <f t="shared" si="9"/>
        <v>5563.3257522800013</v>
      </c>
      <c r="N29" s="4">
        <f t="shared" si="9"/>
        <v>5563.3257522800013</v>
      </c>
      <c r="O29" s="4">
        <f t="shared" si="9"/>
        <v>0</v>
      </c>
      <c r="P29" s="4">
        <f t="shared" si="9"/>
        <v>0</v>
      </c>
      <c r="Q29" s="4">
        <f>Q19-Q12-Q13</f>
        <v>0</v>
      </c>
      <c r="R29" s="4">
        <f>R19-R12-R13</f>
        <v>0</v>
      </c>
      <c r="S29" s="4">
        <f>S19-S12-S13</f>
        <v>0</v>
      </c>
      <c r="T29" s="4">
        <f>T19-T12-T13</f>
        <v>0</v>
      </c>
      <c r="U29" s="4">
        <f>U19-U12-U13</f>
        <v>0</v>
      </c>
    </row>
    <row r="30" spans="2:21" ht="17.5" customHeight="1" x14ac:dyDescent="0.35">
      <c r="B30" s="11" t="s">
        <v>326</v>
      </c>
      <c r="C30" s="11"/>
      <c r="E30" s="4">
        <f>E21</f>
        <v>0</v>
      </c>
      <c r="F30" s="4">
        <f t="shared" ref="F30:P30" si="10">F21</f>
        <v>0</v>
      </c>
      <c r="G30" s="4">
        <f t="shared" si="10"/>
        <v>0</v>
      </c>
      <c r="H30" s="4">
        <f t="shared" si="10"/>
        <v>0</v>
      </c>
      <c r="I30" s="4">
        <f t="shared" si="10"/>
        <v>0</v>
      </c>
      <c r="J30" s="4">
        <f t="shared" si="10"/>
        <v>0</v>
      </c>
      <c r="K30" s="4">
        <f t="shared" si="10"/>
        <v>0</v>
      </c>
      <c r="L30" s="4">
        <f t="shared" si="10"/>
        <v>0</v>
      </c>
      <c r="M30" s="4">
        <f t="shared" si="10"/>
        <v>0</v>
      </c>
      <c r="N30" s="4">
        <f t="shared" si="10"/>
        <v>154886.56053192003</v>
      </c>
      <c r="O30" s="4">
        <f t="shared" si="10"/>
        <v>0</v>
      </c>
      <c r="P30" s="4">
        <f t="shared" si="10"/>
        <v>0</v>
      </c>
      <c r="Q30" s="4">
        <f>Q21</f>
        <v>0</v>
      </c>
      <c r="R30" s="4">
        <f>R21</f>
        <v>0</v>
      </c>
      <c r="S30" s="4">
        <f>S21</f>
        <v>0</v>
      </c>
      <c r="T30" s="4">
        <f>T21</f>
        <v>0</v>
      </c>
      <c r="U30" s="4">
        <f>U21</f>
        <v>0</v>
      </c>
    </row>
    <row r="31" spans="2:21" ht="17.5" customHeight="1" x14ac:dyDescent="0.35">
      <c r="B31" s="4" t="s">
        <v>327</v>
      </c>
      <c r="D31" s="4">
        <f>D28+D29+D30</f>
        <v>-180450.04328000007</v>
      </c>
      <c r="E31" s="4">
        <f>E28+E29+E30</f>
        <v>5562.7110979100034</v>
      </c>
      <c r="F31" s="4">
        <f t="shared" ref="F31:P31" si="11">F28+F29+F30</f>
        <v>5448.5739869309</v>
      </c>
      <c r="G31" s="4">
        <f t="shared" si="11"/>
        <v>5563.3257522800013</v>
      </c>
      <c r="H31" s="4">
        <f t="shared" si="11"/>
        <v>5563.3257522800013</v>
      </c>
      <c r="I31" s="4">
        <f t="shared" si="11"/>
        <v>5563.3257522800013</v>
      </c>
      <c r="J31" s="4">
        <f t="shared" si="11"/>
        <v>5563.3257522800013</v>
      </c>
      <c r="K31" s="4">
        <f t="shared" si="11"/>
        <v>5563.3257522800013</v>
      </c>
      <c r="L31" s="4">
        <f t="shared" si="11"/>
        <v>5563.3257522800013</v>
      </c>
      <c r="M31" s="4">
        <f t="shared" si="11"/>
        <v>5563.3257522800013</v>
      </c>
      <c r="N31" s="4">
        <f t="shared" si="11"/>
        <v>160449.88628420004</v>
      </c>
      <c r="O31" s="4">
        <f t="shared" si="11"/>
        <v>0</v>
      </c>
      <c r="P31" s="4">
        <f t="shared" si="11"/>
        <v>0</v>
      </c>
      <c r="Q31" s="4">
        <f>Q28+Q29+Q30</f>
        <v>0</v>
      </c>
      <c r="R31" s="4">
        <f>R28+R29+R30</f>
        <v>0</v>
      </c>
      <c r="S31" s="4">
        <f>S28+S29+S30</f>
        <v>0</v>
      </c>
      <c r="T31" s="4">
        <f>T28+T29+T30</f>
        <v>0</v>
      </c>
      <c r="U31" s="4">
        <f>U28+U29+U30</f>
        <v>0</v>
      </c>
    </row>
    <row r="33" spans="1:4" ht="17.5" customHeight="1" x14ac:dyDescent="0.35">
      <c r="B33" s="4" t="s">
        <v>328</v>
      </c>
      <c r="D33" s="9">
        <f>IRR(D31:P31)</f>
        <v>1.7687190329755742E-2</v>
      </c>
    </row>
    <row r="34" spans="1:4" ht="17.5" customHeight="1" x14ac:dyDescent="0.35">
      <c r="B34" s="4" t="s">
        <v>365</v>
      </c>
      <c r="D34" s="9">
        <f>XIRR(D31:P31,D7:P7)</f>
        <v>1.7943301796913148E-2</v>
      </c>
    </row>
    <row r="36" spans="1:4" s="24" customFormat="1" ht="17.5" customHeight="1" x14ac:dyDescent="0.35">
      <c r="A36" s="24" t="s">
        <v>332</v>
      </c>
    </row>
    <row r="38" spans="1:4" ht="17.5" customHeight="1" x14ac:dyDescent="0.35">
      <c r="B38" s="4" t="s">
        <v>333</v>
      </c>
    </row>
    <row r="39" spans="1:4" ht="17.5" customHeight="1" x14ac:dyDescent="0.35">
      <c r="B39" s="11" t="s">
        <v>320</v>
      </c>
      <c r="C39" s="11"/>
      <c r="D39" s="4">
        <f>-D28</f>
        <v>180450.04328000007</v>
      </c>
    </row>
    <row r="40" spans="1:4" ht="17.5" customHeight="1" x14ac:dyDescent="0.35">
      <c r="B40" s="11" t="s">
        <v>337</v>
      </c>
      <c r="C40" s="11"/>
      <c r="D40" s="4">
        <f>'LBO transaction assumption'!D22</f>
        <v>38132</v>
      </c>
    </row>
    <row r="41" spans="1:4" ht="17.5" customHeight="1" x14ac:dyDescent="0.35">
      <c r="B41" s="11" t="s">
        <v>329</v>
      </c>
      <c r="C41" s="11"/>
      <c r="D41" s="4">
        <f>'LBO transaction assumption'!D19*SUM(D46:D48)</f>
        <v>903.60662400000047</v>
      </c>
    </row>
    <row r="42" spans="1:4" ht="17.5" customHeight="1" x14ac:dyDescent="0.35">
      <c r="B42" s="11" t="s">
        <v>338</v>
      </c>
      <c r="C42" s="11"/>
      <c r="D42" s="4">
        <f>'LBO transaction assumption'!D20*LBO!D39</f>
        <v>1804.5004328000007</v>
      </c>
    </row>
    <row r="43" spans="1:4" ht="17.5" customHeight="1" thickBot="1" x14ac:dyDescent="0.4">
      <c r="B43" s="21" t="s">
        <v>260</v>
      </c>
      <c r="C43" s="21"/>
      <c r="D43" s="21">
        <f>SUM(D39:D42)</f>
        <v>221290.15033680008</v>
      </c>
    </row>
    <row r="45" spans="1:4" ht="17.5" customHeight="1" x14ac:dyDescent="0.35">
      <c r="B45" s="4" t="s">
        <v>334</v>
      </c>
    </row>
    <row r="46" spans="1:4" ht="17.5" customHeight="1" x14ac:dyDescent="0.35">
      <c r="B46" s="11" t="s">
        <v>335</v>
      </c>
      <c r="C46" s="11"/>
      <c r="D46" s="4">
        <f>'LBO transaction assumption'!D26*LBO!D24</f>
        <v>45180.331200000022</v>
      </c>
    </row>
    <row r="47" spans="1:4" ht="17.5" customHeight="1" x14ac:dyDescent="0.35">
      <c r="B47" s="11" t="s">
        <v>339</v>
      </c>
      <c r="C47" s="11"/>
      <c r="D47" s="4">
        <f>'LBO transaction assumption'!D29*LBO!D24</f>
        <v>22590.165600000011</v>
      </c>
    </row>
    <row r="48" spans="1:4" ht="17.5" customHeight="1" x14ac:dyDescent="0.35">
      <c r="B48" s="11" t="s">
        <v>340</v>
      </c>
      <c r="C48" s="11"/>
      <c r="D48" s="4">
        <f>'LBO transaction assumption'!D32*LBO!D24</f>
        <v>22590.165600000011</v>
      </c>
    </row>
    <row r="49" spans="1:21" ht="17.5" customHeight="1" x14ac:dyDescent="0.35">
      <c r="B49" s="11" t="s">
        <v>366</v>
      </c>
      <c r="C49" s="11"/>
    </row>
    <row r="50" spans="1:21" ht="17.5" customHeight="1" x14ac:dyDescent="0.35">
      <c r="B50" s="11" t="s">
        <v>341</v>
      </c>
      <c r="C50" s="11"/>
      <c r="D50" s="4">
        <f>D43-SUM(D46:D48)</f>
        <v>130929.48793680004</v>
      </c>
    </row>
    <row r="51" spans="1:21" ht="17.5" customHeight="1" thickBot="1" x14ac:dyDescent="0.4">
      <c r="B51" s="21" t="s">
        <v>342</v>
      </c>
      <c r="C51" s="21"/>
      <c r="D51" s="21">
        <f>SUM(D46:D50)</f>
        <v>221290.15033680008</v>
      </c>
    </row>
    <row r="54" spans="1:21" s="24" customFormat="1" ht="17.5" customHeight="1" x14ac:dyDescent="0.35">
      <c r="A54" s="24" t="s">
        <v>377</v>
      </c>
    </row>
    <row r="55" spans="1:21" ht="17.5" customHeight="1" x14ac:dyDescent="0.35">
      <c r="B55" s="5" t="s">
        <v>343</v>
      </c>
      <c r="C55" s="5"/>
    </row>
    <row r="56" spans="1:21" ht="17.5" customHeight="1" x14ac:dyDescent="0.35">
      <c r="B56" s="11" t="s">
        <v>344</v>
      </c>
      <c r="C56" s="11"/>
      <c r="E56" s="4">
        <f>D59</f>
        <v>45180.331200000022</v>
      </c>
      <c r="F56" s="4">
        <f t="shared" ref="F56:P56" si="12">E59</f>
        <v>40521.226726090019</v>
      </c>
      <c r="G56" s="4">
        <f t="shared" si="12"/>
        <v>35883.077273680916</v>
      </c>
      <c r="H56" s="4">
        <f t="shared" si="12"/>
        <v>31037.413066874535</v>
      </c>
      <c r="I56" s="4">
        <f t="shared" si="12"/>
        <v>26094.835575932026</v>
      </c>
      <c r="J56" s="4">
        <f t="shared" si="12"/>
        <v>21053.406535170667</v>
      </c>
      <c r="K56" s="4">
        <f t="shared" si="12"/>
        <v>15911.148913594079</v>
      </c>
      <c r="L56" s="4">
        <f t="shared" si="12"/>
        <v>10666.04613958596</v>
      </c>
      <c r="M56" s="4">
        <f t="shared" si="12"/>
        <v>5316.0413100976784</v>
      </c>
      <c r="N56" s="4">
        <f t="shared" si="12"/>
        <v>0</v>
      </c>
      <c r="O56" s="4">
        <f t="shared" si="12"/>
        <v>0</v>
      </c>
      <c r="P56" s="4">
        <f t="shared" si="12"/>
        <v>0</v>
      </c>
      <c r="Q56" s="4">
        <f>P59</f>
        <v>0</v>
      </c>
      <c r="R56" s="4">
        <f>Q59</f>
        <v>0</v>
      </c>
      <c r="S56" s="4">
        <f>R59</f>
        <v>0</v>
      </c>
      <c r="T56" s="4">
        <f>S59</f>
        <v>0</v>
      </c>
      <c r="U56" s="4">
        <f>T59</f>
        <v>0</v>
      </c>
    </row>
    <row r="57" spans="1:21" ht="17.5" customHeight="1" x14ac:dyDescent="0.35">
      <c r="B57" s="11" t="s">
        <v>345</v>
      </c>
      <c r="C57" s="11"/>
      <c r="D57" s="4">
        <f>D46</f>
        <v>45180.331200000022</v>
      </c>
    </row>
    <row r="58" spans="1:21" ht="17.5" customHeight="1" x14ac:dyDescent="0.35">
      <c r="B58" s="11" t="s">
        <v>346</v>
      </c>
      <c r="C58" s="11"/>
      <c r="E58" s="4">
        <f>E87</f>
        <v>4659.1044739100034</v>
      </c>
      <c r="F58" s="4">
        <f t="shared" ref="F58:P58" si="13">F87</f>
        <v>4638.1494524090995</v>
      </c>
      <c r="G58" s="4">
        <f t="shared" si="13"/>
        <v>4845.6642068063829</v>
      </c>
      <c r="H58" s="4">
        <f t="shared" si="13"/>
        <v>4942.5774909425108</v>
      </c>
      <c r="I58" s="4">
        <f t="shared" si="13"/>
        <v>5041.4290407613607</v>
      </c>
      <c r="J58" s="4">
        <f t="shared" si="13"/>
        <v>5142.2576215765876</v>
      </c>
      <c r="K58" s="4">
        <f t="shared" si="13"/>
        <v>5245.1027740081199</v>
      </c>
      <c r="L58" s="4">
        <f t="shared" si="13"/>
        <v>5350.0048294882818</v>
      </c>
      <c r="M58" s="4">
        <f t="shared" si="13"/>
        <v>5316.0413100976784</v>
      </c>
      <c r="N58" s="4">
        <f t="shared" si="13"/>
        <v>0</v>
      </c>
      <c r="O58" s="4">
        <f t="shared" si="13"/>
        <v>0</v>
      </c>
      <c r="P58" s="4">
        <f t="shared" si="13"/>
        <v>0</v>
      </c>
      <c r="Q58" s="4">
        <f>Q87</f>
        <v>0</v>
      </c>
      <c r="R58" s="4">
        <f>R87</f>
        <v>0</v>
      </c>
      <c r="S58" s="4">
        <f>S87</f>
        <v>0</v>
      </c>
      <c r="T58" s="4">
        <f>T87</f>
        <v>0</v>
      </c>
      <c r="U58" s="4">
        <f>U87</f>
        <v>0</v>
      </c>
    </row>
    <row r="59" spans="1:21" ht="17.5" customHeight="1" x14ac:dyDescent="0.35">
      <c r="B59" s="11" t="s">
        <v>347</v>
      </c>
      <c r="C59" s="11"/>
      <c r="D59" s="4">
        <f>D56+D57-D58</f>
        <v>45180.331200000022</v>
      </c>
      <c r="E59" s="4">
        <f>E56+E57-E58</f>
        <v>40521.226726090019</v>
      </c>
      <c r="F59" s="4">
        <f t="shared" ref="F59:P59" si="14">F56+F57-F58</f>
        <v>35883.077273680916</v>
      </c>
      <c r="G59" s="4">
        <f t="shared" si="14"/>
        <v>31037.413066874535</v>
      </c>
      <c r="H59" s="4">
        <f t="shared" si="14"/>
        <v>26094.835575932026</v>
      </c>
      <c r="I59" s="4">
        <f t="shared" si="14"/>
        <v>21053.406535170667</v>
      </c>
      <c r="J59" s="4">
        <f t="shared" si="14"/>
        <v>15911.148913594079</v>
      </c>
      <c r="K59" s="4">
        <f t="shared" si="14"/>
        <v>10666.04613958596</v>
      </c>
      <c r="L59" s="4">
        <f t="shared" si="14"/>
        <v>5316.0413100976784</v>
      </c>
      <c r="M59" s="4">
        <f t="shared" si="14"/>
        <v>0</v>
      </c>
      <c r="N59" s="4">
        <f t="shared" si="14"/>
        <v>0</v>
      </c>
      <c r="O59" s="4">
        <f t="shared" si="14"/>
        <v>0</v>
      </c>
      <c r="P59" s="4">
        <f t="shared" si="14"/>
        <v>0</v>
      </c>
      <c r="Q59" s="4">
        <f>Q56+Q57-Q58</f>
        <v>0</v>
      </c>
      <c r="R59" s="4">
        <f>R56+R57-R58</f>
        <v>0</v>
      </c>
      <c r="S59" s="4">
        <f>S56+S57-S58</f>
        <v>0</v>
      </c>
      <c r="T59" s="4">
        <f>T56+T57-T58</f>
        <v>0</v>
      </c>
      <c r="U59" s="4">
        <f>U56+U57-U58</f>
        <v>0</v>
      </c>
    </row>
    <row r="60" spans="1:21" ht="17.5" customHeight="1" x14ac:dyDescent="0.35">
      <c r="B60" s="11"/>
      <c r="C60" s="11"/>
    </row>
    <row r="61" spans="1:21" ht="17.5" customHeight="1" x14ac:dyDescent="0.35">
      <c r="B61" s="11" t="s">
        <v>305</v>
      </c>
      <c r="C61" s="22">
        <f>'LBO transaction assumption'!D27</f>
        <v>0.02</v>
      </c>
      <c r="D61" s="4">
        <f>D56*$C61</f>
        <v>0</v>
      </c>
      <c r="E61" s="4">
        <f t="shared" ref="E61:P61" si="15">E56*$C61</f>
        <v>903.60662400000047</v>
      </c>
      <c r="F61" s="4">
        <f t="shared" si="15"/>
        <v>810.42453452180041</v>
      </c>
      <c r="G61" s="4">
        <f t="shared" si="15"/>
        <v>717.66154547361828</v>
      </c>
      <c r="H61" s="4">
        <f t="shared" si="15"/>
        <v>620.7482613374907</v>
      </c>
      <c r="I61" s="4">
        <f t="shared" si="15"/>
        <v>521.89671151864047</v>
      </c>
      <c r="J61" s="4">
        <f t="shared" si="15"/>
        <v>421.06813070341332</v>
      </c>
      <c r="K61" s="4">
        <f t="shared" si="15"/>
        <v>318.22297827188157</v>
      </c>
      <c r="L61" s="4">
        <f t="shared" si="15"/>
        <v>213.3209227917192</v>
      </c>
      <c r="M61" s="4">
        <f t="shared" si="15"/>
        <v>106.32082620195357</v>
      </c>
      <c r="N61" s="4">
        <f t="shared" si="15"/>
        <v>0</v>
      </c>
      <c r="O61" s="4">
        <f t="shared" si="15"/>
        <v>0</v>
      </c>
      <c r="P61" s="4">
        <f t="shared" si="15"/>
        <v>0</v>
      </c>
      <c r="Q61" s="4">
        <f>Q56*$C61</f>
        <v>0</v>
      </c>
      <c r="R61" s="4">
        <f>R56*$C61</f>
        <v>0</v>
      </c>
      <c r="S61" s="4">
        <f>S56*$C61</f>
        <v>0</v>
      </c>
      <c r="T61" s="4">
        <f>T56*$C61</f>
        <v>0</v>
      </c>
      <c r="U61" s="4">
        <f>U56*$C61</f>
        <v>0</v>
      </c>
    </row>
    <row r="63" spans="1:21" ht="17.5" customHeight="1" x14ac:dyDescent="0.35">
      <c r="B63" s="5" t="s">
        <v>348</v>
      </c>
      <c r="C63" s="5"/>
    </row>
    <row r="64" spans="1:21" ht="17.5" customHeight="1" x14ac:dyDescent="0.35">
      <c r="B64" s="11" t="s">
        <v>344</v>
      </c>
      <c r="C64" s="11"/>
      <c r="E64" s="4">
        <f>D67</f>
        <v>22590.165600000011</v>
      </c>
      <c r="F64" s="4">
        <f t="shared" ref="F64:P64" si="16">E67</f>
        <v>23267.870568000013</v>
      </c>
      <c r="G64" s="4">
        <f t="shared" si="16"/>
        <v>23965.906685040012</v>
      </c>
      <c r="H64" s="4">
        <f t="shared" si="16"/>
        <v>24684.883885591211</v>
      </c>
      <c r="I64" s="4">
        <f t="shared" si="16"/>
        <v>25425.430402158949</v>
      </c>
      <c r="J64" s="4">
        <f t="shared" si="16"/>
        <v>26188.193314223718</v>
      </c>
      <c r="K64" s="4">
        <f t="shared" si="16"/>
        <v>26973.839113650429</v>
      </c>
      <c r="L64" s="4">
        <f t="shared" si="16"/>
        <v>27783.054287059942</v>
      </c>
      <c r="M64" s="4">
        <f t="shared" si="16"/>
        <v>28616.545915671741</v>
      </c>
      <c r="N64" s="4">
        <f t="shared" si="16"/>
        <v>29334.078677161524</v>
      </c>
      <c r="O64" s="4">
        <f t="shared" si="16"/>
        <v>0</v>
      </c>
      <c r="P64" s="4">
        <f t="shared" si="16"/>
        <v>0</v>
      </c>
      <c r="Q64" s="4">
        <f>P67</f>
        <v>0</v>
      </c>
      <c r="R64" s="4">
        <f>Q67</f>
        <v>0</v>
      </c>
      <c r="S64" s="4">
        <f>R67</f>
        <v>0</v>
      </c>
      <c r="T64" s="4">
        <f>S67</f>
        <v>0</v>
      </c>
      <c r="U64" s="4">
        <f>T67</f>
        <v>0</v>
      </c>
    </row>
    <row r="65" spans="1:21" ht="17.5" customHeight="1" x14ac:dyDescent="0.35">
      <c r="B65" s="11" t="s">
        <v>345</v>
      </c>
      <c r="C65" s="11"/>
      <c r="D65" s="4">
        <f>D47</f>
        <v>22590.165600000011</v>
      </c>
    </row>
    <row r="66" spans="1:21" ht="17.5" customHeight="1" x14ac:dyDescent="0.35">
      <c r="B66" s="11" t="s">
        <v>346</v>
      </c>
      <c r="C66" s="11"/>
      <c r="E66" s="4">
        <f>E91</f>
        <v>-677.70496800000035</v>
      </c>
      <c r="F66" s="4">
        <f t="shared" ref="F66:P66" si="17">F91</f>
        <v>-698.03611704000036</v>
      </c>
      <c r="G66" s="4">
        <f t="shared" si="17"/>
        <v>-718.97720055120033</v>
      </c>
      <c r="H66" s="4">
        <f t="shared" si="17"/>
        <v>-740.54651656773626</v>
      </c>
      <c r="I66" s="4">
        <f t="shared" si="17"/>
        <v>-762.76291206476844</v>
      </c>
      <c r="J66" s="4">
        <f t="shared" si="17"/>
        <v>-785.64579942671151</v>
      </c>
      <c r="K66" s="4">
        <f t="shared" si="17"/>
        <v>-809.21517340951289</v>
      </c>
      <c r="L66" s="4">
        <f t="shared" si="17"/>
        <v>-833.49162861179821</v>
      </c>
      <c r="M66" s="4">
        <f t="shared" si="17"/>
        <v>-717.53276148978273</v>
      </c>
      <c r="N66" s="4">
        <f t="shared" si="17"/>
        <v>29334.078677161524</v>
      </c>
      <c r="O66" s="4">
        <f t="shared" si="17"/>
        <v>0</v>
      </c>
      <c r="P66" s="4">
        <f t="shared" si="17"/>
        <v>0</v>
      </c>
      <c r="Q66" s="4">
        <f>Q91</f>
        <v>0</v>
      </c>
      <c r="R66" s="4">
        <f>R91</f>
        <v>0</v>
      </c>
      <c r="S66" s="4">
        <f>S91</f>
        <v>0</v>
      </c>
      <c r="T66" s="4">
        <f>T91</f>
        <v>0</v>
      </c>
      <c r="U66" s="4">
        <f>U91</f>
        <v>0</v>
      </c>
    </row>
    <row r="67" spans="1:21" ht="17.5" customHeight="1" x14ac:dyDescent="0.35">
      <c r="B67" s="11" t="s">
        <v>347</v>
      </c>
      <c r="C67" s="11"/>
      <c r="D67" s="4">
        <f>D64+D65-D66</f>
        <v>22590.165600000011</v>
      </c>
      <c r="E67" s="4">
        <f t="shared" ref="E67:P67" si="18">E64+E65-E66</f>
        <v>23267.870568000013</v>
      </c>
      <c r="F67" s="4">
        <f t="shared" si="18"/>
        <v>23965.906685040012</v>
      </c>
      <c r="G67" s="4">
        <f t="shared" si="18"/>
        <v>24684.883885591211</v>
      </c>
      <c r="H67" s="4">
        <f t="shared" si="18"/>
        <v>25425.430402158949</v>
      </c>
      <c r="I67" s="4">
        <f t="shared" si="18"/>
        <v>26188.193314223718</v>
      </c>
      <c r="J67" s="4">
        <f t="shared" si="18"/>
        <v>26973.839113650429</v>
      </c>
      <c r="K67" s="4">
        <f t="shared" si="18"/>
        <v>27783.054287059942</v>
      </c>
      <c r="L67" s="4">
        <f t="shared" si="18"/>
        <v>28616.545915671741</v>
      </c>
      <c r="M67" s="4">
        <f t="shared" si="18"/>
        <v>29334.078677161524</v>
      </c>
      <c r="N67" s="4">
        <f t="shared" si="18"/>
        <v>0</v>
      </c>
      <c r="O67" s="4">
        <f t="shared" si="18"/>
        <v>0</v>
      </c>
      <c r="P67" s="4">
        <f t="shared" si="18"/>
        <v>0</v>
      </c>
      <c r="Q67" s="4">
        <f>Q64+Q65-Q66</f>
        <v>0</v>
      </c>
      <c r="R67" s="4">
        <f>R64+R65-R66</f>
        <v>0</v>
      </c>
      <c r="S67" s="4">
        <f>S64+S65-S66</f>
        <v>0</v>
      </c>
      <c r="T67" s="4">
        <f>T64+T65-T66</f>
        <v>0</v>
      </c>
      <c r="U67" s="4">
        <f>U64+U65-U66</f>
        <v>0</v>
      </c>
    </row>
    <row r="68" spans="1:21" ht="17.5" customHeight="1" x14ac:dyDescent="0.35">
      <c r="B68" s="11"/>
      <c r="C68" s="11"/>
    </row>
    <row r="69" spans="1:21" ht="17.5" customHeight="1" x14ac:dyDescent="0.35">
      <c r="B69" s="11" t="s">
        <v>305</v>
      </c>
      <c r="C69" s="22">
        <f>'LBO transaction assumption'!D30</f>
        <v>0.03</v>
      </c>
      <c r="D69" s="4">
        <f>D64*$C69</f>
        <v>0</v>
      </c>
      <c r="E69" s="4">
        <f t="shared" ref="E69:P69" si="19">E64*$C69</f>
        <v>677.70496800000035</v>
      </c>
      <c r="F69" s="4">
        <f t="shared" si="19"/>
        <v>698.03611704000036</v>
      </c>
      <c r="G69" s="4">
        <f t="shared" si="19"/>
        <v>718.97720055120033</v>
      </c>
      <c r="H69" s="4">
        <f t="shared" si="19"/>
        <v>740.54651656773626</v>
      </c>
      <c r="I69" s="4">
        <f t="shared" si="19"/>
        <v>762.76291206476844</v>
      </c>
      <c r="J69" s="4">
        <f t="shared" si="19"/>
        <v>785.64579942671151</v>
      </c>
      <c r="K69" s="4">
        <f t="shared" si="19"/>
        <v>809.21517340951289</v>
      </c>
      <c r="L69" s="4">
        <f t="shared" si="19"/>
        <v>833.49162861179821</v>
      </c>
      <c r="M69" s="4">
        <f t="shared" si="19"/>
        <v>858.4963774701522</v>
      </c>
      <c r="N69" s="4">
        <f t="shared" si="19"/>
        <v>880.02236031484574</v>
      </c>
      <c r="O69" s="4">
        <f t="shared" si="19"/>
        <v>0</v>
      </c>
      <c r="P69" s="4">
        <f t="shared" si="19"/>
        <v>0</v>
      </c>
      <c r="Q69" s="4">
        <f>Q64*$C69</f>
        <v>0</v>
      </c>
      <c r="R69" s="4">
        <f>R64*$C69</f>
        <v>0</v>
      </c>
      <c r="S69" s="4">
        <f>S64*$C69</f>
        <v>0</v>
      </c>
      <c r="T69" s="4">
        <f>T64*$C69</f>
        <v>0</v>
      </c>
      <c r="U69" s="4">
        <f>U64*$C69</f>
        <v>0</v>
      </c>
    </row>
    <row r="71" spans="1:21" ht="17.5" customHeight="1" x14ac:dyDescent="0.35">
      <c r="B71" s="5" t="s">
        <v>349</v>
      </c>
      <c r="C71" s="5"/>
    </row>
    <row r="72" spans="1:21" ht="17.5" customHeight="1" x14ac:dyDescent="0.35">
      <c r="B72" s="11" t="s">
        <v>344</v>
      </c>
      <c r="C72" s="11"/>
      <c r="E72" s="4">
        <f>D76</f>
        <v>22590.165600000011</v>
      </c>
      <c r="F72" s="4">
        <f t="shared" ref="F72:P72" si="20">E76</f>
        <v>23493.772224000011</v>
      </c>
      <c r="G72" s="4">
        <f t="shared" si="20"/>
        <v>24433.523112960011</v>
      </c>
      <c r="H72" s="4">
        <f t="shared" si="20"/>
        <v>25410.864037478412</v>
      </c>
      <c r="I72" s="4">
        <f t="shared" si="20"/>
        <v>26427.298598977548</v>
      </c>
      <c r="J72" s="4">
        <f t="shared" si="20"/>
        <v>27484.39054293665</v>
      </c>
      <c r="K72" s="4">
        <f t="shared" si="20"/>
        <v>28583.766164654116</v>
      </c>
      <c r="L72" s="4">
        <f t="shared" si="20"/>
        <v>29727.116811240281</v>
      </c>
      <c r="M72" s="4">
        <f t="shared" si="20"/>
        <v>30916.201483689892</v>
      </c>
      <c r="N72" s="4">
        <f t="shared" si="20"/>
        <v>32152.84954303749</v>
      </c>
      <c r="O72" s="4">
        <f t="shared" si="20"/>
        <v>0</v>
      </c>
      <c r="P72" s="4">
        <f t="shared" si="20"/>
        <v>0</v>
      </c>
      <c r="Q72" s="4">
        <f>P76</f>
        <v>0</v>
      </c>
      <c r="R72" s="4">
        <f>Q76</f>
        <v>0</v>
      </c>
      <c r="S72" s="4">
        <f>R76</f>
        <v>0</v>
      </c>
      <c r="T72" s="4">
        <f>S76</f>
        <v>0</v>
      </c>
      <c r="U72" s="4">
        <f>T76</f>
        <v>0</v>
      </c>
    </row>
    <row r="73" spans="1:21" ht="17.5" customHeight="1" x14ac:dyDescent="0.35">
      <c r="B73" s="11" t="s">
        <v>345</v>
      </c>
      <c r="C73" s="11"/>
      <c r="D73" s="4">
        <f>D48</f>
        <v>22590.165600000011</v>
      </c>
    </row>
    <row r="74" spans="1:21" ht="17.5" customHeight="1" x14ac:dyDescent="0.35">
      <c r="B74" s="11" t="s">
        <v>305</v>
      </c>
      <c r="C74" s="22">
        <f>'LBO transaction assumption'!D33</f>
        <v>0.04</v>
      </c>
      <c r="E74" s="4">
        <f>E72*$C74</f>
        <v>903.60662400000047</v>
      </c>
      <c r="F74" s="4">
        <f t="shared" ref="F74:P74" si="21">F72*$C74</f>
        <v>939.75088896000045</v>
      </c>
      <c r="G74" s="4">
        <f t="shared" si="21"/>
        <v>977.34092451840047</v>
      </c>
      <c r="H74" s="4">
        <f t="shared" si="21"/>
        <v>1016.4345614991365</v>
      </c>
      <c r="I74" s="4">
        <f t="shared" si="21"/>
        <v>1057.0919439591019</v>
      </c>
      <c r="J74" s="4">
        <f t="shared" si="21"/>
        <v>1099.3756217174659</v>
      </c>
      <c r="K74" s="4">
        <f t="shared" si="21"/>
        <v>1143.3506465861647</v>
      </c>
      <c r="L74" s="4">
        <f t="shared" si="21"/>
        <v>1189.0846724496112</v>
      </c>
      <c r="M74" s="4">
        <f t="shared" si="21"/>
        <v>1236.6480593475958</v>
      </c>
      <c r="N74" s="4">
        <f t="shared" si="21"/>
        <v>1286.1139817214996</v>
      </c>
      <c r="O74" s="4">
        <f t="shared" si="21"/>
        <v>0</v>
      </c>
      <c r="P74" s="4">
        <f t="shared" si="21"/>
        <v>0</v>
      </c>
      <c r="Q74" s="4">
        <f>Q72*$C74</f>
        <v>0</v>
      </c>
      <c r="R74" s="4">
        <f>R72*$C74</f>
        <v>0</v>
      </c>
      <c r="S74" s="4">
        <f>S72*$C74</f>
        <v>0</v>
      </c>
      <c r="T74" s="4">
        <f>T72*$C74</f>
        <v>0</v>
      </c>
      <c r="U74" s="4">
        <f>U72*$C74</f>
        <v>0</v>
      </c>
    </row>
    <row r="75" spans="1:21" ht="17.5" customHeight="1" x14ac:dyDescent="0.35">
      <c r="B75" s="11" t="s">
        <v>346</v>
      </c>
      <c r="C75" s="11"/>
      <c r="E75" s="4">
        <f>E93</f>
        <v>0</v>
      </c>
      <c r="F75" s="4">
        <f t="shared" ref="F75:P75" si="22">F93</f>
        <v>0</v>
      </c>
      <c r="G75" s="4">
        <f t="shared" si="22"/>
        <v>0</v>
      </c>
      <c r="H75" s="4">
        <f t="shared" si="22"/>
        <v>0</v>
      </c>
      <c r="I75" s="4">
        <f t="shared" si="22"/>
        <v>0</v>
      </c>
      <c r="J75" s="4">
        <f t="shared" si="22"/>
        <v>0</v>
      </c>
      <c r="K75" s="4">
        <f t="shared" si="22"/>
        <v>0</v>
      </c>
      <c r="L75" s="4">
        <f t="shared" si="22"/>
        <v>0</v>
      </c>
      <c r="M75" s="4">
        <f t="shared" si="22"/>
        <v>0</v>
      </c>
      <c r="N75" s="4">
        <f t="shared" si="22"/>
        <v>33438.96352475899</v>
      </c>
      <c r="O75" s="4">
        <f t="shared" si="22"/>
        <v>0</v>
      </c>
      <c r="P75" s="4">
        <f t="shared" si="22"/>
        <v>0</v>
      </c>
      <c r="Q75" s="4">
        <f>Q93</f>
        <v>0</v>
      </c>
      <c r="R75" s="4">
        <f>R93</f>
        <v>0</v>
      </c>
      <c r="S75" s="4">
        <f>S93</f>
        <v>0</v>
      </c>
      <c r="T75" s="4">
        <f>T93</f>
        <v>0</v>
      </c>
      <c r="U75" s="4">
        <f>U93</f>
        <v>0</v>
      </c>
    </row>
    <row r="76" spans="1:21" ht="17.5" customHeight="1" x14ac:dyDescent="0.35">
      <c r="B76" s="11" t="s">
        <v>347</v>
      </c>
      <c r="C76" s="11"/>
      <c r="D76" s="4">
        <f>D72+D73+D74-D75</f>
        <v>22590.165600000011</v>
      </c>
      <c r="E76" s="4">
        <f t="shared" ref="E76:P76" si="23">E72+E73+E74-E75</f>
        <v>23493.772224000011</v>
      </c>
      <c r="F76" s="4">
        <f t="shared" si="23"/>
        <v>24433.523112960011</v>
      </c>
      <c r="G76" s="4">
        <f t="shared" si="23"/>
        <v>25410.864037478412</v>
      </c>
      <c r="H76" s="4">
        <f t="shared" si="23"/>
        <v>26427.298598977548</v>
      </c>
      <c r="I76" s="4">
        <f t="shared" si="23"/>
        <v>27484.39054293665</v>
      </c>
      <c r="J76" s="4">
        <f t="shared" si="23"/>
        <v>28583.766164654116</v>
      </c>
      <c r="K76" s="4">
        <f t="shared" si="23"/>
        <v>29727.116811240281</v>
      </c>
      <c r="L76" s="4">
        <f t="shared" si="23"/>
        <v>30916.201483689892</v>
      </c>
      <c r="M76" s="4">
        <f t="shared" si="23"/>
        <v>32152.84954303749</v>
      </c>
      <c r="N76" s="4">
        <f t="shared" si="23"/>
        <v>0</v>
      </c>
      <c r="O76" s="4">
        <f t="shared" si="23"/>
        <v>0</v>
      </c>
      <c r="P76" s="4">
        <f t="shared" si="23"/>
        <v>0</v>
      </c>
      <c r="Q76" s="4">
        <f>Q72+Q73+Q74-Q75</f>
        <v>0</v>
      </c>
      <c r="R76" s="4">
        <f>R72+R73+R74-R75</f>
        <v>0</v>
      </c>
      <c r="S76" s="4">
        <f>S72+S73+S74-S75</f>
        <v>0</v>
      </c>
      <c r="T76" s="4">
        <f>T72+T73+T74-T75</f>
        <v>0</v>
      </c>
      <c r="U76" s="4">
        <f>U72+U73+U74-U75</f>
        <v>0</v>
      </c>
    </row>
    <row r="78" spans="1:21" s="24" customFormat="1" ht="17.5" customHeight="1" x14ac:dyDescent="0.35">
      <c r="A78" s="24" t="s">
        <v>350</v>
      </c>
    </row>
    <row r="80" spans="1:21" ht="17.5" customHeight="1" x14ac:dyDescent="0.35">
      <c r="B80" s="4" t="s">
        <v>140</v>
      </c>
      <c r="E80" s="4">
        <f>E19</f>
        <v>11178.621972000001</v>
      </c>
      <c r="F80" s="4">
        <f t="shared" ref="F80:P80" si="24">F19</f>
        <v>11063.325752280001</v>
      </c>
      <c r="G80" s="4">
        <f t="shared" si="24"/>
        <v>11063.325752280001</v>
      </c>
      <c r="H80" s="4">
        <f t="shared" si="24"/>
        <v>11063.325752280001</v>
      </c>
      <c r="I80" s="4">
        <f t="shared" si="24"/>
        <v>11063.325752280001</v>
      </c>
      <c r="J80" s="4">
        <f t="shared" si="24"/>
        <v>11063.325752280001</v>
      </c>
      <c r="K80" s="4">
        <f t="shared" si="24"/>
        <v>11063.325752280001</v>
      </c>
      <c r="L80" s="4">
        <f t="shared" si="24"/>
        <v>11063.325752280001</v>
      </c>
      <c r="M80" s="4">
        <f t="shared" si="24"/>
        <v>11063.325752280001</v>
      </c>
      <c r="N80" s="4">
        <f t="shared" si="24"/>
        <v>11063.325752280001</v>
      </c>
      <c r="O80" s="4">
        <f t="shared" si="24"/>
        <v>0</v>
      </c>
      <c r="P80" s="4">
        <f t="shared" si="24"/>
        <v>0</v>
      </c>
      <c r="Q80" s="4">
        <f>Q19</f>
        <v>0</v>
      </c>
      <c r="R80" s="4">
        <f>R19</f>
        <v>0</v>
      </c>
      <c r="S80" s="4">
        <f>S19</f>
        <v>0</v>
      </c>
      <c r="T80" s="4">
        <f>T19</f>
        <v>0</v>
      </c>
      <c r="U80" s="4">
        <f>U19</f>
        <v>0</v>
      </c>
    </row>
    <row r="81" spans="2:21" ht="17.5" customHeight="1" x14ac:dyDescent="0.35">
      <c r="B81" s="4" t="s">
        <v>351</v>
      </c>
      <c r="E81" s="4">
        <f>E12</f>
        <v>115.91087408999738</v>
      </c>
      <c r="F81" s="4">
        <f t="shared" ref="F81:P81" si="25">F12</f>
        <v>114.75176534910133</v>
      </c>
      <c r="G81" s="4">
        <f t="shared" si="25"/>
        <v>0</v>
      </c>
      <c r="H81" s="4">
        <f t="shared" si="25"/>
        <v>0</v>
      </c>
      <c r="I81" s="4">
        <f t="shared" si="25"/>
        <v>0</v>
      </c>
      <c r="J81" s="4">
        <f t="shared" si="25"/>
        <v>0</v>
      </c>
      <c r="K81" s="4">
        <f t="shared" si="25"/>
        <v>0</v>
      </c>
      <c r="L81" s="4">
        <f t="shared" si="25"/>
        <v>0</v>
      </c>
      <c r="M81" s="4">
        <f t="shared" si="25"/>
        <v>0</v>
      </c>
      <c r="N81" s="4">
        <f t="shared" si="25"/>
        <v>0</v>
      </c>
      <c r="O81" s="4">
        <f t="shared" si="25"/>
        <v>0</v>
      </c>
      <c r="P81" s="4">
        <f t="shared" si="25"/>
        <v>0</v>
      </c>
      <c r="Q81" s="4">
        <f t="shared" ref="Q81:U82" si="26">Q12</f>
        <v>0</v>
      </c>
      <c r="R81" s="4">
        <f t="shared" si="26"/>
        <v>0</v>
      </c>
      <c r="S81" s="4">
        <f t="shared" si="26"/>
        <v>0</v>
      </c>
      <c r="T81" s="4">
        <f t="shared" si="26"/>
        <v>0</v>
      </c>
      <c r="U81" s="4">
        <f t="shared" si="26"/>
        <v>0</v>
      </c>
    </row>
    <row r="82" spans="2:21" ht="17.5" customHeight="1" x14ac:dyDescent="0.35">
      <c r="B82" s="4" t="s">
        <v>263</v>
      </c>
      <c r="E82" s="4">
        <f>E13</f>
        <v>5500</v>
      </c>
      <c r="F82" s="4">
        <f t="shared" ref="F82:P82" si="27">F13</f>
        <v>5500</v>
      </c>
      <c r="G82" s="4">
        <f t="shared" si="27"/>
        <v>5500</v>
      </c>
      <c r="H82" s="4">
        <f t="shared" si="27"/>
        <v>5500</v>
      </c>
      <c r="I82" s="4">
        <f t="shared" si="27"/>
        <v>5500</v>
      </c>
      <c r="J82" s="4">
        <f t="shared" si="27"/>
        <v>5500</v>
      </c>
      <c r="K82" s="4">
        <f t="shared" si="27"/>
        <v>5500</v>
      </c>
      <c r="L82" s="4">
        <f t="shared" si="27"/>
        <v>5500</v>
      </c>
      <c r="M82" s="4">
        <f t="shared" si="27"/>
        <v>5500</v>
      </c>
      <c r="N82" s="4">
        <f t="shared" si="27"/>
        <v>5500</v>
      </c>
      <c r="O82" s="4">
        <f t="shared" si="27"/>
        <v>0</v>
      </c>
      <c r="P82" s="4">
        <f t="shared" si="27"/>
        <v>0</v>
      </c>
      <c r="Q82" s="4">
        <f t="shared" si="26"/>
        <v>0</v>
      </c>
      <c r="R82" s="4">
        <f t="shared" si="26"/>
        <v>0</v>
      </c>
      <c r="S82" s="4">
        <f t="shared" si="26"/>
        <v>0</v>
      </c>
      <c r="T82" s="4">
        <f t="shared" si="26"/>
        <v>0</v>
      </c>
      <c r="U82" s="4">
        <f t="shared" si="26"/>
        <v>0</v>
      </c>
    </row>
    <row r="83" spans="2:21" ht="17.5" customHeight="1" x14ac:dyDescent="0.35">
      <c r="B83" s="4" t="s">
        <v>318</v>
      </c>
      <c r="E83" s="4">
        <f>E21</f>
        <v>0</v>
      </c>
      <c r="F83" s="4">
        <f t="shared" ref="F83:P83" si="28">F21</f>
        <v>0</v>
      </c>
      <c r="G83" s="4">
        <f t="shared" si="28"/>
        <v>0</v>
      </c>
      <c r="H83" s="4">
        <f t="shared" si="28"/>
        <v>0</v>
      </c>
      <c r="I83" s="4">
        <f t="shared" si="28"/>
        <v>0</v>
      </c>
      <c r="J83" s="4">
        <f t="shared" si="28"/>
        <v>0</v>
      </c>
      <c r="K83" s="4">
        <f t="shared" si="28"/>
        <v>0</v>
      </c>
      <c r="L83" s="4">
        <f t="shared" si="28"/>
        <v>0</v>
      </c>
      <c r="M83" s="4">
        <f t="shared" si="28"/>
        <v>0</v>
      </c>
      <c r="N83" s="4">
        <f t="shared" si="28"/>
        <v>154886.56053192003</v>
      </c>
      <c r="O83" s="4">
        <f t="shared" si="28"/>
        <v>0</v>
      </c>
      <c r="P83" s="4">
        <f t="shared" si="28"/>
        <v>0</v>
      </c>
      <c r="Q83" s="4">
        <f>Q21</f>
        <v>0</v>
      </c>
      <c r="R83" s="4">
        <f>R21</f>
        <v>0</v>
      </c>
      <c r="S83" s="4">
        <f>S21</f>
        <v>0</v>
      </c>
      <c r="T83" s="4">
        <f>T21</f>
        <v>0</v>
      </c>
      <c r="U83" s="4">
        <f>U21</f>
        <v>0</v>
      </c>
    </row>
    <row r="84" spans="2:21" ht="17.5" customHeight="1" thickBot="1" x14ac:dyDescent="0.4">
      <c r="B84" s="21" t="s">
        <v>311</v>
      </c>
      <c r="C84" s="21"/>
      <c r="D84" s="21"/>
      <c r="E84" s="21">
        <f>+E80-E81-E82+E83</f>
        <v>5562.7110979100034</v>
      </c>
      <c r="F84" s="21">
        <f t="shared" ref="F84:P84" si="29">+F80-F81-F82+F83</f>
        <v>5448.5739869309</v>
      </c>
      <c r="G84" s="21">
        <f t="shared" si="29"/>
        <v>5563.3257522800013</v>
      </c>
      <c r="H84" s="21">
        <f t="shared" si="29"/>
        <v>5563.3257522800013</v>
      </c>
      <c r="I84" s="21">
        <f t="shared" si="29"/>
        <v>5563.3257522800013</v>
      </c>
      <c r="J84" s="21">
        <f t="shared" si="29"/>
        <v>5563.3257522800013</v>
      </c>
      <c r="K84" s="21">
        <f t="shared" si="29"/>
        <v>5563.3257522800013</v>
      </c>
      <c r="L84" s="21">
        <f t="shared" si="29"/>
        <v>5563.3257522800013</v>
      </c>
      <c r="M84" s="21">
        <f t="shared" si="29"/>
        <v>5563.3257522800013</v>
      </c>
      <c r="N84" s="21">
        <f t="shared" si="29"/>
        <v>160449.88628420004</v>
      </c>
      <c r="O84" s="21">
        <f t="shared" si="29"/>
        <v>0</v>
      </c>
      <c r="P84" s="21">
        <f t="shared" si="29"/>
        <v>0</v>
      </c>
      <c r="Q84" s="21">
        <f>+Q80-Q81-Q82+Q83</f>
        <v>0</v>
      </c>
      <c r="R84" s="21">
        <f>+R80-R81-R82+R83</f>
        <v>0</v>
      </c>
      <c r="S84" s="21">
        <f>+S80-S81-S82+S83</f>
        <v>0</v>
      </c>
      <c r="T84" s="21">
        <f>+T80-T81-T82+T83</f>
        <v>0</v>
      </c>
      <c r="U84" s="21">
        <f>+U80-U81-U82+U83</f>
        <v>0</v>
      </c>
    </row>
    <row r="85" spans="2:21" ht="17.5" customHeight="1" x14ac:dyDescent="0.35">
      <c r="B85" s="4" t="s">
        <v>352</v>
      </c>
      <c r="E85" s="4">
        <f>E61</f>
        <v>903.60662400000047</v>
      </c>
      <c r="F85" s="4">
        <f t="shared" ref="F85:P85" si="30">F61</f>
        <v>810.42453452180041</v>
      </c>
      <c r="G85" s="4">
        <f t="shared" si="30"/>
        <v>717.66154547361828</v>
      </c>
      <c r="H85" s="4">
        <f t="shared" si="30"/>
        <v>620.7482613374907</v>
      </c>
      <c r="I85" s="4">
        <f t="shared" si="30"/>
        <v>521.89671151864047</v>
      </c>
      <c r="J85" s="4">
        <f t="shared" si="30"/>
        <v>421.06813070341332</v>
      </c>
      <c r="K85" s="4">
        <f t="shared" si="30"/>
        <v>318.22297827188157</v>
      </c>
      <c r="L85" s="4">
        <f t="shared" si="30"/>
        <v>213.3209227917192</v>
      </c>
      <c r="M85" s="4">
        <f t="shared" si="30"/>
        <v>106.32082620195357</v>
      </c>
      <c r="N85" s="4">
        <f t="shared" si="30"/>
        <v>0</v>
      </c>
      <c r="O85" s="4">
        <f t="shared" si="30"/>
        <v>0</v>
      </c>
      <c r="P85" s="4">
        <f t="shared" si="30"/>
        <v>0</v>
      </c>
      <c r="Q85" s="4">
        <f>Q61</f>
        <v>0</v>
      </c>
      <c r="R85" s="4">
        <f>R61</f>
        <v>0</v>
      </c>
      <c r="S85" s="4">
        <f>S61</f>
        <v>0</v>
      </c>
      <c r="T85" s="4">
        <f>T61</f>
        <v>0</v>
      </c>
      <c r="U85" s="4">
        <f>U61</f>
        <v>0</v>
      </c>
    </row>
    <row r="86" spans="2:21" ht="17.5" customHeight="1" thickBot="1" x14ac:dyDescent="0.4">
      <c r="B86" s="21" t="s">
        <v>353</v>
      </c>
      <c r="C86" s="21"/>
      <c r="D86" s="21"/>
      <c r="E86" s="21">
        <f>+E84-E85</f>
        <v>4659.1044739100034</v>
      </c>
      <c r="F86" s="21">
        <f t="shared" ref="F86:P86" si="31">+F84-F85</f>
        <v>4638.1494524090995</v>
      </c>
      <c r="G86" s="21">
        <f t="shared" si="31"/>
        <v>4845.6642068063829</v>
      </c>
      <c r="H86" s="21">
        <f t="shared" si="31"/>
        <v>4942.5774909425108</v>
      </c>
      <c r="I86" s="21">
        <f t="shared" si="31"/>
        <v>5041.4290407613607</v>
      </c>
      <c r="J86" s="21">
        <f t="shared" si="31"/>
        <v>5142.2576215765876</v>
      </c>
      <c r="K86" s="21">
        <f t="shared" si="31"/>
        <v>5245.1027740081199</v>
      </c>
      <c r="L86" s="21">
        <f t="shared" si="31"/>
        <v>5350.0048294882818</v>
      </c>
      <c r="M86" s="21">
        <f t="shared" si="31"/>
        <v>5457.0049260780479</v>
      </c>
      <c r="N86" s="21">
        <f t="shared" si="31"/>
        <v>160449.88628420004</v>
      </c>
      <c r="O86" s="21">
        <f t="shared" si="31"/>
        <v>0</v>
      </c>
      <c r="P86" s="21">
        <f t="shared" si="31"/>
        <v>0</v>
      </c>
      <c r="Q86" s="21">
        <f>+Q84-Q85</f>
        <v>0</v>
      </c>
      <c r="R86" s="21">
        <f>+R84-R85</f>
        <v>0</v>
      </c>
      <c r="S86" s="21">
        <f>+S84-S85</f>
        <v>0</v>
      </c>
      <c r="T86" s="21">
        <f>+T84-T85</f>
        <v>0</v>
      </c>
      <c r="U86" s="21">
        <f>+U84-U85</f>
        <v>0</v>
      </c>
    </row>
    <row r="87" spans="2:21" ht="17.5" customHeight="1" x14ac:dyDescent="0.35">
      <c r="B87" s="4" t="s">
        <v>354</v>
      </c>
      <c r="E87" s="4">
        <f>MIN(E86,E56)</f>
        <v>4659.1044739100034</v>
      </c>
      <c r="F87" s="4">
        <f t="shared" ref="F87:P87" si="32">MIN(F86,F56)</f>
        <v>4638.1494524090995</v>
      </c>
      <c r="G87" s="4">
        <f t="shared" si="32"/>
        <v>4845.6642068063829</v>
      </c>
      <c r="H87" s="4">
        <f t="shared" si="32"/>
        <v>4942.5774909425108</v>
      </c>
      <c r="I87" s="4">
        <f t="shared" si="32"/>
        <v>5041.4290407613607</v>
      </c>
      <c r="J87" s="4">
        <f t="shared" si="32"/>
        <v>5142.2576215765876</v>
      </c>
      <c r="K87" s="4">
        <f t="shared" si="32"/>
        <v>5245.1027740081199</v>
      </c>
      <c r="L87" s="4">
        <f t="shared" si="32"/>
        <v>5350.0048294882818</v>
      </c>
      <c r="M87" s="4">
        <f t="shared" si="32"/>
        <v>5316.0413100976784</v>
      </c>
      <c r="N87" s="4">
        <f t="shared" si="32"/>
        <v>0</v>
      </c>
      <c r="O87" s="4">
        <f t="shared" si="32"/>
        <v>0</v>
      </c>
      <c r="P87" s="4">
        <f t="shared" si="32"/>
        <v>0</v>
      </c>
      <c r="Q87" s="4">
        <f>MIN(Q86,Q56)</f>
        <v>0</v>
      </c>
      <c r="R87" s="4">
        <f>MIN(R86,R56)</f>
        <v>0</v>
      </c>
      <c r="S87" s="4">
        <f>MIN(S86,S56)</f>
        <v>0</v>
      </c>
      <c r="T87" s="4">
        <f>MIN(T86,T56)</f>
        <v>0</v>
      </c>
      <c r="U87" s="4">
        <f>MIN(U86,U56)</f>
        <v>0</v>
      </c>
    </row>
    <row r="88" spans="2:21" ht="17.5" customHeight="1" thickBot="1" x14ac:dyDescent="0.4">
      <c r="B88" s="21" t="s">
        <v>355</v>
      </c>
      <c r="C88" s="21"/>
      <c r="D88" s="21"/>
      <c r="E88" s="21">
        <f>E86-E87</f>
        <v>0</v>
      </c>
      <c r="F88" s="21">
        <f t="shared" ref="F88:P88" si="33">F86-F87</f>
        <v>0</v>
      </c>
      <c r="G88" s="21">
        <f t="shared" si="33"/>
        <v>0</v>
      </c>
      <c r="H88" s="21">
        <f t="shared" si="33"/>
        <v>0</v>
      </c>
      <c r="I88" s="21">
        <f t="shared" si="33"/>
        <v>0</v>
      </c>
      <c r="J88" s="21">
        <f t="shared" si="33"/>
        <v>0</v>
      </c>
      <c r="K88" s="21">
        <f t="shared" si="33"/>
        <v>0</v>
      </c>
      <c r="L88" s="21">
        <f t="shared" si="33"/>
        <v>0</v>
      </c>
      <c r="M88" s="21">
        <f t="shared" si="33"/>
        <v>140.96361598036947</v>
      </c>
      <c r="N88" s="21">
        <f t="shared" si="33"/>
        <v>160449.88628420004</v>
      </c>
      <c r="O88" s="21">
        <f t="shared" si="33"/>
        <v>0</v>
      </c>
      <c r="P88" s="21">
        <f t="shared" si="33"/>
        <v>0</v>
      </c>
      <c r="Q88" s="21">
        <f>Q86-Q87</f>
        <v>0</v>
      </c>
      <c r="R88" s="21">
        <f>R86-R87</f>
        <v>0</v>
      </c>
      <c r="S88" s="21">
        <f>S86-S87</f>
        <v>0</v>
      </c>
      <c r="T88" s="21">
        <f>T86-T87</f>
        <v>0</v>
      </c>
      <c r="U88" s="21">
        <f>U86-U87</f>
        <v>0</v>
      </c>
    </row>
    <row r="89" spans="2:21" ht="17.5" customHeight="1" x14ac:dyDescent="0.35">
      <c r="B89" s="4" t="s">
        <v>356</v>
      </c>
      <c r="E89" s="4">
        <f>E69</f>
        <v>677.70496800000035</v>
      </c>
      <c r="F89" s="4">
        <f t="shared" ref="F89:P89" si="34">F69</f>
        <v>698.03611704000036</v>
      </c>
      <c r="G89" s="4">
        <f t="shared" si="34"/>
        <v>718.97720055120033</v>
      </c>
      <c r="H89" s="4">
        <f t="shared" si="34"/>
        <v>740.54651656773626</v>
      </c>
      <c r="I89" s="4">
        <f t="shared" si="34"/>
        <v>762.76291206476844</v>
      </c>
      <c r="J89" s="4">
        <f t="shared" si="34"/>
        <v>785.64579942671151</v>
      </c>
      <c r="K89" s="4">
        <f t="shared" si="34"/>
        <v>809.21517340951289</v>
      </c>
      <c r="L89" s="4">
        <f t="shared" si="34"/>
        <v>833.49162861179821</v>
      </c>
      <c r="M89" s="4">
        <f t="shared" si="34"/>
        <v>858.4963774701522</v>
      </c>
      <c r="N89" s="4">
        <f t="shared" si="34"/>
        <v>880.02236031484574</v>
      </c>
      <c r="O89" s="4">
        <f t="shared" si="34"/>
        <v>0</v>
      </c>
      <c r="P89" s="4">
        <f t="shared" si="34"/>
        <v>0</v>
      </c>
      <c r="Q89" s="4">
        <f>Q69</f>
        <v>0</v>
      </c>
      <c r="R89" s="4">
        <f>R69</f>
        <v>0</v>
      </c>
      <c r="S89" s="4">
        <f>S69</f>
        <v>0</v>
      </c>
      <c r="T89" s="4">
        <f>T69</f>
        <v>0</v>
      </c>
      <c r="U89" s="4">
        <f>U69</f>
        <v>0</v>
      </c>
    </row>
    <row r="90" spans="2:21" ht="17.5" customHeight="1" thickBot="1" x14ac:dyDescent="0.4">
      <c r="B90" s="21" t="s">
        <v>353</v>
      </c>
      <c r="C90" s="21"/>
      <c r="D90" s="21"/>
      <c r="E90" s="21">
        <f>E88-E89</f>
        <v>-677.70496800000035</v>
      </c>
      <c r="F90" s="21">
        <f t="shared" ref="F90:P90" si="35">F88-F89</f>
        <v>-698.03611704000036</v>
      </c>
      <c r="G90" s="21">
        <f t="shared" si="35"/>
        <v>-718.97720055120033</v>
      </c>
      <c r="H90" s="21">
        <f t="shared" si="35"/>
        <v>-740.54651656773626</v>
      </c>
      <c r="I90" s="21">
        <f t="shared" si="35"/>
        <v>-762.76291206476844</v>
      </c>
      <c r="J90" s="21">
        <f t="shared" si="35"/>
        <v>-785.64579942671151</v>
      </c>
      <c r="K90" s="21">
        <f t="shared" si="35"/>
        <v>-809.21517340951289</v>
      </c>
      <c r="L90" s="21">
        <f t="shared" si="35"/>
        <v>-833.49162861179821</v>
      </c>
      <c r="M90" s="21">
        <f t="shared" si="35"/>
        <v>-717.53276148978273</v>
      </c>
      <c r="N90" s="21">
        <f t="shared" si="35"/>
        <v>159569.86392388519</v>
      </c>
      <c r="O90" s="21">
        <f t="shared" si="35"/>
        <v>0</v>
      </c>
      <c r="P90" s="21">
        <f t="shared" si="35"/>
        <v>0</v>
      </c>
      <c r="Q90" s="21">
        <f>Q88-Q89</f>
        <v>0</v>
      </c>
      <c r="R90" s="21">
        <f>R88-R89</f>
        <v>0</v>
      </c>
      <c r="S90" s="21">
        <f>S88-S89</f>
        <v>0</v>
      </c>
      <c r="T90" s="21">
        <f>T88-T89</f>
        <v>0</v>
      </c>
      <c r="U90" s="21">
        <f>U88-U89</f>
        <v>0</v>
      </c>
    </row>
    <row r="91" spans="2:21" ht="17.5" customHeight="1" x14ac:dyDescent="0.35">
      <c r="B91" s="4" t="s">
        <v>357</v>
      </c>
      <c r="E91" s="4">
        <f>MIN(E90,E64)</f>
        <v>-677.70496800000035</v>
      </c>
      <c r="F91" s="4">
        <f t="shared" ref="F91:P91" si="36">MIN(F90,F64)</f>
        <v>-698.03611704000036</v>
      </c>
      <c r="G91" s="4">
        <f t="shared" si="36"/>
        <v>-718.97720055120033</v>
      </c>
      <c r="H91" s="4">
        <f t="shared" si="36"/>
        <v>-740.54651656773626</v>
      </c>
      <c r="I91" s="4">
        <f t="shared" si="36"/>
        <v>-762.76291206476844</v>
      </c>
      <c r="J91" s="4">
        <f t="shared" si="36"/>
        <v>-785.64579942671151</v>
      </c>
      <c r="K91" s="4">
        <f t="shared" si="36"/>
        <v>-809.21517340951289</v>
      </c>
      <c r="L91" s="4">
        <f t="shared" si="36"/>
        <v>-833.49162861179821</v>
      </c>
      <c r="M91" s="4">
        <f t="shared" si="36"/>
        <v>-717.53276148978273</v>
      </c>
      <c r="N91" s="4">
        <f t="shared" si="36"/>
        <v>29334.078677161524</v>
      </c>
      <c r="O91" s="4">
        <f t="shared" si="36"/>
        <v>0</v>
      </c>
      <c r="P91" s="4">
        <f t="shared" si="36"/>
        <v>0</v>
      </c>
      <c r="Q91" s="4">
        <f>MIN(Q90,Q64)</f>
        <v>0</v>
      </c>
      <c r="R91" s="4">
        <f>MIN(R90,R64)</f>
        <v>0</v>
      </c>
      <c r="S91" s="4">
        <f>MIN(S90,S64)</f>
        <v>0</v>
      </c>
      <c r="T91" s="4">
        <f>MIN(T90,T64)</f>
        <v>0</v>
      </c>
      <c r="U91" s="4">
        <f>MIN(U90,U64)</f>
        <v>0</v>
      </c>
    </row>
    <row r="92" spans="2:21" ht="17.5" customHeight="1" thickBot="1" x14ac:dyDescent="0.4">
      <c r="B92" s="21" t="s">
        <v>353</v>
      </c>
      <c r="C92" s="21"/>
      <c r="D92" s="21"/>
      <c r="E92" s="21">
        <f>E90-E91</f>
        <v>0</v>
      </c>
      <c r="F92" s="21">
        <f t="shared" ref="F92:P92" si="37">F90-F91</f>
        <v>0</v>
      </c>
      <c r="G92" s="21">
        <f t="shared" si="37"/>
        <v>0</v>
      </c>
      <c r="H92" s="21">
        <f t="shared" si="37"/>
        <v>0</v>
      </c>
      <c r="I92" s="21">
        <f t="shared" si="37"/>
        <v>0</v>
      </c>
      <c r="J92" s="21">
        <f t="shared" si="37"/>
        <v>0</v>
      </c>
      <c r="K92" s="21">
        <f t="shared" si="37"/>
        <v>0</v>
      </c>
      <c r="L92" s="21">
        <f t="shared" si="37"/>
        <v>0</v>
      </c>
      <c r="M92" s="21">
        <f t="shared" si="37"/>
        <v>0</v>
      </c>
      <c r="N92" s="21">
        <f t="shared" si="37"/>
        <v>130235.78524672367</v>
      </c>
      <c r="O92" s="21">
        <f t="shared" si="37"/>
        <v>0</v>
      </c>
      <c r="P92" s="21">
        <f t="shared" si="37"/>
        <v>0</v>
      </c>
      <c r="Q92" s="21">
        <f>Q90-Q91</f>
        <v>0</v>
      </c>
      <c r="R92" s="21">
        <f>R90-R91</f>
        <v>0</v>
      </c>
      <c r="S92" s="21">
        <f>S90-S91</f>
        <v>0</v>
      </c>
      <c r="T92" s="21">
        <f>T90-T91</f>
        <v>0</v>
      </c>
      <c r="U92" s="21">
        <f>U90-U91</f>
        <v>0</v>
      </c>
    </row>
    <row r="93" spans="2:21" ht="17.5" customHeight="1" x14ac:dyDescent="0.35">
      <c r="B93" s="4" t="s">
        <v>358</v>
      </c>
      <c r="E93" s="4">
        <f>MIN(E92,E72+E74)</f>
        <v>0</v>
      </c>
      <c r="F93" s="4">
        <f t="shared" ref="F93:P93" si="38">MIN(F92,F72+F74)</f>
        <v>0</v>
      </c>
      <c r="G93" s="4">
        <f t="shared" si="38"/>
        <v>0</v>
      </c>
      <c r="H93" s="4">
        <f t="shared" si="38"/>
        <v>0</v>
      </c>
      <c r="I93" s="4">
        <f t="shared" si="38"/>
        <v>0</v>
      </c>
      <c r="J93" s="4">
        <f t="shared" si="38"/>
        <v>0</v>
      </c>
      <c r="K93" s="4">
        <f t="shared" si="38"/>
        <v>0</v>
      </c>
      <c r="L93" s="4">
        <f t="shared" si="38"/>
        <v>0</v>
      </c>
      <c r="M93" s="4">
        <f t="shared" si="38"/>
        <v>0</v>
      </c>
      <c r="N93" s="4">
        <f t="shared" si="38"/>
        <v>33438.96352475899</v>
      </c>
      <c r="O93" s="4">
        <f t="shared" si="38"/>
        <v>0</v>
      </c>
      <c r="P93" s="4">
        <f t="shared" si="38"/>
        <v>0</v>
      </c>
      <c r="Q93" s="4">
        <f>MIN(Q92,Q72+Q74)</f>
        <v>0</v>
      </c>
      <c r="R93" s="4">
        <f>MIN(R92,R72+R74)</f>
        <v>0</v>
      </c>
      <c r="S93" s="4">
        <f>MIN(S92,S72+S74)</f>
        <v>0</v>
      </c>
      <c r="T93" s="4">
        <f>MIN(T92,T72+T74)</f>
        <v>0</v>
      </c>
      <c r="U93" s="4">
        <f>MIN(U92,U72+U74)</f>
        <v>0</v>
      </c>
    </row>
    <row r="94" spans="2:21" ht="17.5" customHeight="1" thickBot="1" x14ac:dyDescent="0.4">
      <c r="B94" s="21" t="s">
        <v>359</v>
      </c>
      <c r="C94" s="21"/>
      <c r="D94" s="21"/>
      <c r="E94" s="21">
        <f>E92-E93</f>
        <v>0</v>
      </c>
      <c r="F94" s="21">
        <f t="shared" ref="F94:P94" si="39">F92-F93</f>
        <v>0</v>
      </c>
      <c r="G94" s="21">
        <f t="shared" si="39"/>
        <v>0</v>
      </c>
      <c r="H94" s="21">
        <f t="shared" si="39"/>
        <v>0</v>
      </c>
      <c r="I94" s="21">
        <f t="shared" si="39"/>
        <v>0</v>
      </c>
      <c r="J94" s="21">
        <f t="shared" si="39"/>
        <v>0</v>
      </c>
      <c r="K94" s="21">
        <f t="shared" si="39"/>
        <v>0</v>
      </c>
      <c r="L94" s="21">
        <f t="shared" si="39"/>
        <v>0</v>
      </c>
      <c r="M94" s="21">
        <f t="shared" si="39"/>
        <v>0</v>
      </c>
      <c r="N94" s="21">
        <f t="shared" si="39"/>
        <v>96796.821721964676</v>
      </c>
      <c r="O94" s="21">
        <f t="shared" si="39"/>
        <v>0</v>
      </c>
      <c r="P94" s="21">
        <f t="shared" si="39"/>
        <v>0</v>
      </c>
      <c r="Q94" s="21">
        <f>Q92-Q93</f>
        <v>0</v>
      </c>
      <c r="R94" s="21">
        <f>R92-R93</f>
        <v>0</v>
      </c>
      <c r="S94" s="21">
        <f>S92-S93</f>
        <v>0</v>
      </c>
      <c r="T94" s="21">
        <f>T92-T93</f>
        <v>0</v>
      </c>
      <c r="U94" s="21">
        <f>U92-U93</f>
        <v>0</v>
      </c>
    </row>
    <row r="97" spans="1:21" s="24" customFormat="1" ht="17.5" customHeight="1" x14ac:dyDescent="0.35">
      <c r="A97" s="24" t="s">
        <v>328</v>
      </c>
    </row>
    <row r="98" spans="1:21" ht="17.5" customHeight="1" x14ac:dyDescent="0.35">
      <c r="B98" s="4" t="s">
        <v>360</v>
      </c>
      <c r="C98" s="23">
        <f>IRR(D98:P98)</f>
        <v>2.000000000000135E-2</v>
      </c>
      <c r="D98" s="4">
        <f>-D46+D85+D87</f>
        <v>-45180.331200000022</v>
      </c>
      <c r="E98" s="4">
        <f t="shared" ref="E98:P98" si="40">-E46+E85+E87</f>
        <v>5562.7110979100034</v>
      </c>
      <c r="F98" s="4">
        <f t="shared" si="40"/>
        <v>5448.5739869309</v>
      </c>
      <c r="G98" s="4">
        <f t="shared" si="40"/>
        <v>5563.3257522800013</v>
      </c>
      <c r="H98" s="4">
        <f t="shared" si="40"/>
        <v>5563.3257522800013</v>
      </c>
      <c r="I98" s="4">
        <f t="shared" si="40"/>
        <v>5563.3257522800013</v>
      </c>
      <c r="J98" s="4">
        <f t="shared" si="40"/>
        <v>5563.3257522800013</v>
      </c>
      <c r="K98" s="4">
        <f t="shared" si="40"/>
        <v>5563.3257522800013</v>
      </c>
      <c r="L98" s="4">
        <f t="shared" si="40"/>
        <v>5563.3257522800013</v>
      </c>
      <c r="M98" s="4">
        <f t="shared" si="40"/>
        <v>5422.3621362996319</v>
      </c>
      <c r="N98" s="4">
        <f t="shared" si="40"/>
        <v>0</v>
      </c>
      <c r="O98" s="4">
        <f t="shared" si="40"/>
        <v>0</v>
      </c>
      <c r="P98" s="4">
        <f t="shared" si="40"/>
        <v>0</v>
      </c>
      <c r="Q98" s="4">
        <f>-Q46+Q85+Q87</f>
        <v>0</v>
      </c>
      <c r="R98" s="4">
        <f>-R46+R85+R87</f>
        <v>0</v>
      </c>
      <c r="S98" s="4">
        <f>-S46+S85+S87</f>
        <v>0</v>
      </c>
      <c r="T98" s="4">
        <f>-T46+T85+T87</f>
        <v>0</v>
      </c>
      <c r="U98" s="4">
        <f>-U46+U85+U87</f>
        <v>0</v>
      </c>
    </row>
    <row r="99" spans="1:21" ht="17.5" customHeight="1" x14ac:dyDescent="0.35">
      <c r="B99" s="4" t="s">
        <v>361</v>
      </c>
      <c r="C99" s="23">
        <f>IRR(D99:P99)</f>
        <v>3.0000000000000027E-2</v>
      </c>
      <c r="D99" s="4">
        <f>-D47+D89+D91</f>
        <v>-22590.165600000011</v>
      </c>
      <c r="E99" s="4">
        <f t="shared" ref="E99:P99" si="41">-E47+E89+E91</f>
        <v>0</v>
      </c>
      <c r="F99" s="4">
        <f t="shared" si="41"/>
        <v>0</v>
      </c>
      <c r="G99" s="4">
        <f t="shared" si="41"/>
        <v>0</v>
      </c>
      <c r="H99" s="4">
        <f t="shared" si="41"/>
        <v>0</v>
      </c>
      <c r="I99" s="4">
        <f t="shared" si="41"/>
        <v>0</v>
      </c>
      <c r="J99" s="4">
        <f t="shared" si="41"/>
        <v>0</v>
      </c>
      <c r="K99" s="4">
        <f t="shared" si="41"/>
        <v>0</v>
      </c>
      <c r="L99" s="4">
        <f t="shared" si="41"/>
        <v>0</v>
      </c>
      <c r="M99" s="4">
        <f t="shared" si="41"/>
        <v>140.96361598036947</v>
      </c>
      <c r="N99" s="4">
        <f t="shared" si="41"/>
        <v>30214.101037476368</v>
      </c>
      <c r="O99" s="4">
        <f t="shared" si="41"/>
        <v>0</v>
      </c>
      <c r="P99" s="4">
        <f t="shared" si="41"/>
        <v>0</v>
      </c>
      <c r="Q99" s="4">
        <f>-Q47+Q89+Q91</f>
        <v>0</v>
      </c>
      <c r="R99" s="4">
        <f>-R47+R89+R91</f>
        <v>0</v>
      </c>
      <c r="S99" s="4">
        <f>-S47+S89+S91</f>
        <v>0</v>
      </c>
      <c r="T99" s="4">
        <f>-T47+T89+T91</f>
        <v>0</v>
      </c>
      <c r="U99" s="4">
        <f>-U47+U89+U91</f>
        <v>0</v>
      </c>
    </row>
    <row r="100" spans="1:21" ht="17.5" customHeight="1" x14ac:dyDescent="0.35">
      <c r="B100" s="4" t="s">
        <v>362</v>
      </c>
      <c r="C100" s="23">
        <f>IRR(D100:P100)</f>
        <v>4.0000000000332658E-2</v>
      </c>
      <c r="D100" s="4">
        <f>-D48+D93</f>
        <v>-22590.165600000011</v>
      </c>
      <c r="E100" s="4">
        <f t="shared" ref="E100:P100" si="42">-E48+E93</f>
        <v>0</v>
      </c>
      <c r="F100" s="4">
        <f t="shared" si="42"/>
        <v>0</v>
      </c>
      <c r="G100" s="4">
        <f t="shared" si="42"/>
        <v>0</v>
      </c>
      <c r="H100" s="4">
        <f t="shared" si="42"/>
        <v>0</v>
      </c>
      <c r="I100" s="4">
        <f t="shared" si="42"/>
        <v>0</v>
      </c>
      <c r="J100" s="4">
        <f t="shared" si="42"/>
        <v>0</v>
      </c>
      <c r="K100" s="4">
        <f t="shared" si="42"/>
        <v>0</v>
      </c>
      <c r="L100" s="4">
        <f t="shared" si="42"/>
        <v>0</v>
      </c>
      <c r="M100" s="4">
        <f t="shared" si="42"/>
        <v>0</v>
      </c>
      <c r="N100" s="4">
        <f t="shared" si="42"/>
        <v>33438.96352475899</v>
      </c>
      <c r="O100" s="4">
        <f t="shared" si="42"/>
        <v>0</v>
      </c>
      <c r="P100" s="4">
        <f t="shared" si="42"/>
        <v>0</v>
      </c>
      <c r="Q100" s="4">
        <f>-Q48+Q93</f>
        <v>0</v>
      </c>
      <c r="R100" s="4">
        <f>-R48+R93</f>
        <v>0</v>
      </c>
      <c r="S100" s="4">
        <f>-S48+S93</f>
        <v>0</v>
      </c>
      <c r="T100" s="4">
        <f>-T48+T93</f>
        <v>0</v>
      </c>
      <c r="U100" s="4">
        <f>-U48+U93</f>
        <v>0</v>
      </c>
    </row>
    <row r="101" spans="1:21" ht="17.5" customHeight="1" x14ac:dyDescent="0.35">
      <c r="C101" s="23">
        <f>IRR(D101:P101)</f>
        <v>3.0319539239063387E-2</v>
      </c>
      <c r="D101" s="4">
        <f>SUM(D98:D100)</f>
        <v>-90360.662400000045</v>
      </c>
      <c r="E101" s="4">
        <f t="shared" ref="E101:P101" si="43">SUM(E98:E100)</f>
        <v>5562.7110979100034</v>
      </c>
      <c r="F101" s="4">
        <f t="shared" si="43"/>
        <v>5448.5739869309</v>
      </c>
      <c r="G101" s="4">
        <f t="shared" si="43"/>
        <v>5563.3257522800013</v>
      </c>
      <c r="H101" s="4">
        <f t="shared" si="43"/>
        <v>5563.3257522800013</v>
      </c>
      <c r="I101" s="4">
        <f t="shared" si="43"/>
        <v>5563.3257522800013</v>
      </c>
      <c r="J101" s="4">
        <f t="shared" si="43"/>
        <v>5563.3257522800013</v>
      </c>
      <c r="K101" s="4">
        <f t="shared" si="43"/>
        <v>5563.3257522800013</v>
      </c>
      <c r="L101" s="4">
        <f t="shared" si="43"/>
        <v>5563.3257522800013</v>
      </c>
      <c r="M101" s="4">
        <f t="shared" si="43"/>
        <v>5563.3257522800013</v>
      </c>
      <c r="N101" s="4">
        <f t="shared" si="43"/>
        <v>63653.064562235362</v>
      </c>
      <c r="O101" s="4">
        <f t="shared" si="43"/>
        <v>0</v>
      </c>
      <c r="P101" s="4">
        <f t="shared" si="43"/>
        <v>0</v>
      </c>
      <c r="Q101" s="4">
        <f>SUM(Q98:Q100)</f>
        <v>0</v>
      </c>
      <c r="R101" s="4">
        <f>SUM(R98:R100)</f>
        <v>0</v>
      </c>
      <c r="S101" s="4">
        <f>SUM(S98:S100)</f>
        <v>0</v>
      </c>
      <c r="T101" s="4">
        <f>SUM(T98:T100)</f>
        <v>0</v>
      </c>
      <c r="U101" s="4">
        <f>SUM(U98:U100)</f>
        <v>0</v>
      </c>
    </row>
    <row r="102" spans="1:21" ht="17.5" customHeight="1" x14ac:dyDescent="0.35">
      <c r="C102" s="23"/>
    </row>
    <row r="103" spans="1:21" ht="17.5" customHeight="1" x14ac:dyDescent="0.35">
      <c r="B103" s="4" t="s">
        <v>363</v>
      </c>
      <c r="C103" s="23">
        <f>IRR(D103:P103)</f>
        <v>-2.975287878946431E-2</v>
      </c>
      <c r="D103" s="4">
        <f>-LBO!D50</f>
        <v>-130929.48793680004</v>
      </c>
      <c r="E103" s="4">
        <f>E94</f>
        <v>0</v>
      </c>
      <c r="F103" s="4">
        <f t="shared" ref="F103:P103" si="44">F94</f>
        <v>0</v>
      </c>
      <c r="G103" s="4">
        <f t="shared" si="44"/>
        <v>0</v>
      </c>
      <c r="H103" s="4">
        <f t="shared" si="44"/>
        <v>0</v>
      </c>
      <c r="I103" s="4">
        <f t="shared" si="44"/>
        <v>0</v>
      </c>
      <c r="J103" s="4">
        <f t="shared" si="44"/>
        <v>0</v>
      </c>
      <c r="K103" s="4">
        <f t="shared" si="44"/>
        <v>0</v>
      </c>
      <c r="L103" s="4">
        <f t="shared" si="44"/>
        <v>0</v>
      </c>
      <c r="M103" s="4">
        <f t="shared" si="44"/>
        <v>0</v>
      </c>
      <c r="N103" s="4">
        <f t="shared" si="44"/>
        <v>96796.821721964676</v>
      </c>
      <c r="O103" s="4">
        <f t="shared" si="44"/>
        <v>0</v>
      </c>
      <c r="P103" s="4">
        <f t="shared" si="44"/>
        <v>0</v>
      </c>
      <c r="Q103" s="4">
        <f>Q94</f>
        <v>0</v>
      </c>
      <c r="R103" s="4">
        <f>R94</f>
        <v>0</v>
      </c>
      <c r="S103" s="4">
        <f>S94</f>
        <v>0</v>
      </c>
      <c r="T103" s="4">
        <f>T94</f>
        <v>0</v>
      </c>
      <c r="U103" s="4">
        <f>U94</f>
        <v>0</v>
      </c>
    </row>
    <row r="104" spans="1:21" ht="17.5" customHeight="1" x14ac:dyDescent="0.35">
      <c r="C104" s="23">
        <f>IRR(D104:P104)</f>
        <v>-5.6952611618170668E-3</v>
      </c>
      <c r="D104" s="4">
        <f>D103+D101</f>
        <v>-221290.15033680008</v>
      </c>
      <c r="E104" s="4">
        <f t="shared" ref="E104:P104" si="45">E103+E101</f>
        <v>5562.7110979100034</v>
      </c>
      <c r="F104" s="4">
        <f t="shared" si="45"/>
        <v>5448.5739869309</v>
      </c>
      <c r="G104" s="4">
        <f t="shared" si="45"/>
        <v>5563.3257522800013</v>
      </c>
      <c r="H104" s="4">
        <f t="shared" si="45"/>
        <v>5563.3257522800013</v>
      </c>
      <c r="I104" s="4">
        <f t="shared" si="45"/>
        <v>5563.3257522800013</v>
      </c>
      <c r="J104" s="4">
        <f t="shared" si="45"/>
        <v>5563.3257522800013</v>
      </c>
      <c r="K104" s="4">
        <f t="shared" si="45"/>
        <v>5563.3257522800013</v>
      </c>
      <c r="L104" s="4">
        <f t="shared" si="45"/>
        <v>5563.3257522800013</v>
      </c>
      <c r="M104" s="4">
        <f t="shared" si="45"/>
        <v>5563.3257522800013</v>
      </c>
      <c r="N104" s="4">
        <f t="shared" si="45"/>
        <v>160449.88628420004</v>
      </c>
      <c r="O104" s="4">
        <f t="shared" si="45"/>
        <v>0</v>
      </c>
      <c r="P104" s="4">
        <f t="shared" si="45"/>
        <v>0</v>
      </c>
      <c r="Q104" s="4">
        <f>Q103+Q101</f>
        <v>0</v>
      </c>
      <c r="R104" s="4">
        <f>R103+R101</f>
        <v>0</v>
      </c>
      <c r="S104" s="4">
        <f>S103+S101</f>
        <v>0</v>
      </c>
      <c r="T104" s="4">
        <f>T103+T101</f>
        <v>0</v>
      </c>
      <c r="U104" s="4">
        <f>U103+U101</f>
        <v>0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 macro="[0]!CheckBox1_Click">
                <anchor moveWithCells="1">
                  <from>
                    <xdr:col>1</xdr:col>
                    <xdr:colOff>2508250</xdr:colOff>
                    <xdr:row>15</xdr:row>
                    <xdr:rowOff>12700</xdr:rowOff>
                  </from>
                  <to>
                    <xdr:col>2</xdr:col>
                    <xdr:colOff>69850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Drop Down 2">
              <controlPr defaultSize="0" autoLine="0" autoPict="0">
                <anchor moveWithCells="1">
                  <from>
                    <xdr:col>0</xdr:col>
                    <xdr:colOff>152400</xdr:colOff>
                    <xdr:row>0</xdr:row>
                    <xdr:rowOff>88900</xdr:rowOff>
                  </from>
                  <to>
                    <xdr:col>1</xdr:col>
                    <xdr:colOff>2133600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"/>
  <sheetViews>
    <sheetView workbookViewId="0">
      <selection activeCell="M13" sqref="M13"/>
    </sheetView>
  </sheetViews>
  <sheetFormatPr defaultRowHeight="14.5" x14ac:dyDescent="0.3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3" name="Drop Down 3">
              <controlPr defaultSize="0" autoLine="0" autoPict="0">
                <anchor moveWithCells="1">
                  <from>
                    <xdr:col>11</xdr:col>
                    <xdr:colOff>584200</xdr:colOff>
                    <xdr:row>2</xdr:row>
                    <xdr:rowOff>0</xdr:rowOff>
                  </from>
                  <to>
                    <xdr:col>14</xdr:col>
                    <xdr:colOff>234950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4" name="Drop Down 4">
              <controlPr defaultSize="0" autoLine="0" autoPict="0">
                <anchor moveWithCells="1">
                  <from>
                    <xdr:col>11</xdr:col>
                    <xdr:colOff>584200</xdr:colOff>
                    <xdr:row>4</xdr:row>
                    <xdr:rowOff>0</xdr:rowOff>
                  </from>
                  <to>
                    <xdr:col>14</xdr:col>
                    <xdr:colOff>234950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B1:AC230"/>
  <sheetViews>
    <sheetView topLeftCell="C1" workbookViewId="0">
      <selection activeCell="C12" sqref="C12"/>
    </sheetView>
  </sheetViews>
  <sheetFormatPr defaultRowHeight="14.5" x14ac:dyDescent="0.35"/>
  <cols>
    <col min="2" max="2" width="40.90625" customWidth="1"/>
    <col min="3" max="3" width="11.26953125" customWidth="1"/>
    <col min="4" max="4" width="39.6328125" style="42" customWidth="1"/>
    <col min="8" max="8" width="23.453125" customWidth="1"/>
  </cols>
  <sheetData>
    <row r="1" spans="2:29" x14ac:dyDescent="0.35">
      <c r="B1" t="s">
        <v>390</v>
      </c>
    </row>
    <row r="2" spans="2:29" x14ac:dyDescent="0.35">
      <c r="D2" s="42" t="s">
        <v>399</v>
      </c>
      <c r="E2" t="s">
        <v>391</v>
      </c>
    </row>
    <row r="3" spans="2:29" x14ac:dyDescent="0.35">
      <c r="J3" t="s">
        <v>402</v>
      </c>
      <c r="K3" t="s">
        <v>391</v>
      </c>
    </row>
    <row r="4" spans="2:29" x14ac:dyDescent="0.35">
      <c r="B4" t="str">
        <f>IF(ISTEXT('Assumptions and Free Cash Flow'!C8),'Assumptions and Free Cash Flow'!C8,"")</f>
        <v/>
      </c>
      <c r="D4" s="42">
        <f t="array" ref="D4:D145">union(B4:B230,A6)</f>
        <v>0</v>
      </c>
      <c r="E4" t="e">
        <f>MATCH(D4,'Assumptions and Free Cash Flow'!C:C,0)</f>
        <v>#N/A</v>
      </c>
      <c r="J4">
        <v>115</v>
      </c>
      <c r="K4">
        <f>INDEX(E5:E130,J4)</f>
        <v>188</v>
      </c>
    </row>
    <row r="5" spans="2:29" x14ac:dyDescent="0.35">
      <c r="B5" t="str">
        <f>IF(ISTEXT('Assumptions and Free Cash Flow'!C9),'Assumptions and Free Cash Flow'!C9,"")</f>
        <v>Operating profit before depreciation amortisation and impairment</v>
      </c>
      <c r="D5" s="42" t="str">
        <v>Operating profit before depreciation amortisation and impairment</v>
      </c>
      <c r="E5">
        <f>MATCH(D5,'Assumptions and Free Cash Flow'!C:C,0)</f>
        <v>9</v>
      </c>
    </row>
    <row r="6" spans="2:29" x14ac:dyDescent="0.35">
      <c r="B6" t="str">
        <f>IF(ISTEXT('Assumptions and Free Cash Flow'!C10),'Assumptions and Free Cash Flow'!C10,"")</f>
        <v>Less: Restructuring Cash Payments from Cash Flow</v>
      </c>
      <c r="D6" s="42" t="str">
        <v>Less: Restructuring Cash Payments from Cash Flow</v>
      </c>
      <c r="E6">
        <f>MATCH(D6,'Assumptions and Free Cash Flow'!C:C,0)</f>
        <v>10</v>
      </c>
      <c r="J6">
        <v>43</v>
      </c>
      <c r="K6">
        <f>INDEX(E5:E128,J6)</f>
        <v>72</v>
      </c>
    </row>
    <row r="7" spans="2:29" x14ac:dyDescent="0.35">
      <c r="B7" t="str">
        <f>IF(ISTEXT('Assumptions and Free Cash Flow'!C11),'Assumptions and Free Cash Flow'!C11,"")</f>
        <v>Less: Income from associates</v>
      </c>
      <c r="D7" s="42" t="str">
        <v>Less: Income from associates</v>
      </c>
      <c r="E7">
        <f>MATCH(D7,'Assumptions and Free Cash Flow'!C:C,0)</f>
        <v>11</v>
      </c>
    </row>
    <row r="8" spans="2:29" x14ac:dyDescent="0.35">
      <c r="B8" t="str">
        <f>IF(ISTEXT('Assumptions and Free Cash Flow'!C12),'Assumptions and Free Cash Flow'!C12,"")</f>
        <v>EBITDA</v>
      </c>
      <c r="D8" s="42" t="str">
        <v>EBITDA</v>
      </c>
      <c r="E8">
        <f>MATCH(D8,'Assumptions and Free Cash Flow'!C:C,0)</f>
        <v>12</v>
      </c>
    </row>
    <row r="9" spans="2:29" x14ac:dyDescent="0.35">
      <c r="B9" t="str">
        <f>IF(ISTEXT('Assumptions and Free Cash Flow'!C13),'Assumptions and Free Cash Flow'!C13,"")</f>
        <v/>
      </c>
      <c r="D9" s="42" t="str">
        <v>Net Revenues</v>
      </c>
      <c r="E9">
        <f>MATCH(D9,'Assumptions and Free Cash Flow'!C:C,0)</f>
        <v>14</v>
      </c>
      <c r="G9" t="s">
        <v>401</v>
      </c>
    </row>
    <row r="10" spans="2:29" x14ac:dyDescent="0.35">
      <c r="B10" t="str">
        <f>IF(ISTEXT('Assumptions and Free Cash Flow'!C14),'Assumptions and Free Cash Flow'!C14,"")</f>
        <v>Net Revenues</v>
      </c>
      <c r="D10" s="42" t="str">
        <v xml:space="preserve">COGS </v>
      </c>
      <c r="E10">
        <f>MATCH(D10,'Assumptions and Free Cash Flow'!C:C,0)</f>
        <v>15</v>
      </c>
      <c r="I10">
        <f>'Assumptions and Free Cash Flow'!M1</f>
        <v>2005</v>
      </c>
      <c r="J10">
        <f>'Assumptions and Free Cash Flow'!N1</f>
        <v>2006</v>
      </c>
      <c r="K10">
        <f>'Assumptions and Free Cash Flow'!O1</f>
        <v>2007</v>
      </c>
      <c r="L10">
        <f>'Assumptions and Free Cash Flow'!P1</f>
        <v>2008</v>
      </c>
      <c r="M10">
        <f>'Assumptions and Free Cash Flow'!Q1</f>
        <v>2009</v>
      </c>
      <c r="N10">
        <f>'Assumptions and Free Cash Flow'!R1</f>
        <v>2010</v>
      </c>
      <c r="O10">
        <f>'Assumptions and Free Cash Flow'!S1</f>
        <v>2011</v>
      </c>
      <c r="P10">
        <f>'Assumptions and Free Cash Flow'!T1</f>
        <v>2012</v>
      </c>
      <c r="Q10">
        <f>'Assumptions and Free Cash Flow'!U1</f>
        <v>2013</v>
      </c>
      <c r="R10">
        <f>'Assumptions and Free Cash Flow'!V1</f>
        <v>2014</v>
      </c>
      <c r="S10">
        <f>'Assumptions and Free Cash Flow'!W1</f>
        <v>2015</v>
      </c>
      <c r="T10">
        <f>'Assumptions and Free Cash Flow'!X1</f>
        <v>2016</v>
      </c>
      <c r="U10">
        <f>'Assumptions and Free Cash Flow'!Y1</f>
        <v>2017</v>
      </c>
      <c r="V10">
        <f>'Assumptions and Free Cash Flow'!Z1</f>
        <v>2018</v>
      </c>
      <c r="W10">
        <f>'Assumptions and Free Cash Flow'!AA1</f>
        <v>2019</v>
      </c>
      <c r="X10">
        <f>'Assumptions and Free Cash Flow'!AB1</f>
        <v>2020</v>
      </c>
      <c r="Y10">
        <f>'Assumptions and Free Cash Flow'!AC1</f>
        <v>2021</v>
      </c>
      <c r="Z10">
        <f>'Assumptions and Free Cash Flow'!AD1</f>
        <v>2022</v>
      </c>
      <c r="AA10">
        <f>'Assumptions and Free Cash Flow'!AE1</f>
        <v>2023</v>
      </c>
      <c r="AB10">
        <f>'Assumptions and Free Cash Flow'!AF1</f>
        <v>2024</v>
      </c>
      <c r="AC10">
        <f>'Assumptions and Free Cash Flow'!AG1</f>
        <v>2025</v>
      </c>
    </row>
    <row r="11" spans="2:29" x14ac:dyDescent="0.35">
      <c r="B11" t="str">
        <f>IF(ISTEXT('Assumptions and Free Cash Flow'!C15),'Assumptions and Free Cash Flow'!C15,"")</f>
        <v xml:space="preserve">COGS </v>
      </c>
      <c r="D11" s="42" t="str">
        <v>Less: Depreciation Expense</v>
      </c>
      <c r="E11">
        <f>MATCH(D11,'Assumptions and Free Cash Flow'!C:C,0)</f>
        <v>16</v>
      </c>
      <c r="H11">
        <v>2015</v>
      </c>
      <c r="I11" t="b">
        <f>I10&lt;=$H$11</f>
        <v>1</v>
      </c>
      <c r="J11" t="b">
        <f t="shared" ref="J11:AC11" si="0">J10&lt;=$H$11</f>
        <v>1</v>
      </c>
      <c r="K11" t="b">
        <f t="shared" si="0"/>
        <v>1</v>
      </c>
      <c r="L11" t="b">
        <f t="shared" si="0"/>
        <v>1</v>
      </c>
      <c r="M11" t="b">
        <f t="shared" si="0"/>
        <v>1</v>
      </c>
      <c r="N11" t="b">
        <f t="shared" si="0"/>
        <v>1</v>
      </c>
      <c r="O11" t="b">
        <f t="shared" si="0"/>
        <v>1</v>
      </c>
      <c r="P11" t="b">
        <f t="shared" si="0"/>
        <v>1</v>
      </c>
      <c r="Q11" t="b">
        <f t="shared" si="0"/>
        <v>1</v>
      </c>
      <c r="R11" t="b">
        <f t="shared" si="0"/>
        <v>1</v>
      </c>
      <c r="S11" t="b">
        <f t="shared" si="0"/>
        <v>1</v>
      </c>
      <c r="T11" t="b">
        <f t="shared" si="0"/>
        <v>0</v>
      </c>
      <c r="U11" t="b">
        <f t="shared" si="0"/>
        <v>0</v>
      </c>
      <c r="V11" t="b">
        <f t="shared" si="0"/>
        <v>0</v>
      </c>
      <c r="W11" t="b">
        <f t="shared" si="0"/>
        <v>0</v>
      </c>
      <c r="X11" t="b">
        <f t="shared" si="0"/>
        <v>0</v>
      </c>
      <c r="Y11" t="b">
        <f t="shared" si="0"/>
        <v>0</v>
      </c>
      <c r="Z11" t="b">
        <f t="shared" si="0"/>
        <v>0</v>
      </c>
      <c r="AA11" t="b">
        <f t="shared" si="0"/>
        <v>0</v>
      </c>
      <c r="AB11" t="b">
        <f t="shared" si="0"/>
        <v>0</v>
      </c>
      <c r="AC11" t="b">
        <f t="shared" si="0"/>
        <v>0</v>
      </c>
    </row>
    <row r="12" spans="2:29" x14ac:dyDescent="0.35">
      <c r="B12" t="str">
        <f>IF(ISTEXT('Assumptions and Free Cash Flow'!C16),'Assumptions and Free Cash Flow'!C16,"")</f>
        <v>Less: Depreciation Expense</v>
      </c>
      <c r="D12" s="42" t="str">
        <v>COGS without Depreciation</v>
      </c>
      <c r="E12">
        <f>MATCH(D12,'Assumptions and Free Cash Flow'!C:C,0)</f>
        <v>17</v>
      </c>
      <c r="H12" t="str">
        <f>INDEX('Assumptions and Free Cash Flow'!C:C,Graphs!$K$4)</f>
        <v>ROIC Historic and Projected</v>
      </c>
      <c r="I12">
        <f>INDEX('Assumptions and Free Cash Flow'!M:M,Graphs!$K$4)</f>
        <v>9.6453825609257374E-2</v>
      </c>
      <c r="J12">
        <f>INDEX('Assumptions and Free Cash Flow'!N:N,Graphs!$K$4)</f>
        <v>6.0478688129446331E-2</v>
      </c>
      <c r="K12">
        <f>INDEX('Assumptions and Free Cash Flow'!O:O,Graphs!$K$4)</f>
        <v>8.346502553448916E-2</v>
      </c>
      <c r="L12">
        <f>INDEX('Assumptions and Free Cash Flow'!P:P,Graphs!$K$4)</f>
        <v>8.1943861425598882E-2</v>
      </c>
      <c r="M12">
        <f>INDEX('Assumptions and Free Cash Flow'!Q:Q,Graphs!$K$4)</f>
        <v>6.1890639693700608E-2</v>
      </c>
      <c r="N12">
        <f>INDEX('Assumptions and Free Cash Flow'!R:R,Graphs!$K$4)</f>
        <v>7.3989562259726208E-2</v>
      </c>
      <c r="O12">
        <f>INDEX('Assumptions and Free Cash Flow'!S:S,Graphs!$K$4)</f>
        <v>6.6920369051868961E-2</v>
      </c>
      <c r="P12">
        <f>INDEX('Assumptions and Free Cash Flow'!T:T,Graphs!$K$4)</f>
        <v>6.2689497753341927E-2</v>
      </c>
      <c r="Q12">
        <f>INDEX('Assumptions and Free Cash Flow'!U:U,Graphs!$K$4)</f>
        <v>6.1173295258931809E-2</v>
      </c>
      <c r="R12">
        <f>INDEX('Assumptions and Free Cash Flow'!V:V,Graphs!$K$4)</f>
        <v>5.914750332313487E-2</v>
      </c>
      <c r="S12">
        <f>INDEX('Assumptions and Free Cash Flow'!W:W,Graphs!$K$4)</f>
        <v>6.1889314509294892E-2</v>
      </c>
      <c r="T12">
        <f>INDEX('Assumptions and Free Cash Flow'!X:X,Graphs!$K$4)</f>
        <v>6.0500454769164901E-2</v>
      </c>
      <c r="U12">
        <f>INDEX('Assumptions and Free Cash Flow'!Y:Y,Graphs!$K$4)</f>
        <v>5.7034594410547368E-2</v>
      </c>
      <c r="V12">
        <f>INDEX('Assumptions and Free Cash Flow'!Z:Z,Graphs!$K$4)</f>
        <v>5.4281211546962423E-2</v>
      </c>
      <c r="W12">
        <f>INDEX('Assumptions and Free Cash Flow'!AA:AA,Graphs!$K$4)</f>
        <v>5.2887456863399671E-2</v>
      </c>
      <c r="X12">
        <f>INDEX('Assumptions and Free Cash Flow'!AB:AB,Graphs!$K$4)</f>
        <v>5.1775037338455801E-2</v>
      </c>
      <c r="Y12">
        <f>INDEX('Assumptions and Free Cash Flow'!AC:AC,Graphs!$K$4)</f>
        <v>5.0861460197710609E-2</v>
      </c>
      <c r="Z12">
        <f>INDEX('Assumptions and Free Cash Flow'!AD:AD,Graphs!$K$4)</f>
        <v>5.0109798035755534E-2</v>
      </c>
      <c r="AA12">
        <f>INDEX('Assumptions and Free Cash Flow'!AE:AE,Graphs!$K$4)</f>
        <v>4.9490415502709544E-2</v>
      </c>
      <c r="AB12">
        <f>INDEX('Assumptions and Free Cash Flow'!AF:AF,Graphs!$K$4)</f>
        <v>4.8979395371239409E-2</v>
      </c>
      <c r="AC12">
        <f>INDEX('Assumptions and Free Cash Flow'!AG:AG,Graphs!$K$4)</f>
        <v>4.855734445838629E-2</v>
      </c>
    </row>
    <row r="13" spans="2:29" x14ac:dyDescent="0.35">
      <c r="B13" t="str">
        <f>IF(ISTEXT('Assumptions and Free Cash Flow'!C17),'Assumptions and Free Cash Flow'!C17,"")</f>
        <v>COGS without Depreciation</v>
      </c>
      <c r="D13" s="42" t="str">
        <v>COGS Margin</v>
      </c>
      <c r="E13">
        <f>MATCH(D13,'Assumptions and Free Cash Flow'!C:C,0)</f>
        <v>18</v>
      </c>
      <c r="I13">
        <f>I10</f>
        <v>2005</v>
      </c>
      <c r="J13">
        <f t="shared" ref="J13:AC13" si="1">J10</f>
        <v>2006</v>
      </c>
      <c r="K13">
        <f t="shared" si="1"/>
        <v>2007</v>
      </c>
      <c r="L13">
        <f t="shared" si="1"/>
        <v>2008</v>
      </c>
      <c r="M13">
        <f t="shared" si="1"/>
        <v>2009</v>
      </c>
      <c r="N13">
        <f t="shared" si="1"/>
        <v>2010</v>
      </c>
      <c r="O13">
        <f t="shared" si="1"/>
        <v>2011</v>
      </c>
      <c r="P13">
        <f t="shared" si="1"/>
        <v>2012</v>
      </c>
      <c r="Q13">
        <f t="shared" si="1"/>
        <v>2013</v>
      </c>
      <c r="R13">
        <f t="shared" si="1"/>
        <v>2014</v>
      </c>
      <c r="S13">
        <f t="shared" si="1"/>
        <v>2015</v>
      </c>
      <c r="T13">
        <f t="shared" si="1"/>
        <v>2016</v>
      </c>
      <c r="U13">
        <f t="shared" si="1"/>
        <v>2017</v>
      </c>
      <c r="V13">
        <f t="shared" si="1"/>
        <v>2018</v>
      </c>
      <c r="W13">
        <f t="shared" si="1"/>
        <v>2019</v>
      </c>
      <c r="X13">
        <f t="shared" si="1"/>
        <v>2020</v>
      </c>
      <c r="Y13">
        <f t="shared" si="1"/>
        <v>2021</v>
      </c>
      <c r="Z13">
        <f t="shared" si="1"/>
        <v>2022</v>
      </c>
      <c r="AA13">
        <f t="shared" si="1"/>
        <v>2023</v>
      </c>
      <c r="AB13">
        <f t="shared" si="1"/>
        <v>2024</v>
      </c>
      <c r="AC13">
        <f t="shared" si="1"/>
        <v>2025</v>
      </c>
    </row>
    <row r="14" spans="2:29" x14ac:dyDescent="0.35">
      <c r="B14" t="str">
        <f>IF(ISTEXT('Assumptions and Free Cash Flow'!C18),'Assumptions and Free Cash Flow'!C18,"")</f>
        <v>COGS Margin</v>
      </c>
      <c r="D14" s="42" t="str">
        <v>EBITDA Margin</v>
      </c>
      <c r="E14">
        <f>MATCH(D14,'Assumptions and Free Cash Flow'!C:C,0)</f>
        <v>20</v>
      </c>
      <c r="H14" t="s">
        <v>417</v>
      </c>
      <c r="I14">
        <f>IF(I11,I12)</f>
        <v>9.6453825609257374E-2</v>
      </c>
      <c r="J14">
        <f t="shared" ref="J14:AC14" si="2">IF(J11,J12)</f>
        <v>6.0478688129446331E-2</v>
      </c>
      <c r="K14">
        <f t="shared" si="2"/>
        <v>8.346502553448916E-2</v>
      </c>
      <c r="L14">
        <f t="shared" si="2"/>
        <v>8.1943861425598882E-2</v>
      </c>
      <c r="M14">
        <f t="shared" si="2"/>
        <v>6.1890639693700608E-2</v>
      </c>
      <c r="N14">
        <f t="shared" si="2"/>
        <v>7.3989562259726208E-2</v>
      </c>
      <c r="O14">
        <f t="shared" si="2"/>
        <v>6.6920369051868961E-2</v>
      </c>
      <c r="P14">
        <f t="shared" si="2"/>
        <v>6.2689497753341927E-2</v>
      </c>
      <c r="Q14">
        <f t="shared" si="2"/>
        <v>6.1173295258931809E-2</v>
      </c>
      <c r="R14">
        <f t="shared" si="2"/>
        <v>5.914750332313487E-2</v>
      </c>
      <c r="S14">
        <f t="shared" si="2"/>
        <v>6.1889314509294892E-2</v>
      </c>
      <c r="T14" t="b">
        <f t="shared" si="2"/>
        <v>0</v>
      </c>
      <c r="U14" t="b">
        <f t="shared" si="2"/>
        <v>0</v>
      </c>
      <c r="V14" t="b">
        <f t="shared" si="2"/>
        <v>0</v>
      </c>
      <c r="W14" t="b">
        <f t="shared" si="2"/>
        <v>0</v>
      </c>
      <c r="X14" t="b">
        <f t="shared" si="2"/>
        <v>0</v>
      </c>
      <c r="Y14" t="b">
        <f t="shared" si="2"/>
        <v>0</v>
      </c>
      <c r="Z14" t="b">
        <f t="shared" si="2"/>
        <v>0</v>
      </c>
      <c r="AA14" t="b">
        <f t="shared" si="2"/>
        <v>0</v>
      </c>
      <c r="AB14" t="b">
        <f t="shared" si="2"/>
        <v>0</v>
      </c>
      <c r="AC14" t="b">
        <f t="shared" si="2"/>
        <v>0</v>
      </c>
    </row>
    <row r="15" spans="2:29" x14ac:dyDescent="0.35">
      <c r="B15" t="str">
        <f>IF(ISTEXT('Assumptions and Free Cash Flow'!C19),'Assumptions and Free Cash Flow'!C19,"")</f>
        <v/>
      </c>
      <c r="D15" s="42" t="str">
        <v>SG&amp;A as Pct of Sales</v>
      </c>
      <c r="E15">
        <f>MATCH(D15,'Assumptions and Free Cash Flow'!C:C,0)</f>
        <v>21</v>
      </c>
      <c r="H15" t="s">
        <v>418</v>
      </c>
      <c r="I15" t="b">
        <f>IF(NOT(I11),I12)</f>
        <v>0</v>
      </c>
      <c r="J15" t="b">
        <f t="shared" ref="J15:AC15" si="3">IF(NOT(J11),J12)</f>
        <v>0</v>
      </c>
      <c r="K15" t="b">
        <f t="shared" si="3"/>
        <v>0</v>
      </c>
      <c r="L15" t="b">
        <f t="shared" si="3"/>
        <v>0</v>
      </c>
      <c r="M15" t="b">
        <f t="shared" si="3"/>
        <v>0</v>
      </c>
      <c r="N15" t="b">
        <f t="shared" si="3"/>
        <v>0</v>
      </c>
      <c r="O15" t="b">
        <f t="shared" si="3"/>
        <v>0</v>
      </c>
      <c r="P15" t="b">
        <f t="shared" si="3"/>
        <v>0</v>
      </c>
      <c r="Q15" t="b">
        <f t="shared" si="3"/>
        <v>0</v>
      </c>
      <c r="R15" t="b">
        <f t="shared" si="3"/>
        <v>0</v>
      </c>
      <c r="S15" t="b">
        <f t="shared" si="3"/>
        <v>0</v>
      </c>
      <c r="T15">
        <f t="shared" si="3"/>
        <v>6.0500454769164901E-2</v>
      </c>
      <c r="U15">
        <f t="shared" si="3"/>
        <v>5.7034594410547368E-2</v>
      </c>
      <c r="V15">
        <f t="shared" si="3"/>
        <v>5.4281211546962423E-2</v>
      </c>
      <c r="W15">
        <f t="shared" si="3"/>
        <v>5.2887456863399671E-2</v>
      </c>
      <c r="X15">
        <f t="shared" si="3"/>
        <v>5.1775037338455801E-2</v>
      </c>
      <c r="Y15">
        <f t="shared" si="3"/>
        <v>5.0861460197710609E-2</v>
      </c>
      <c r="Z15">
        <f t="shared" si="3"/>
        <v>5.0109798035755534E-2</v>
      </c>
      <c r="AA15">
        <f t="shared" si="3"/>
        <v>4.9490415502709544E-2</v>
      </c>
      <c r="AB15">
        <f t="shared" si="3"/>
        <v>4.8979395371239409E-2</v>
      </c>
      <c r="AC15">
        <f t="shared" si="3"/>
        <v>4.855734445838629E-2</v>
      </c>
    </row>
    <row r="16" spans="2:29" x14ac:dyDescent="0.35">
      <c r="B16" t="str">
        <f>IF(ISTEXT('Assumptions and Free Cash Flow'!C20),'Assumptions and Free Cash Flow'!C20,"")</f>
        <v>EBITDA Margin</v>
      </c>
      <c r="D16" s="42" t="str">
        <v>Property Plant and Equipment</v>
      </c>
      <c r="E16">
        <f>MATCH(D16,'Assumptions and Free Cash Flow'!C:C,0)</f>
        <v>24</v>
      </c>
    </row>
    <row r="17" spans="2:29" x14ac:dyDescent="0.35">
      <c r="B17" t="str">
        <f>IF(ISTEXT('Assumptions and Free Cash Flow'!C21),'Assumptions and Free Cash Flow'!C21,"")</f>
        <v>SG&amp;A as Pct of Sales</v>
      </c>
      <c r="D17" s="42" t="str">
        <v>Depreciation Rate</v>
      </c>
      <c r="E17">
        <f>MATCH(D17,'Assumptions and Free Cash Flow'!C:C,0)</f>
        <v>26</v>
      </c>
    </row>
    <row r="18" spans="2:29" x14ac:dyDescent="0.35">
      <c r="B18" t="str">
        <f>IF(ISTEXT('Assumptions and Free Cash Flow'!C22),'Assumptions and Free Cash Flow'!C22,"")</f>
        <v>Admin as Pct of Sales</v>
      </c>
      <c r="D18" s="42" t="str">
        <v>Capital Expenditures - Gross</v>
      </c>
      <c r="E18">
        <f>MATCH(D18,'Assumptions and Free Cash Flow'!C:C,0)</f>
        <v>28</v>
      </c>
      <c r="I18">
        <f>I10</f>
        <v>2005</v>
      </c>
      <c r="J18">
        <f t="shared" ref="J18:AC18" si="4">J10</f>
        <v>2006</v>
      </c>
      <c r="K18">
        <f t="shared" si="4"/>
        <v>2007</v>
      </c>
      <c r="L18">
        <f t="shared" si="4"/>
        <v>2008</v>
      </c>
      <c r="M18">
        <f t="shared" si="4"/>
        <v>2009</v>
      </c>
      <c r="N18">
        <f t="shared" si="4"/>
        <v>2010</v>
      </c>
      <c r="O18">
        <f t="shared" si="4"/>
        <v>2011</v>
      </c>
      <c r="P18">
        <f t="shared" si="4"/>
        <v>2012</v>
      </c>
      <c r="Q18">
        <f t="shared" si="4"/>
        <v>2013</v>
      </c>
      <c r="R18">
        <f t="shared" si="4"/>
        <v>2014</v>
      </c>
      <c r="S18">
        <f t="shared" si="4"/>
        <v>2015</v>
      </c>
      <c r="T18">
        <f t="shared" si="4"/>
        <v>2016</v>
      </c>
      <c r="U18">
        <f t="shared" si="4"/>
        <v>2017</v>
      </c>
      <c r="V18">
        <f t="shared" si="4"/>
        <v>2018</v>
      </c>
      <c r="W18">
        <f t="shared" si="4"/>
        <v>2019</v>
      </c>
      <c r="X18">
        <f t="shared" si="4"/>
        <v>2020</v>
      </c>
      <c r="Y18">
        <f t="shared" si="4"/>
        <v>2021</v>
      </c>
      <c r="Z18">
        <f t="shared" si="4"/>
        <v>2022</v>
      </c>
      <c r="AA18">
        <f t="shared" si="4"/>
        <v>2023</v>
      </c>
      <c r="AB18">
        <f t="shared" si="4"/>
        <v>2024</v>
      </c>
      <c r="AC18">
        <f t="shared" si="4"/>
        <v>2025</v>
      </c>
    </row>
    <row r="19" spans="2:29" x14ac:dyDescent="0.35">
      <c r="B19" t="str">
        <f>IF(ISTEXT('Assumptions and Free Cash Flow'!C23),'Assumptions and Free Cash Flow'!C23,"")</f>
        <v/>
      </c>
      <c r="D19" s="42" t="str">
        <v>Capital Expenditures - Net</v>
      </c>
      <c r="E19">
        <f>MATCH(D19,'Assumptions and Free Cash Flow'!C:C,0)</f>
        <v>29</v>
      </c>
      <c r="H19" t="str">
        <f>INDEX('Assumptions and Free Cash Flow'!C:C,Graphs!$K$6)</f>
        <v>Average Investment in Associates</v>
      </c>
      <c r="I19">
        <f>INDEX('Assumptions and Free Cash Flow'!M:M,Graphs!$K$6)</f>
        <v>1105</v>
      </c>
      <c r="J19">
        <f>INDEX('Assumptions and Free Cash Flow'!N:N,Graphs!$K$6)</f>
        <v>842</v>
      </c>
      <c r="K19">
        <f>INDEX('Assumptions and Free Cash Flow'!O:O,Graphs!$K$6)</f>
        <v>600.5</v>
      </c>
      <c r="L19">
        <f>INDEX('Assumptions and Free Cash Flow'!P:P,Graphs!$K$6)</f>
        <v>1423</v>
      </c>
      <c r="M19">
        <f>INDEX('Assumptions and Free Cash Flow'!Q:Q,Graphs!$K$6)</f>
        <v>2445.5</v>
      </c>
      <c r="N19">
        <f>INDEX('Assumptions and Free Cash Flow'!R:R,Graphs!$K$6)</f>
        <v>3772</v>
      </c>
      <c r="O19">
        <f>INDEX('Assumptions and Free Cash Flow'!S:S,Graphs!$K$6)</f>
        <v>4964</v>
      </c>
      <c r="P19">
        <f>INDEX('Assumptions and Free Cash Flow'!T:T,Graphs!$K$6)</f>
        <v>5646</v>
      </c>
      <c r="Q19">
        <f>INDEX('Assumptions and Free Cash Flow'!U:U,Graphs!$K$6)</f>
        <v>5006</v>
      </c>
      <c r="R19">
        <f>INDEX('Assumptions and Free Cash Flow'!V:V,Graphs!$K$6)</f>
        <v>4024</v>
      </c>
      <c r="S19">
        <f>INDEX('Assumptions and Free Cash Flow'!W:W,Graphs!$K$6)</f>
        <v>4476.5</v>
      </c>
      <c r="T19">
        <f>INDEX('Assumptions and Free Cash Flow'!X:X,Graphs!$K$6)</f>
        <v>0</v>
      </c>
      <c r="U19">
        <f>INDEX('Assumptions and Free Cash Flow'!Y:Y,Graphs!$K$6)</f>
        <v>0</v>
      </c>
      <c r="V19">
        <f>INDEX('Assumptions and Free Cash Flow'!Z:Z,Graphs!$K$6)</f>
        <v>0</v>
      </c>
      <c r="W19">
        <f>INDEX('Assumptions and Free Cash Flow'!AA:AA,Graphs!$K$6)</f>
        <v>0</v>
      </c>
      <c r="X19">
        <f>INDEX('Assumptions and Free Cash Flow'!AB:AB,Graphs!$K$6)</f>
        <v>0</v>
      </c>
      <c r="Y19">
        <f>INDEX('Assumptions and Free Cash Flow'!AC:AC,Graphs!$K$6)</f>
        <v>0</v>
      </c>
      <c r="Z19">
        <f>INDEX('Assumptions and Free Cash Flow'!AD:AD,Graphs!$K$6)</f>
        <v>0</v>
      </c>
      <c r="AA19">
        <f>INDEX('Assumptions and Free Cash Flow'!AE:AE,Graphs!$K$6)</f>
        <v>0</v>
      </c>
      <c r="AB19">
        <f>INDEX('Assumptions and Free Cash Flow'!AF:AF,Graphs!$K$6)</f>
        <v>0</v>
      </c>
      <c r="AC19">
        <f>INDEX('Assumptions and Free Cash Flow'!AG:AG,Graphs!$K$6)</f>
        <v>0</v>
      </c>
    </row>
    <row r="20" spans="2:29" x14ac:dyDescent="0.35">
      <c r="B20" t="str">
        <f>IF(ISTEXT('Assumptions and Free Cash Flow'!C24),'Assumptions and Free Cash Flow'!C24,"")</f>
        <v>Property Plant and Equipment</v>
      </c>
      <c r="D20" s="42" t="str">
        <v>Cap Exp to Depreciation</v>
      </c>
      <c r="E20">
        <f>MATCH(D20,'Assumptions and Free Cash Flow'!C:C,0)</f>
        <v>30</v>
      </c>
    </row>
    <row r="21" spans="2:29" x14ac:dyDescent="0.35">
      <c r="B21" t="str">
        <f>IF(ISTEXT('Assumptions and Free Cash Flow'!C25),'Assumptions and Free Cash Flow'!C25,"")</f>
        <v>Average</v>
      </c>
      <c r="D21" s="42" t="str">
        <v>Trade and Other Recievables</v>
      </c>
      <c r="E21">
        <f>MATCH(D21,'Assumptions and Free Cash Flow'!C:C,0)</f>
        <v>34</v>
      </c>
    </row>
    <row r="22" spans="2:29" x14ac:dyDescent="0.35">
      <c r="B22" t="str">
        <f>IF(ISTEXT('Assumptions and Free Cash Flow'!C26),'Assumptions and Free Cash Flow'!C26,"")</f>
        <v>Depreciation Rate</v>
      </c>
      <c r="D22" s="42" t="str">
        <v>Trade and Other as Percent of Sales</v>
      </c>
      <c r="E22">
        <f>MATCH(D22,'Assumptions and Free Cash Flow'!C:C,0)</f>
        <v>35</v>
      </c>
      <c r="I22">
        <f>I19</f>
        <v>1105</v>
      </c>
      <c r="J22">
        <f t="shared" ref="J22:AC22" si="5">J19</f>
        <v>842</v>
      </c>
      <c r="K22">
        <f t="shared" si="5"/>
        <v>600.5</v>
      </c>
      <c r="L22">
        <f t="shared" si="5"/>
        <v>1423</v>
      </c>
      <c r="M22">
        <f t="shared" si="5"/>
        <v>2445.5</v>
      </c>
      <c r="N22">
        <f t="shared" si="5"/>
        <v>3772</v>
      </c>
      <c r="O22">
        <f t="shared" si="5"/>
        <v>4964</v>
      </c>
      <c r="P22">
        <f t="shared" si="5"/>
        <v>5646</v>
      </c>
      <c r="Q22">
        <f t="shared" si="5"/>
        <v>5006</v>
      </c>
      <c r="R22">
        <f t="shared" si="5"/>
        <v>4024</v>
      </c>
      <c r="S22">
        <f t="shared" si="5"/>
        <v>4476.5</v>
      </c>
      <c r="T22">
        <f t="shared" si="5"/>
        <v>0</v>
      </c>
      <c r="U22">
        <f t="shared" si="5"/>
        <v>0</v>
      </c>
      <c r="V22">
        <f t="shared" si="5"/>
        <v>0</v>
      </c>
      <c r="W22">
        <f t="shared" si="5"/>
        <v>0</v>
      </c>
      <c r="X22">
        <f t="shared" si="5"/>
        <v>0</v>
      </c>
      <c r="Y22">
        <f t="shared" si="5"/>
        <v>0</v>
      </c>
      <c r="Z22">
        <f t="shared" si="5"/>
        <v>0</v>
      </c>
      <c r="AA22">
        <f t="shared" si="5"/>
        <v>0</v>
      </c>
      <c r="AB22">
        <f t="shared" si="5"/>
        <v>0</v>
      </c>
      <c r="AC22">
        <f t="shared" si="5"/>
        <v>0</v>
      </c>
    </row>
    <row r="23" spans="2:29" x14ac:dyDescent="0.35">
      <c r="B23" t="str">
        <f>IF(ISTEXT('Assumptions and Free Cash Flow'!C27),'Assumptions and Free Cash Flow'!C27,"")</f>
        <v/>
      </c>
      <c r="D23" s="42" t="str">
        <v>Accounts Payable</v>
      </c>
      <c r="E23">
        <f>MATCH(D23,'Assumptions and Free Cash Flow'!C:C,0)</f>
        <v>37</v>
      </c>
      <c r="H23" t="str">
        <f>H12</f>
        <v>ROIC Historic and Projected</v>
      </c>
      <c r="I23">
        <f>I12</f>
        <v>9.6453825609257374E-2</v>
      </c>
      <c r="J23">
        <f t="shared" ref="J23:AC23" si="6">J12</f>
        <v>6.0478688129446331E-2</v>
      </c>
      <c r="K23">
        <f t="shared" si="6"/>
        <v>8.346502553448916E-2</v>
      </c>
      <c r="L23">
        <f t="shared" si="6"/>
        <v>8.1943861425598882E-2</v>
      </c>
      <c r="M23">
        <f t="shared" si="6"/>
        <v>6.1890639693700608E-2</v>
      </c>
      <c r="N23">
        <f t="shared" si="6"/>
        <v>7.3989562259726208E-2</v>
      </c>
      <c r="O23">
        <f t="shared" si="6"/>
        <v>6.6920369051868961E-2</v>
      </c>
      <c r="P23">
        <f t="shared" si="6"/>
        <v>6.2689497753341927E-2</v>
      </c>
      <c r="Q23">
        <f t="shared" si="6"/>
        <v>6.1173295258931809E-2</v>
      </c>
      <c r="R23">
        <f t="shared" si="6"/>
        <v>5.914750332313487E-2</v>
      </c>
      <c r="S23">
        <f t="shared" si="6"/>
        <v>6.1889314509294892E-2</v>
      </c>
      <c r="T23">
        <f t="shared" si="6"/>
        <v>6.0500454769164901E-2</v>
      </c>
      <c r="U23">
        <f t="shared" si="6"/>
        <v>5.7034594410547368E-2</v>
      </c>
      <c r="V23">
        <f t="shared" si="6"/>
        <v>5.4281211546962423E-2</v>
      </c>
      <c r="W23">
        <f t="shared" si="6"/>
        <v>5.2887456863399671E-2</v>
      </c>
      <c r="X23">
        <f t="shared" si="6"/>
        <v>5.1775037338455801E-2</v>
      </c>
      <c r="Y23">
        <f t="shared" si="6"/>
        <v>5.0861460197710609E-2</v>
      </c>
      <c r="Z23">
        <f t="shared" si="6"/>
        <v>5.0109798035755534E-2</v>
      </c>
      <c r="AA23">
        <f t="shared" si="6"/>
        <v>4.9490415502709544E-2</v>
      </c>
      <c r="AB23">
        <f t="shared" si="6"/>
        <v>4.8979395371239409E-2</v>
      </c>
      <c r="AC23">
        <f t="shared" si="6"/>
        <v>4.855734445838629E-2</v>
      </c>
    </row>
    <row r="24" spans="2:29" x14ac:dyDescent="0.35">
      <c r="B24" t="str">
        <f>IF(ISTEXT('Assumptions and Free Cash Flow'!C28),'Assumptions and Free Cash Flow'!C28,"")</f>
        <v>Capital Expenditures - Gross</v>
      </c>
      <c r="D24" s="42" t="str">
        <v>A/P as Percent of COGS</v>
      </c>
      <c r="E24">
        <f>MATCH(D24,'Assumptions and Free Cash Flow'!C:C,0)</f>
        <v>38</v>
      </c>
    </row>
    <row r="25" spans="2:29" x14ac:dyDescent="0.35">
      <c r="B25" t="str">
        <f>IF(ISTEXT('Assumptions and Free Cash Flow'!C29),'Assumptions and Free Cash Flow'!C29,"")</f>
        <v>Capital Expenditures - Net</v>
      </c>
      <c r="D25" s="42" t="str">
        <v>Tax Rate Applied</v>
      </c>
      <c r="E25">
        <f>MATCH(D25,'Assumptions and Free Cash Flow'!C:C,0)</f>
        <v>42</v>
      </c>
    </row>
    <row r="26" spans="2:29" x14ac:dyDescent="0.35">
      <c r="B26" t="str">
        <f>IF(ISTEXT('Assumptions and Free Cash Flow'!C30),'Assumptions and Free Cash Flow'!C30,"")</f>
        <v>Cap Exp to Depreciation</v>
      </c>
      <c r="D26" s="42" t="str">
        <v>NOPAT - EBIT x (1-t)</v>
      </c>
      <c r="E26">
        <f>MATCH(D26,'Assumptions and Free Cash Flow'!C:C,0)</f>
        <v>44</v>
      </c>
    </row>
    <row r="27" spans="2:29" x14ac:dyDescent="0.35">
      <c r="B27" t="str">
        <f>IF(ISTEXT('Assumptions and Free Cash Flow'!C31),'Assumptions and Free Cash Flow'!C31,"")</f>
        <v/>
      </c>
      <c r="D27" s="42" t="str">
        <v>Invested Capital - EOY</v>
      </c>
      <c r="E27">
        <f>MATCH(D27,'Assumptions and Free Cash Flow'!C:C,0)</f>
        <v>46</v>
      </c>
    </row>
    <row r="28" spans="2:29" x14ac:dyDescent="0.35">
      <c r="B28" t="str">
        <f>IF(ISTEXT('Assumptions and Free Cash Flow'!C32),'Assumptions and Free Cash Flow'!C32,"")</f>
        <v>Tax Rate</v>
      </c>
      <c r="D28" s="42" t="str">
        <v>Invested Capital - Average</v>
      </c>
      <c r="E28">
        <f>MATCH(D28,'Assumptions and Free Cash Flow'!C:C,0)</f>
        <v>47</v>
      </c>
    </row>
    <row r="29" spans="2:29" x14ac:dyDescent="0.35">
      <c r="B29" t="str">
        <f>IF(ISTEXT('Assumptions and Free Cash Flow'!C33),'Assumptions and Free Cash Flow'!C33,"")</f>
        <v/>
      </c>
      <c r="D29" s="42" t="str">
        <v>ROIC</v>
      </c>
      <c r="E29">
        <f>MATCH(D29,'Assumptions and Free Cash Flow'!C:C,0)</f>
        <v>48</v>
      </c>
    </row>
    <row r="30" spans="2:29" x14ac:dyDescent="0.35">
      <c r="B30" t="str">
        <f>IF(ISTEXT('Assumptions and Free Cash Flow'!C34),'Assumptions and Free Cash Flow'!C34,"")</f>
        <v>Trade and Other Recievables</v>
      </c>
      <c r="D30" s="42" t="str">
        <v>Equity Capital without Minority Interest</v>
      </c>
      <c r="E30">
        <f>MATCH(D30,'Assumptions and Free Cash Flow'!C:C,0)</f>
        <v>50</v>
      </c>
    </row>
    <row r="31" spans="2:29" x14ac:dyDescent="0.35">
      <c r="B31" t="str">
        <f>IF(ISTEXT('Assumptions and Free Cash Flow'!C35),'Assumptions and Free Cash Flow'!C35,"")</f>
        <v>Trade and Other as Percent of Sales</v>
      </c>
      <c r="D31" s="42" t="str">
        <v>Net Income to Common</v>
      </c>
      <c r="E31">
        <f>MATCH(D31,'Assumptions and Free Cash Flow'!C:C,0)</f>
        <v>52</v>
      </c>
    </row>
    <row r="32" spans="2:29" x14ac:dyDescent="0.35">
      <c r="B32" t="str">
        <f>IF(ISTEXT('Assumptions and Free Cash Flow'!C36),'Assumptions and Free Cash Flow'!C36,"")</f>
        <v/>
      </c>
      <c r="D32" s="42" t="str">
        <v>ROE</v>
      </c>
      <c r="E32">
        <f>MATCH(D32,'Assumptions and Free Cash Flow'!C:C,0)</f>
        <v>53</v>
      </c>
    </row>
    <row r="33" spans="2:5" x14ac:dyDescent="0.35">
      <c r="B33" t="str">
        <f>IF(ISTEXT('Assumptions and Free Cash Flow'!C37),'Assumptions and Free Cash Flow'!C37,"")</f>
        <v>Accounts Payable</v>
      </c>
      <c r="D33" s="42" t="str">
        <v>Minority Interest</v>
      </c>
      <c r="E33">
        <f>MATCH(D33,'Assumptions and Free Cash Flow'!C:C,0)</f>
        <v>55</v>
      </c>
    </row>
    <row r="34" spans="2:5" x14ac:dyDescent="0.35">
      <c r="B34" t="str">
        <f>IF(ISTEXT('Assumptions and Free Cash Flow'!C38),'Assumptions and Free Cash Flow'!C38,"")</f>
        <v>A/P as Percent of COGS</v>
      </c>
      <c r="D34" s="42" t="str">
        <v>Average</v>
      </c>
      <c r="E34">
        <f>MATCH(D34,'Assumptions and Free Cash Flow'!C:C,0)</f>
        <v>25</v>
      </c>
    </row>
    <row r="35" spans="2:5" x14ac:dyDescent="0.35">
      <c r="B35" t="str">
        <f>IF(ISTEXT('Assumptions and Free Cash Flow'!C39),'Assumptions and Free Cash Flow'!C39,"")</f>
        <v/>
      </c>
      <c r="D35" s="42" t="str">
        <v>Earnings from Minority Interest</v>
      </c>
      <c r="E35">
        <f>MATCH(D35,'Assumptions and Free Cash Flow'!C:C,0)</f>
        <v>57</v>
      </c>
    </row>
    <row r="36" spans="2:5" x14ac:dyDescent="0.35">
      <c r="B36" t="str">
        <f>IF(ISTEXT('Assumptions and Free Cash Flow'!C40),'Assumptions and Free Cash Flow'!C40,"")</f>
        <v/>
      </c>
      <c r="D36" s="42" t="str">
        <v>ROE to Minority Interest</v>
      </c>
      <c r="E36">
        <f>MATCH(D36,'Assumptions and Free Cash Flow'!C:C,0)</f>
        <v>58</v>
      </c>
    </row>
    <row r="37" spans="2:5" x14ac:dyDescent="0.35">
      <c r="B37" t="str">
        <f>IF(ISTEXT('Assumptions and Free Cash Flow'!C41),'Assumptions and Free Cash Flow'!C41,"")</f>
        <v/>
      </c>
      <c r="D37" s="42" t="str">
        <v>Total Gross Debt</v>
      </c>
      <c r="E37">
        <f>MATCH(D37,'Assumptions and Free Cash Flow'!C:C,0)</f>
        <v>60</v>
      </c>
    </row>
    <row r="38" spans="2:5" x14ac:dyDescent="0.35">
      <c r="B38" t="str">
        <f>IF(ISTEXT('Assumptions and Free Cash Flow'!C42),'Assumptions and Free Cash Flow'!C42,"")</f>
        <v>Tax Rate Applied</v>
      </c>
      <c r="D38" s="42" t="str">
        <v>Average Gross Debt</v>
      </c>
      <c r="E38">
        <f>MATCH(D38,'Assumptions and Free Cash Flow'!C:C,0)</f>
        <v>61</v>
      </c>
    </row>
    <row r="39" spans="2:5" x14ac:dyDescent="0.35">
      <c r="B39" t="str">
        <f>IF(ISTEXT('Assumptions and Free Cash Flow'!C43),'Assumptions and Free Cash Flow'!C43,"")</f>
        <v>EBIT</v>
      </c>
      <c r="D39" s="42" t="str">
        <v>Interest Expense</v>
      </c>
      <c r="E39">
        <f>MATCH(D39,'Assumptions and Free Cash Flow'!C:C,0)</f>
        <v>62</v>
      </c>
    </row>
    <row r="40" spans="2:5" x14ac:dyDescent="0.35">
      <c r="B40" t="str">
        <f>IF(ISTEXT('Assumptions and Free Cash Flow'!C44),'Assumptions and Free Cash Flow'!C44,"")</f>
        <v>NOPAT - EBIT x (1-t)</v>
      </c>
      <c r="D40" s="42" t="str">
        <v>Average Interest Expese</v>
      </c>
      <c r="E40">
        <f>MATCH(D40,'Assumptions and Free Cash Flow'!C:C,0)</f>
        <v>63</v>
      </c>
    </row>
    <row r="41" spans="2:5" x14ac:dyDescent="0.35">
      <c r="B41" t="str">
        <f>IF(ISTEXT('Assumptions and Free Cash Flow'!C45),'Assumptions and Free Cash Flow'!C45,"")</f>
        <v/>
      </c>
      <c r="D41" s="42" t="str">
        <v>Cash and Investments</v>
      </c>
      <c r="E41">
        <f>MATCH(D41,'Assumptions and Free Cash Flow'!C:C,0)</f>
        <v>65</v>
      </c>
    </row>
    <row r="42" spans="2:5" x14ac:dyDescent="0.35">
      <c r="B42" t="str">
        <f>IF(ISTEXT('Assumptions and Free Cash Flow'!C46),'Assumptions and Free Cash Flow'!C46,"")</f>
        <v>Invested Capital - EOY</v>
      </c>
      <c r="D42" s="42" t="str">
        <v>Average Cash and Investments</v>
      </c>
      <c r="E42">
        <f>MATCH(D42,'Assumptions and Free Cash Flow'!C:C,0)</f>
        <v>66</v>
      </c>
    </row>
    <row r="43" spans="2:5" x14ac:dyDescent="0.35">
      <c r="B43" t="str">
        <f>IF(ISTEXT('Assumptions and Free Cash Flow'!C47),'Assumptions and Free Cash Flow'!C47,"")</f>
        <v>Invested Capital - Average</v>
      </c>
      <c r="D43" s="42" t="str">
        <v>Interest Income</v>
      </c>
      <c r="E43">
        <f>MATCH(D43,'Assumptions and Free Cash Flow'!C:C,0)</f>
        <v>67</v>
      </c>
    </row>
    <row r="44" spans="2:5" x14ac:dyDescent="0.35">
      <c r="B44" t="str">
        <f>IF(ISTEXT('Assumptions and Free Cash Flow'!C48),'Assumptions and Free Cash Flow'!C48,"")</f>
        <v>ROIC</v>
      </c>
      <c r="D44" s="42" t="str">
        <v>Average Interest Income Rate</v>
      </c>
      <c r="E44">
        <f>MATCH(D44,'Assumptions and Free Cash Flow'!C:C,0)</f>
        <v>68</v>
      </c>
    </row>
    <row r="45" spans="2:5" x14ac:dyDescent="0.35">
      <c r="B45" t="str">
        <f>IF(ISTEXT('Assumptions and Free Cash Flow'!C49),'Assumptions and Free Cash Flow'!C49,"")</f>
        <v/>
      </c>
      <c r="D45" s="42" t="str">
        <v>Income from Associates</v>
      </c>
      <c r="E45">
        <f>MATCH(D45,'Assumptions and Free Cash Flow'!C:C,0)</f>
        <v>70</v>
      </c>
    </row>
    <row r="46" spans="2:5" x14ac:dyDescent="0.35">
      <c r="B46" t="str">
        <f>IF(ISTEXT('Assumptions and Free Cash Flow'!C50),'Assumptions and Free Cash Flow'!C50,"")</f>
        <v>Equity Capital without Minority Interest</v>
      </c>
      <c r="D46" s="42" t="str">
        <v>Investment in Associates</v>
      </c>
      <c r="E46">
        <f>MATCH(D46,'Assumptions and Free Cash Flow'!C:C,0)</f>
        <v>71</v>
      </c>
    </row>
    <row r="47" spans="2:5" x14ac:dyDescent="0.35">
      <c r="B47" t="str">
        <f>IF(ISTEXT('Assumptions and Free Cash Flow'!C51),'Assumptions and Free Cash Flow'!C51,"")</f>
        <v>Average</v>
      </c>
      <c r="D47" s="42" t="str">
        <v>Average Investment in Associates</v>
      </c>
      <c r="E47">
        <f>MATCH(D47,'Assumptions and Free Cash Flow'!C:C,0)</f>
        <v>72</v>
      </c>
    </row>
    <row r="48" spans="2:5" x14ac:dyDescent="0.35">
      <c r="B48" t="str">
        <f>IF(ISTEXT('Assumptions and Free Cash Flow'!C52),'Assumptions and Free Cash Flow'!C52,"")</f>
        <v>Net Income to Common</v>
      </c>
      <c r="D48" s="42" t="str">
        <v>Return on Investments in Associates</v>
      </c>
      <c r="E48">
        <f>MATCH(D48,'Assumptions and Free Cash Flow'!C:C,0)</f>
        <v>73</v>
      </c>
    </row>
    <row r="49" spans="2:5" x14ac:dyDescent="0.35">
      <c r="B49" t="str">
        <f>IF(ISTEXT('Assumptions and Free Cash Flow'!C53),'Assumptions and Free Cash Flow'!C53,"")</f>
        <v>ROE</v>
      </c>
      <c r="D49" s="42" t="str">
        <v>Share Price</v>
      </c>
      <c r="E49">
        <f>MATCH(D49,'Assumptions and Free Cash Flow'!C:C,0)</f>
        <v>75</v>
      </c>
    </row>
    <row r="50" spans="2:5" x14ac:dyDescent="0.35">
      <c r="B50" t="str">
        <f>IF(ISTEXT('Assumptions and Free Cash Flow'!C54),'Assumptions and Free Cash Flow'!C54,"")</f>
        <v/>
      </c>
      <c r="D50" s="42" t="str">
        <v>Market Capital</v>
      </c>
      <c r="E50">
        <f>MATCH(D50,'Assumptions and Free Cash Flow'!C:C,0)</f>
        <v>76</v>
      </c>
    </row>
    <row r="51" spans="2:5" x14ac:dyDescent="0.35">
      <c r="B51" t="str">
        <f>IF(ISTEXT('Assumptions and Free Cash Flow'!C55),'Assumptions and Free Cash Flow'!C55,"")</f>
        <v>Minority Interest</v>
      </c>
      <c r="D51" s="42" t="str">
        <v>Earnings to Common</v>
      </c>
      <c r="E51">
        <f>MATCH(D51,'Assumptions and Free Cash Flow'!C:C,0)</f>
        <v>77</v>
      </c>
    </row>
    <row r="52" spans="2:5" x14ac:dyDescent="0.35">
      <c r="B52" t="str">
        <f>IF(ISTEXT('Assumptions and Free Cash Flow'!C56),'Assumptions and Free Cash Flow'!C56,"")</f>
        <v>Average</v>
      </c>
      <c r="D52" s="42" t="str">
        <v>P/E ratio from LTM</v>
      </c>
      <c r="E52">
        <f>MATCH(D52,'Assumptions and Free Cash Flow'!C:C,0)</f>
        <v>78</v>
      </c>
    </row>
    <row r="53" spans="2:5" x14ac:dyDescent="0.35">
      <c r="B53" t="str">
        <f>IF(ISTEXT('Assumptions and Free Cash Flow'!C57),'Assumptions and Free Cash Flow'!C57,"")</f>
        <v>Earnings from Minority Interest</v>
      </c>
      <c r="D53" s="42" t="str">
        <v>P/E ratio from Forward</v>
      </c>
      <c r="E53">
        <f>MATCH(D53,'Assumptions and Free Cash Flow'!C:C,0)</f>
        <v>79</v>
      </c>
    </row>
    <row r="54" spans="2:5" x14ac:dyDescent="0.35">
      <c r="B54" t="str">
        <f>IF(ISTEXT('Assumptions and Free Cash Flow'!C58),'Assumptions and Free Cash Flow'!C58,"")</f>
        <v>ROE to Minority Interest</v>
      </c>
      <c r="D54" s="42" t="str">
        <v>Net Debt</v>
      </c>
      <c r="E54">
        <f>MATCH(D54,'Assumptions and Free Cash Flow'!C:C,0)</f>
        <v>81</v>
      </c>
    </row>
    <row r="55" spans="2:5" x14ac:dyDescent="0.35">
      <c r="B55" t="str">
        <f>IF(ISTEXT('Assumptions and Free Cash Flow'!C59),'Assumptions and Free Cash Flow'!C59,"")</f>
        <v/>
      </c>
      <c r="D55" s="42" t="str">
        <v>Enterprise Value</v>
      </c>
      <c r="E55">
        <f>MATCH(D55,'Assumptions and Free Cash Flow'!C:C,0)</f>
        <v>82</v>
      </c>
    </row>
    <row r="56" spans="2:5" x14ac:dyDescent="0.35">
      <c r="B56" t="str">
        <f>IF(ISTEXT('Assumptions and Free Cash Flow'!C60),'Assumptions and Free Cash Flow'!C60,"")</f>
        <v>Total Gross Debt</v>
      </c>
      <c r="D56" s="42" t="str">
        <v>EV to EBITDA</v>
      </c>
      <c r="E56">
        <f>MATCH(D56,'Assumptions and Free Cash Flow'!C:C,0)</f>
        <v>84</v>
      </c>
    </row>
    <row r="57" spans="2:5" x14ac:dyDescent="0.35">
      <c r="B57" t="str">
        <f>IF(ISTEXT('Assumptions and Free Cash Flow'!C61),'Assumptions and Free Cash Flow'!C61,"")</f>
        <v>Average Gross Debt</v>
      </c>
      <c r="D57" s="42" t="str">
        <v>EV to EBIT</v>
      </c>
      <c r="E57">
        <f>MATCH(D57,'Assumptions and Free Cash Flow'!C:C,0)</f>
        <v>85</v>
      </c>
    </row>
    <row r="58" spans="2:5" x14ac:dyDescent="0.35">
      <c r="B58" t="str">
        <f>IF(ISTEXT('Assumptions and Free Cash Flow'!C62),'Assumptions and Free Cash Flow'!C62,"")</f>
        <v>Interest Expense</v>
      </c>
      <c r="D58" s="42" t="str">
        <v>Price to Book Ratio</v>
      </c>
      <c r="E58">
        <f>MATCH(D58,'Assumptions and Free Cash Flow'!C:C,0)</f>
        <v>87</v>
      </c>
    </row>
    <row r="59" spans="2:5" x14ac:dyDescent="0.35">
      <c r="B59" t="str">
        <f>IF(ISTEXT('Assumptions and Free Cash Flow'!C63),'Assumptions and Free Cash Flow'!C63,"")</f>
        <v>Average Interest Expese</v>
      </c>
      <c r="D59" s="42" t="str">
        <v>EV to Invested Capital Ratio</v>
      </c>
      <c r="E59">
        <f>MATCH(D59,'Assumptions and Free Cash Flow'!C:C,0)</f>
        <v>88</v>
      </c>
    </row>
    <row r="60" spans="2:5" x14ac:dyDescent="0.35">
      <c r="B60" t="str">
        <f>IF(ISTEXT('Assumptions and Free Cash Flow'!C64),'Assumptions and Free Cash Flow'!C64,"")</f>
        <v/>
      </c>
      <c r="D60" s="42" t="str">
        <v>Number of shares year end excl treasury shares</v>
      </c>
      <c r="E60">
        <f>MATCH(D60,'Assumptions and Free Cash Flow'!C:C,0)</f>
        <v>90</v>
      </c>
    </row>
    <row r="61" spans="2:5" x14ac:dyDescent="0.35">
      <c r="B61" t="str">
        <f>IF(ISTEXT('Assumptions and Free Cash Flow'!C65),'Assumptions and Free Cash Flow'!C65,"")</f>
        <v>Cash and Investments</v>
      </c>
      <c r="D61" s="42" t="str">
        <v>Volume of sales</v>
      </c>
      <c r="E61">
        <f>MATCH(D61,'Assumptions and Free Cash Flow'!C:C,0)</f>
        <v>95</v>
      </c>
    </row>
    <row r="62" spans="2:5" x14ac:dyDescent="0.35">
      <c r="B62" t="str">
        <f>IF(ISTEXT('Assumptions and Free Cash Flow'!C66),'Assumptions and Free Cash Flow'!C66,"")</f>
        <v>Average Cash and Investments</v>
      </c>
      <c r="D62" s="42" t="str">
        <v>Bear case Volumes</v>
      </c>
      <c r="E62">
        <f>MATCH(D62,'Assumptions and Free Cash Flow'!C:C,0)</f>
        <v>96</v>
      </c>
    </row>
    <row r="63" spans="2:5" x14ac:dyDescent="0.35">
      <c r="B63" t="str">
        <f>IF(ISTEXT('Assumptions and Free Cash Flow'!C67),'Assumptions and Free Cash Flow'!C67,"")</f>
        <v>Interest Income</v>
      </c>
      <c r="D63" s="42" t="str">
        <v>Historic price per volume unit</v>
      </c>
      <c r="E63">
        <f>MATCH(D63,'Assumptions and Free Cash Flow'!C:C,0)</f>
        <v>98</v>
      </c>
    </row>
    <row r="64" spans="2:5" x14ac:dyDescent="0.35">
      <c r="B64" t="str">
        <f>IF(ISTEXT('Assumptions and Free Cash Flow'!C68),'Assumptions and Free Cash Flow'!C68,"")</f>
        <v>Average Interest Income Rate</v>
      </c>
      <c r="D64" s="42" t="str">
        <v>Bear case Price</v>
      </c>
      <c r="E64">
        <f>MATCH(D64,'Assumptions and Free Cash Flow'!C:C,0)</f>
        <v>99</v>
      </c>
    </row>
    <row r="65" spans="2:5" x14ac:dyDescent="0.35">
      <c r="B65" t="str">
        <f>IF(ISTEXT('Assumptions and Free Cash Flow'!C69),'Assumptions and Free Cash Flow'!C69,"")</f>
        <v/>
      </c>
      <c r="D65" s="42" t="str">
        <v>Cost per volume sold</v>
      </c>
      <c r="E65">
        <f>MATCH(D65,'Assumptions and Free Cash Flow'!C:C,0)</f>
        <v>102</v>
      </c>
    </row>
    <row r="66" spans="2:5" x14ac:dyDescent="0.35">
      <c r="B66" t="str">
        <f>IF(ISTEXT('Assumptions and Free Cash Flow'!C70),'Assumptions and Free Cash Flow'!C70,"")</f>
        <v>Income from Associates</v>
      </c>
      <c r="D66" s="42" t="str">
        <v>COGS in pct of revenue</v>
      </c>
      <c r="E66">
        <f>MATCH(D66,'Assumptions and Free Cash Flow'!C:C,0)</f>
        <v>103</v>
      </c>
    </row>
    <row r="67" spans="2:5" x14ac:dyDescent="0.35">
      <c r="B67" t="str">
        <f>IF(ISTEXT('Assumptions and Free Cash Flow'!C71),'Assumptions and Free Cash Flow'!C71,"")</f>
        <v>Investment in Associates</v>
      </c>
      <c r="D67" s="42" t="str">
        <v>Admin as Pct of Sales</v>
      </c>
      <c r="E67">
        <f>MATCH(D67,'Assumptions and Free Cash Flow'!C:C,0)</f>
        <v>22</v>
      </c>
    </row>
    <row r="68" spans="2:5" x14ac:dyDescent="0.35">
      <c r="B68" t="str">
        <f>IF(ISTEXT('Assumptions and Free Cash Flow'!C72),'Assumptions and Free Cash Flow'!C72,"")</f>
        <v>Average Investment in Associates</v>
      </c>
      <c r="D68" s="42" t="str">
        <v>Other Income and Restructuring</v>
      </c>
      <c r="E68">
        <f>MATCH(D68,'Assumptions and Free Cash Flow'!C:C,0)</f>
        <v>106</v>
      </c>
    </row>
    <row r="69" spans="2:5" x14ac:dyDescent="0.35">
      <c r="B69" t="str">
        <f>IF(ISTEXT('Assumptions and Free Cash Flow'!C73),'Assumptions and Free Cash Flow'!C73,"")</f>
        <v>Return on Investments in Associates</v>
      </c>
      <c r="D69" s="42" t="str">
        <v>Accounts receivables in pct of revenue</v>
      </c>
      <c r="E69">
        <f>MATCH(D69,'Assumptions and Free Cash Flow'!C:C,0)</f>
        <v>109</v>
      </c>
    </row>
    <row r="70" spans="2:5" x14ac:dyDescent="0.35">
      <c r="B70" t="str">
        <f>IF(ISTEXT('Assumptions and Free Cash Flow'!C74),'Assumptions and Free Cash Flow'!C74,"")</f>
        <v/>
      </c>
      <c r="D70" s="42" t="str">
        <v>Inventory in pct of COGS</v>
      </c>
      <c r="E70">
        <f>MATCH(D70,'Assumptions and Free Cash Flow'!C:C,0)</f>
        <v>110</v>
      </c>
    </row>
    <row r="71" spans="2:5" x14ac:dyDescent="0.35">
      <c r="B71" t="str">
        <f>IF(ISTEXT('Assumptions and Free Cash Flow'!C75),'Assumptions and Free Cash Flow'!C75,"")</f>
        <v>Share Price</v>
      </c>
      <c r="D71" s="42" t="str">
        <v>Accounts payables in pct of COGS</v>
      </c>
      <c r="E71">
        <f>MATCH(D71,'Assumptions and Free Cash Flow'!C:C,0)</f>
        <v>111</v>
      </c>
    </row>
    <row r="72" spans="2:5" x14ac:dyDescent="0.35">
      <c r="B72" t="str">
        <f>IF(ISTEXT('Assumptions and Free Cash Flow'!C76),'Assumptions and Free Cash Flow'!C76,"")</f>
        <v>Market Capital</v>
      </c>
      <c r="D72" s="42" t="str">
        <v>Other current liabilities in pct of revenue</v>
      </c>
      <c r="E72">
        <f>MATCH(D72,'Assumptions and Free Cash Flow'!C:C,0)</f>
        <v>112</v>
      </c>
    </row>
    <row r="73" spans="2:5" x14ac:dyDescent="0.35">
      <c r="B73" t="str">
        <f>IF(ISTEXT('Assumptions and Free Cash Flow'!C77),'Assumptions and Free Cash Flow'!C77,"")</f>
        <v>Earnings to Common</v>
      </c>
      <c r="D73" s="42" t="str">
        <v>Capex</v>
      </c>
      <c r="E73">
        <f>MATCH(D73,'Assumptions and Free Cash Flow'!C:C,0)</f>
        <v>114</v>
      </c>
    </row>
    <row r="74" spans="2:5" x14ac:dyDescent="0.35">
      <c r="B74" t="str">
        <f>IF(ISTEXT('Assumptions and Free Cash Flow'!C78),'Assumptions and Free Cash Flow'!C78,"")</f>
        <v>P/E ratio from LTM</v>
      </c>
      <c r="D74" s="42" t="str">
        <v xml:space="preserve">  Depreciation</v>
      </c>
      <c r="E74">
        <f>MATCH(D74,'Assumptions and Free Cash Flow'!C:C,0)</f>
        <v>116</v>
      </c>
    </row>
    <row r="75" spans="2:5" x14ac:dyDescent="0.35">
      <c r="B75" t="str">
        <f>IF(ISTEXT('Assumptions and Free Cash Flow'!C79),'Assumptions and Free Cash Flow'!C79,"")</f>
        <v>P/E ratio from Forward</v>
      </c>
      <c r="D75" s="42" t="str">
        <v xml:space="preserve">  Tax Rate</v>
      </c>
      <c r="E75">
        <f>MATCH(D75,'Assumptions and Free Cash Flow'!C:C,0)</f>
        <v>117</v>
      </c>
    </row>
    <row r="76" spans="2:5" x14ac:dyDescent="0.35">
      <c r="B76" t="str">
        <f>IF(ISTEXT('Assumptions and Free Cash Flow'!C80),'Assumptions and Free Cash Flow'!C80,"")</f>
        <v/>
      </c>
      <c r="D76" s="42" t="str">
        <v>Price</v>
      </c>
      <c r="E76">
        <f>MATCH(D76,'Assumptions and Free Cash Flow'!C:C,0)</f>
        <v>121</v>
      </c>
    </row>
    <row r="77" spans="2:5" x14ac:dyDescent="0.35">
      <c r="B77" t="str">
        <f>IF(ISTEXT('Assumptions and Free Cash Flow'!C81),'Assumptions and Free Cash Flow'!C81,"")</f>
        <v>Net Debt</v>
      </c>
      <c r="D77" s="42" t="str">
        <v>Quantity</v>
      </c>
      <c r="E77">
        <f>MATCH(D77,'Assumptions and Free Cash Flow'!C:C,0)</f>
        <v>122</v>
      </c>
    </row>
    <row r="78" spans="2:5" x14ac:dyDescent="0.35">
      <c r="B78" t="str">
        <f>IF(ISTEXT('Assumptions and Free Cash Flow'!C82),'Assumptions and Free Cash Flow'!C82,"")</f>
        <v>Enterprise Value</v>
      </c>
      <c r="D78" s="42" t="str">
        <v>Revenue for valuation</v>
      </c>
      <c r="E78">
        <f>MATCH(D78,'Assumptions and Free Cash Flow'!C:C,0)</f>
        <v>123</v>
      </c>
    </row>
    <row r="79" spans="2:5" x14ac:dyDescent="0.35">
      <c r="B79" t="str">
        <f>IF(ISTEXT('Assumptions and Free Cash Flow'!C83),'Assumptions and Free Cash Flow'!C83,"")</f>
        <v/>
      </c>
      <c r="D79" s="42" t="str">
        <v>COGS for valuation</v>
      </c>
      <c r="E79">
        <f>MATCH(D79,'Assumptions and Free Cash Flow'!C:C,0)</f>
        <v>127</v>
      </c>
    </row>
    <row r="80" spans="2:5" x14ac:dyDescent="0.35">
      <c r="B80" t="str">
        <f>IF(ISTEXT('Assumptions and Free Cash Flow'!C84),'Assumptions and Free Cash Flow'!C84,"")</f>
        <v>EV to EBITDA</v>
      </c>
      <c r="D80" s="42" t="str">
        <v>SG&amp;A in pct of revenue</v>
      </c>
      <c r="E80">
        <f>MATCH(D80,'Assumptions and Free Cash Flow'!C:C,0)</f>
        <v>130</v>
      </c>
    </row>
    <row r="81" spans="2:5" x14ac:dyDescent="0.35">
      <c r="B81" t="str">
        <f>IF(ISTEXT('Assumptions and Free Cash Flow'!C85),'Assumptions and Free Cash Flow'!C85,"")</f>
        <v>EV to EBIT</v>
      </c>
      <c r="D81" s="42" t="str">
        <v>SG&amp;A for valuation</v>
      </c>
      <c r="E81">
        <f>MATCH(D81,'Assumptions and Free Cash Flow'!C:C,0)</f>
        <v>131</v>
      </c>
    </row>
    <row r="82" spans="2:5" x14ac:dyDescent="0.35">
      <c r="B82" t="str">
        <f>IF(ISTEXT('Assumptions and Free Cash Flow'!C86),'Assumptions and Free Cash Flow'!C86,"")</f>
        <v/>
      </c>
      <c r="D82" s="42" t="str">
        <v>Admin in pct of sales</v>
      </c>
      <c r="E82">
        <f>MATCH(D82,'Assumptions and Free Cash Flow'!C:C,0)</f>
        <v>134</v>
      </c>
    </row>
    <row r="83" spans="2:5" x14ac:dyDescent="0.35">
      <c r="B83" t="str">
        <f>IF(ISTEXT('Assumptions and Free Cash Flow'!C87),'Assumptions and Free Cash Flow'!C87,"")</f>
        <v>Price to Book Ratio</v>
      </c>
      <c r="D83" s="42" t="str">
        <v>Admin for valuation</v>
      </c>
      <c r="E83">
        <f>MATCH(D83,'Assumptions and Free Cash Flow'!C:C,0)</f>
        <v>135</v>
      </c>
    </row>
    <row r="84" spans="2:5" x14ac:dyDescent="0.35">
      <c r="B84" t="str">
        <f>IF(ISTEXT('Assumptions and Free Cash Flow'!C88),'Assumptions and Free Cash Flow'!C88,"")</f>
        <v>EV to Invested Capital Ratio</v>
      </c>
      <c r="D84" s="42" t="str">
        <v>Other - Restructuring</v>
      </c>
      <c r="E84">
        <f>MATCH(D84,'Assumptions and Free Cash Flow'!C:C,0)</f>
        <v>137</v>
      </c>
    </row>
    <row r="85" spans="2:5" x14ac:dyDescent="0.35">
      <c r="B85" t="str">
        <f>IF(ISTEXT('Assumptions and Free Cash Flow'!C89),'Assumptions and Free Cash Flow'!C89,"")</f>
        <v/>
      </c>
      <c r="D85" s="42" t="str">
        <v>EBITDA Historic and Projected</v>
      </c>
      <c r="E85">
        <f>MATCH(D85,'Assumptions and Free Cash Flow'!C:C,0)</f>
        <v>139</v>
      </c>
    </row>
    <row r="86" spans="2:5" x14ac:dyDescent="0.35">
      <c r="B86" t="str">
        <f>IF(ISTEXT('Assumptions and Free Cash Flow'!C90),'Assumptions and Free Cash Flow'!C90,"")</f>
        <v>Number of shares year end excl treasury shares</v>
      </c>
      <c r="D86" s="42" t="str">
        <v>EBITDA historic</v>
      </c>
      <c r="E86">
        <f>MATCH(D86,'Assumptions and Free Cash Flow'!C:C,0)</f>
        <v>140</v>
      </c>
    </row>
    <row r="87" spans="2:5" x14ac:dyDescent="0.35">
      <c r="B87" t="str">
        <f>IF(ISTEXT('Assumptions and Free Cash Flow'!C91),'Assumptions and Free Cash Flow'!C91,"")</f>
        <v/>
      </c>
      <c r="D87" s="42" t="str">
        <v>Difference</v>
      </c>
      <c r="E87">
        <f>MATCH(D87,'Assumptions and Free Cash Flow'!C:C,0)</f>
        <v>141</v>
      </c>
    </row>
    <row r="88" spans="2:5" x14ac:dyDescent="0.35">
      <c r="B88" t="str">
        <f>IF(ISTEXT('Assumptions and Free Cash Flow'!C92),'Assumptions and Free Cash Flow'!C92,"")</f>
        <v/>
      </c>
      <c r="D88" s="42" t="str">
        <v>Accounts receivable</v>
      </c>
      <c r="E88">
        <f>MATCH(D88,'Assumptions and Free Cash Flow'!C:C,0)</f>
        <v>144</v>
      </c>
    </row>
    <row r="89" spans="2:5" x14ac:dyDescent="0.35">
      <c r="B89" t="str">
        <f>IF(ISTEXT('Assumptions and Free Cash Flow'!C93),'Assumptions and Free Cash Flow'!C93,"")</f>
        <v/>
      </c>
      <c r="D89" s="42" t="str">
        <v>Inventory</v>
      </c>
      <c r="E89">
        <f>MATCH(D89,'Assumptions and Free Cash Flow'!C:C,0)</f>
        <v>145</v>
      </c>
    </row>
    <row r="90" spans="2:5" x14ac:dyDescent="0.35">
      <c r="B90" t="str">
        <f>IF(ISTEXT('Assumptions and Free Cash Flow'!C94),'Assumptions and Free Cash Flow'!C94,"")</f>
        <v/>
      </c>
      <c r="D90" s="42" t="str">
        <v>Accounts payable</v>
      </c>
      <c r="E90">
        <f>MATCH(D90,'Assumptions and Free Cash Flow'!C:C,0)</f>
        <v>37</v>
      </c>
    </row>
    <row r="91" spans="2:5" x14ac:dyDescent="0.35">
      <c r="B91" t="str">
        <f>IF(ISTEXT('Assumptions and Free Cash Flow'!C95),'Assumptions and Free Cash Flow'!C95,"")</f>
        <v>Volume of sales</v>
      </c>
      <c r="D91" s="42" t="str">
        <v>Other current liabilities</v>
      </c>
      <c r="E91">
        <f>MATCH(D91,'Assumptions and Free Cash Flow'!C:C,0)</f>
        <v>147</v>
      </c>
    </row>
    <row r="92" spans="2:5" x14ac:dyDescent="0.35">
      <c r="B92" t="str">
        <f>IF(ISTEXT('Assumptions and Free Cash Flow'!C96),'Assumptions and Free Cash Flow'!C96,"")</f>
        <v>Bear case Volumes</v>
      </c>
      <c r="D92" s="42" t="str">
        <v>Other current Assets</v>
      </c>
      <c r="E92">
        <f>MATCH(D92,'Assumptions and Free Cash Flow'!C:C,0)</f>
        <v>148</v>
      </c>
    </row>
    <row r="93" spans="2:5" x14ac:dyDescent="0.35">
      <c r="B93" t="str">
        <f>IF(ISTEXT('Assumptions and Free Cash Flow'!C97),'Assumptions and Free Cash Flow'!C97,"")</f>
        <v/>
      </c>
      <c r="D93" s="42" t="str">
        <v>Net working capital</v>
      </c>
      <c r="E93">
        <f>MATCH(D93,'Assumptions and Free Cash Flow'!C:C,0)</f>
        <v>149</v>
      </c>
    </row>
    <row r="94" spans="2:5" x14ac:dyDescent="0.35">
      <c r="B94" t="str">
        <f>IF(ISTEXT('Assumptions and Free Cash Flow'!C98),'Assumptions and Free Cash Flow'!C98,"")</f>
        <v>Historic price per volume unit</v>
      </c>
      <c r="D94" s="42" t="str">
        <v>Change in net working capital</v>
      </c>
      <c r="E94">
        <f>MATCH(D94,'Assumptions and Free Cash Flow'!C:C,0)</f>
        <v>150</v>
      </c>
    </row>
    <row r="95" spans="2:5" x14ac:dyDescent="0.35">
      <c r="B95" t="str">
        <f>IF(ISTEXT('Assumptions and Free Cash Flow'!C99),'Assumptions and Free Cash Flow'!C99,"")</f>
        <v>Bear case Price</v>
      </c>
      <c r="D95" s="42" t="str">
        <v>EBITDA projected and history</v>
      </c>
      <c r="E95">
        <f>MATCH(D95,'Assumptions and Free Cash Flow'!C:C,0)</f>
        <v>151</v>
      </c>
    </row>
    <row r="96" spans="2:5" x14ac:dyDescent="0.35">
      <c r="B96" t="str">
        <f>IF(ISTEXT('Assumptions and Free Cash Flow'!C100),'Assumptions and Free Cash Flow'!C100,"")</f>
        <v/>
      </c>
      <c r="D96" s="42" t="str">
        <v>Capital Expenditures</v>
      </c>
      <c r="E96">
        <f>MATCH(D96,'Assumptions and Free Cash Flow'!C:C,0)</f>
        <v>156</v>
      </c>
    </row>
    <row r="97" spans="2:5" x14ac:dyDescent="0.35">
      <c r="B97" t="str">
        <f>IF(ISTEXT('Assumptions and Free Cash Flow'!C101),'Assumptions and Free Cash Flow'!C101,"")</f>
        <v/>
      </c>
      <c r="D97" s="42" t="str">
        <v>Opening Balance</v>
      </c>
      <c r="E97">
        <f>MATCH(D97,'Assumptions and Free Cash Flow'!C:C,0)</f>
        <v>161</v>
      </c>
    </row>
    <row r="98" spans="2:5" x14ac:dyDescent="0.35">
      <c r="B98" t="str">
        <f>IF(ISTEXT('Assumptions and Free Cash Flow'!C102),'Assumptions and Free Cash Flow'!C102,"")</f>
        <v>Cost per volume sold</v>
      </c>
      <c r="D98" s="42" t="str">
        <v>Add cap Exp</v>
      </c>
      <c r="E98">
        <f>MATCH(D98,'Assumptions and Free Cash Flow'!C:C,0)</f>
        <v>162</v>
      </c>
    </row>
    <row r="99" spans="2:5" x14ac:dyDescent="0.35">
      <c r="B99" t="str">
        <f>IF(ISTEXT('Assumptions and Free Cash Flow'!C103),'Assumptions and Free Cash Flow'!C103,"")</f>
        <v>COGS in pct of revenue</v>
      </c>
      <c r="D99" s="42" t="str">
        <v xml:space="preserve">Less Depreciation </v>
      </c>
      <c r="E99">
        <f>MATCH(D99,'Assumptions and Free Cash Flow'!C:C,0)</f>
        <v>163</v>
      </c>
    </row>
    <row r="100" spans="2:5" x14ac:dyDescent="0.35">
      <c r="B100" t="str">
        <f>IF(ISTEXT('Assumptions and Free Cash Flow'!C104),'Assumptions and Free Cash Flow'!C104,"")</f>
        <v>SG&amp;A as Pct of Sales</v>
      </c>
      <c r="D100" s="42" t="str">
        <v>Closing</v>
      </c>
      <c r="E100">
        <f>MATCH(D100,'Assumptions and Free Cash Flow'!C:C,0)</f>
        <v>164</v>
      </c>
    </row>
    <row r="101" spans="2:5" x14ac:dyDescent="0.35">
      <c r="B101" t="str">
        <f>IF(ISTEXT('Assumptions and Free Cash Flow'!C105),'Assumptions and Free Cash Flow'!C105,"")</f>
        <v>Admin as Pct of Sales</v>
      </c>
      <c r="D101" s="42" t="str">
        <v>Net Plant</v>
      </c>
      <c r="E101">
        <f>MATCH(D101,'Assumptions and Free Cash Flow'!C:C,0)</f>
        <v>167</v>
      </c>
    </row>
    <row r="102" spans="2:5" x14ac:dyDescent="0.35">
      <c r="B102" t="str">
        <f>IF(ISTEXT('Assumptions and Free Cash Flow'!C106),'Assumptions and Free Cash Flow'!C106,"")</f>
        <v>Other Income and Restructuring</v>
      </c>
      <c r="D102" s="42" t="str">
        <v>Intangibles</v>
      </c>
      <c r="E102">
        <f>MATCH(D102,'Assumptions and Free Cash Flow'!C:C,0)</f>
        <v>168</v>
      </c>
    </row>
    <row r="103" spans="2:5" x14ac:dyDescent="0.35">
      <c r="B103" t="str">
        <f>IF(ISTEXT('Assumptions and Free Cash Flow'!C107),'Assumptions and Free Cash Flow'!C107,"")</f>
        <v/>
      </c>
      <c r="D103" s="42" t="str">
        <v>Net Working Capital'</v>
      </c>
      <c r="E103">
        <f>MATCH(D103,'Assumptions and Free Cash Flow'!C:C,0)</f>
        <v>169</v>
      </c>
    </row>
    <row r="104" spans="2:5" x14ac:dyDescent="0.35">
      <c r="B104" t="str">
        <f>IF(ISTEXT('Assumptions and Free Cash Flow'!C108),'Assumptions and Free Cash Flow'!C108,"")</f>
        <v/>
      </c>
      <c r="D104" s="42" t="str">
        <v>Net Deferred Tax</v>
      </c>
      <c r="E104">
        <f>MATCH(D104,'Assumptions and Free Cash Flow'!C:C,0)</f>
        <v>154</v>
      </c>
    </row>
    <row r="105" spans="2:5" x14ac:dyDescent="0.35">
      <c r="B105" t="str">
        <f>IF(ISTEXT('Assumptions and Free Cash Flow'!C109),'Assumptions and Free Cash Flow'!C109,"")</f>
        <v>Accounts receivables in pct of revenue</v>
      </c>
      <c r="D105" s="42" t="str">
        <v>Total Invested Capital</v>
      </c>
      <c r="E105">
        <f>MATCH(D105,'Assumptions and Free Cash Flow'!C:C,0)</f>
        <v>171</v>
      </c>
    </row>
    <row r="106" spans="2:5" x14ac:dyDescent="0.35">
      <c r="B106" t="str">
        <f>IF(ISTEXT('Assumptions and Free Cash Flow'!C110),'Assumptions and Free Cash Flow'!C110,"")</f>
        <v>Inventory in pct of COGS</v>
      </c>
      <c r="D106" s="42" t="str">
        <v>Average Invested Capital</v>
      </c>
      <c r="E106">
        <f>MATCH(D106,'Assumptions and Free Cash Flow'!C:C,0)</f>
        <v>172</v>
      </c>
    </row>
    <row r="107" spans="2:5" x14ac:dyDescent="0.35">
      <c r="B107" t="str">
        <f>IF(ISTEXT('Assumptions and Free Cash Flow'!C111),'Assumptions and Free Cash Flow'!C111,"")</f>
        <v>Accounts payables in pct of COGS</v>
      </c>
      <c r="D107" s="42" t="str">
        <v>Net Plant Historic</v>
      </c>
      <c r="E107">
        <f>MATCH(D107,'Assumptions and Free Cash Flow'!C:C,0)</f>
        <v>174</v>
      </c>
    </row>
    <row r="108" spans="2:5" x14ac:dyDescent="0.35">
      <c r="B108" t="str">
        <f>IF(ISTEXT('Assumptions and Free Cash Flow'!C112),'Assumptions and Free Cash Flow'!C112,"")</f>
        <v>Other current liabilities in pct of revenue</v>
      </c>
      <c r="D108" s="42" t="str">
        <v>Intangible Historic</v>
      </c>
      <c r="E108">
        <f>MATCH(D108,'Assumptions and Free Cash Flow'!C:C,0)</f>
        <v>175</v>
      </c>
    </row>
    <row r="109" spans="2:5" x14ac:dyDescent="0.35">
      <c r="B109" t="str">
        <f>IF(ISTEXT('Assumptions and Free Cash Flow'!C113),'Assumptions and Free Cash Flow'!C113,"")</f>
        <v/>
      </c>
      <c r="D109" s="42" t="str">
        <v>Receivables Historic</v>
      </c>
      <c r="E109">
        <f>MATCH(D109,'Assumptions and Free Cash Flow'!C:C,0)</f>
        <v>176</v>
      </c>
    </row>
    <row r="110" spans="2:5" x14ac:dyDescent="0.35">
      <c r="B110" t="str">
        <f>IF(ISTEXT('Assumptions and Free Cash Flow'!C114),'Assumptions and Free Cash Flow'!C114,"")</f>
        <v>Capex</v>
      </c>
      <c r="D110" s="42" t="str">
        <v>Inventory Historic</v>
      </c>
      <c r="E110">
        <f>MATCH(D110,'Assumptions and Free Cash Flow'!C:C,0)</f>
        <v>177</v>
      </c>
    </row>
    <row r="111" spans="2:5" x14ac:dyDescent="0.35">
      <c r="B111" t="str">
        <f>IF(ISTEXT('Assumptions and Free Cash Flow'!C115),'Assumptions and Free Cash Flow'!C115,"")</f>
        <v/>
      </c>
      <c r="D111" s="42" t="str">
        <v>Less: Payables Historic</v>
      </c>
      <c r="E111">
        <f>MATCH(D111,'Assumptions and Free Cash Flow'!C:C,0)</f>
        <v>178</v>
      </c>
    </row>
    <row r="112" spans="2:5" x14ac:dyDescent="0.35">
      <c r="B112" t="str">
        <f>IF(ISTEXT('Assumptions and Free Cash Flow'!C116),'Assumptions and Free Cash Flow'!C116,"")</f>
        <v xml:space="preserve">  Depreciation</v>
      </c>
      <c r="D112" s="42" t="str">
        <v>Less: Other Current Liabilities Histoic</v>
      </c>
      <c r="E112">
        <f>MATCH(D112,'Assumptions and Free Cash Flow'!C:C,0)</f>
        <v>179</v>
      </c>
    </row>
    <row r="113" spans="2:5" x14ac:dyDescent="0.35">
      <c r="B113" t="str">
        <f>IF(ISTEXT('Assumptions and Free Cash Flow'!C117),'Assumptions and Free Cash Flow'!C117,"")</f>
        <v xml:space="preserve">  Tax Rate</v>
      </c>
      <c r="D113" s="42" t="str">
        <v>Add: Deferred Tax Historic</v>
      </c>
      <c r="E113">
        <f>MATCH(D113,'Assumptions and Free Cash Flow'!C:C,0)</f>
        <v>180</v>
      </c>
    </row>
    <row r="114" spans="2:5" x14ac:dyDescent="0.35">
      <c r="B114" t="str">
        <f>IF(ISTEXT('Assumptions and Free Cash Flow'!C118),'Assumptions and Free Cash Flow'!C118,"")</f>
        <v/>
      </c>
      <c r="D114" s="42" t="str">
        <v>Total Invested Capital Historic</v>
      </c>
      <c r="E114">
        <f>MATCH(D114,'Assumptions and Free Cash Flow'!C:C,0)</f>
        <v>181</v>
      </c>
    </row>
    <row r="115" spans="2:5" x14ac:dyDescent="0.35">
      <c r="B115" t="str">
        <f>IF(ISTEXT('Assumptions and Free Cash Flow'!C119),'Assumptions and Free Cash Flow'!C119,"")</f>
        <v/>
      </c>
      <c r="D115" s="42" t="str">
        <v>EBIT</v>
      </c>
      <c r="E115">
        <f>MATCH(D115,'Assumptions and Free Cash Flow'!C:C,0)</f>
        <v>43</v>
      </c>
    </row>
    <row r="116" spans="2:5" x14ac:dyDescent="0.35">
      <c r="B116" t="str">
        <f>IF(ISTEXT('Assumptions and Free Cash Flow'!C120),'Assumptions and Free Cash Flow'!C120,"")</f>
        <v/>
      </c>
      <c r="D116" s="42" t="str">
        <v>Tax Rate</v>
      </c>
      <c r="E116">
        <f>MATCH(D116,'Assumptions and Free Cash Flow'!C:C,0)</f>
        <v>32</v>
      </c>
    </row>
    <row r="117" spans="2:5" x14ac:dyDescent="0.35">
      <c r="B117" t="str">
        <f>IF(ISTEXT('Assumptions and Free Cash Flow'!C121),'Assumptions and Free Cash Flow'!C121,"")</f>
        <v>Price</v>
      </c>
      <c r="D117" s="42" t="str">
        <v>Taxes on EBIT</v>
      </c>
      <c r="E117">
        <f>MATCH(D117,'Assumptions and Free Cash Flow'!C:C,0)</f>
        <v>185</v>
      </c>
    </row>
    <row r="118" spans="2:5" x14ac:dyDescent="0.35">
      <c r="B118" t="str">
        <f>IF(ISTEXT('Assumptions and Free Cash Flow'!C122),'Assumptions and Free Cash Flow'!C122,"")</f>
        <v>Quantity</v>
      </c>
      <c r="D118" s="42" t="str">
        <v>NOPAT</v>
      </c>
      <c r="E118">
        <f>MATCH(D118,'Assumptions and Free Cash Flow'!C:C,0)</f>
        <v>186</v>
      </c>
    </row>
    <row r="119" spans="2:5" x14ac:dyDescent="0.35">
      <c r="B119" t="str">
        <f>IF(ISTEXT('Assumptions and Free Cash Flow'!C123),'Assumptions and Free Cash Flow'!C123,"")</f>
        <v>Revenue for valuation</v>
      </c>
      <c r="D119" s="42" t="str">
        <v>ROIC Historic and Projected</v>
      </c>
      <c r="E119">
        <f>MATCH(D119,'Assumptions and Free Cash Flow'!C:C,0)</f>
        <v>188</v>
      </c>
    </row>
    <row r="120" spans="2:5" x14ac:dyDescent="0.35">
      <c r="B120" t="str">
        <f>IF(ISTEXT('Assumptions and Free Cash Flow'!C124),'Assumptions and Free Cash Flow'!C124,"")</f>
        <v/>
      </c>
      <c r="D120" s="42">
        <v>0</v>
      </c>
      <c r="E120" t="e">
        <f>MATCH(D120,'Assumptions and Free Cash Flow'!C:C,0)</f>
        <v>#N/A</v>
      </c>
    </row>
    <row r="121" spans="2:5" x14ac:dyDescent="0.35">
      <c r="B121" t="str">
        <f>IF(ISTEXT('Assumptions and Free Cash Flow'!C125),'Assumptions and Free Cash Flow'!C125,"")</f>
        <v/>
      </c>
      <c r="D121" s="42">
        <v>0</v>
      </c>
      <c r="E121" t="e">
        <f>MATCH(D121,'Assumptions and Free Cash Flow'!C:C,0)</f>
        <v>#N/A</v>
      </c>
    </row>
    <row r="122" spans="2:5" x14ac:dyDescent="0.35">
      <c r="B122" t="str">
        <f>IF(ISTEXT('Assumptions and Free Cash Flow'!C126),'Assumptions and Free Cash Flow'!C126,"")</f>
        <v>COGS in pct of revenue</v>
      </c>
      <c r="D122" s="42">
        <v>0</v>
      </c>
      <c r="E122" t="e">
        <f>MATCH(D122,'Assumptions and Free Cash Flow'!C:C,0)</f>
        <v>#N/A</v>
      </c>
    </row>
    <row r="123" spans="2:5" x14ac:dyDescent="0.35">
      <c r="B123" t="str">
        <f>IF(ISTEXT('Assumptions and Free Cash Flow'!C127),'Assumptions and Free Cash Flow'!C127,"")</f>
        <v>COGS for valuation</v>
      </c>
      <c r="D123" s="42">
        <v>0</v>
      </c>
      <c r="E123" t="e">
        <f>MATCH(D123,'Assumptions and Free Cash Flow'!C:C,0)</f>
        <v>#N/A</v>
      </c>
    </row>
    <row r="124" spans="2:5" x14ac:dyDescent="0.35">
      <c r="B124" t="str">
        <f>IF(ISTEXT('Assumptions and Free Cash Flow'!C128),'Assumptions and Free Cash Flow'!C128,"")</f>
        <v/>
      </c>
      <c r="D124" s="42">
        <v>0</v>
      </c>
      <c r="E124" t="e">
        <f>MATCH(D124,'Assumptions and Free Cash Flow'!C:C,0)</f>
        <v>#N/A</v>
      </c>
    </row>
    <row r="125" spans="2:5" x14ac:dyDescent="0.35">
      <c r="B125" t="str">
        <f>IF(ISTEXT('Assumptions and Free Cash Flow'!C129),'Assumptions and Free Cash Flow'!C129,"")</f>
        <v/>
      </c>
      <c r="D125" s="42">
        <v>0</v>
      </c>
      <c r="E125" t="e">
        <f>MATCH(D125,'Assumptions and Free Cash Flow'!C:C,0)</f>
        <v>#N/A</v>
      </c>
    </row>
    <row r="126" spans="2:5" x14ac:dyDescent="0.35">
      <c r="B126" t="str">
        <f>IF(ISTEXT('Assumptions and Free Cash Flow'!C130),'Assumptions and Free Cash Flow'!C130,"")</f>
        <v>SG&amp;A in pct of revenue</v>
      </c>
      <c r="D126" s="42">
        <v>0</v>
      </c>
      <c r="E126" t="e">
        <f>MATCH(D126,'Assumptions and Free Cash Flow'!C:C,0)</f>
        <v>#N/A</v>
      </c>
    </row>
    <row r="127" spans="2:5" x14ac:dyDescent="0.35">
      <c r="B127" t="str">
        <f>IF(ISTEXT('Assumptions and Free Cash Flow'!C131),'Assumptions and Free Cash Flow'!C131,"")</f>
        <v>SG&amp;A for valuation</v>
      </c>
      <c r="D127" s="42">
        <v>0</v>
      </c>
      <c r="E127" t="e">
        <f>MATCH(D127,'Assumptions and Free Cash Flow'!C:C,0)</f>
        <v>#N/A</v>
      </c>
    </row>
    <row r="128" spans="2:5" x14ac:dyDescent="0.35">
      <c r="B128" t="str">
        <f>IF(ISTEXT('Assumptions and Free Cash Flow'!C132),'Assumptions and Free Cash Flow'!C132,"")</f>
        <v/>
      </c>
      <c r="D128" s="42">
        <v>0</v>
      </c>
      <c r="E128" t="e">
        <f>MATCH(D128,'Assumptions and Free Cash Flow'!C:C,0)</f>
        <v>#N/A</v>
      </c>
    </row>
    <row r="129" spans="2:5" x14ac:dyDescent="0.35">
      <c r="B129" t="str">
        <f>IF(ISTEXT('Assumptions and Free Cash Flow'!C133),'Assumptions and Free Cash Flow'!C133,"")</f>
        <v/>
      </c>
      <c r="D129" s="42">
        <v>0</v>
      </c>
      <c r="E129" t="e">
        <f>MATCH(D129,'Assumptions and Free Cash Flow'!C:C,0)</f>
        <v>#N/A</v>
      </c>
    </row>
    <row r="130" spans="2:5" x14ac:dyDescent="0.35">
      <c r="B130" t="str">
        <f>IF(ISTEXT('Assumptions and Free Cash Flow'!C134),'Assumptions and Free Cash Flow'!C134,"")</f>
        <v>Admin in pct of sales</v>
      </c>
      <c r="D130" s="42">
        <v>0</v>
      </c>
      <c r="E130" t="e">
        <f>MATCH(D130,'Assumptions and Free Cash Flow'!C:C,0)</f>
        <v>#N/A</v>
      </c>
    </row>
    <row r="131" spans="2:5" x14ac:dyDescent="0.35">
      <c r="B131" t="str">
        <f>IF(ISTEXT('Assumptions and Free Cash Flow'!C135),'Assumptions and Free Cash Flow'!C135,"")</f>
        <v>Admin for valuation</v>
      </c>
      <c r="D131" s="42">
        <v>0</v>
      </c>
      <c r="E131" t="e">
        <f>MATCH(D131,'Assumptions and Free Cash Flow'!C:C,0)</f>
        <v>#N/A</v>
      </c>
    </row>
    <row r="132" spans="2:5" x14ac:dyDescent="0.35">
      <c r="B132" t="str">
        <f>IF(ISTEXT('Assumptions and Free Cash Flow'!C136),'Assumptions and Free Cash Flow'!C136,"")</f>
        <v/>
      </c>
      <c r="D132" s="42">
        <v>0</v>
      </c>
      <c r="E132" t="e">
        <f>MATCH(D132,'Assumptions and Free Cash Flow'!C:C,0)</f>
        <v>#N/A</v>
      </c>
    </row>
    <row r="133" spans="2:5" x14ac:dyDescent="0.35">
      <c r="B133" t="str">
        <f>IF(ISTEXT('Assumptions and Free Cash Flow'!C137),'Assumptions and Free Cash Flow'!C137,"")</f>
        <v>Other - Restructuring</v>
      </c>
      <c r="D133" s="42">
        <v>0</v>
      </c>
      <c r="E133" t="e">
        <f>MATCH(D133,'Assumptions and Free Cash Flow'!C:C,0)</f>
        <v>#N/A</v>
      </c>
    </row>
    <row r="134" spans="2:5" x14ac:dyDescent="0.35">
      <c r="B134" t="str">
        <f>IF(ISTEXT('Assumptions and Free Cash Flow'!C138),'Assumptions and Free Cash Flow'!C138,"")</f>
        <v/>
      </c>
      <c r="D134" s="42">
        <v>0</v>
      </c>
      <c r="E134" t="e">
        <f>MATCH(D134,'Assumptions and Free Cash Flow'!C:C,0)</f>
        <v>#N/A</v>
      </c>
    </row>
    <row r="135" spans="2:5" x14ac:dyDescent="0.35">
      <c r="B135" t="str">
        <f>IF(ISTEXT('Assumptions and Free Cash Flow'!C139),'Assumptions and Free Cash Flow'!C139,"")</f>
        <v>EBITDA Historic and Projected</v>
      </c>
      <c r="D135" s="42">
        <v>0</v>
      </c>
      <c r="E135" t="e">
        <f>MATCH(D135,'Assumptions and Free Cash Flow'!C:C,0)</f>
        <v>#N/A</v>
      </c>
    </row>
    <row r="136" spans="2:5" x14ac:dyDescent="0.35">
      <c r="B136" t="str">
        <f>IF(ISTEXT('Assumptions and Free Cash Flow'!C140),'Assumptions and Free Cash Flow'!C140,"")</f>
        <v>EBITDA historic</v>
      </c>
      <c r="D136" s="42">
        <v>0</v>
      </c>
      <c r="E136" t="e">
        <f>MATCH(D136,'Assumptions and Free Cash Flow'!C:C,0)</f>
        <v>#N/A</v>
      </c>
    </row>
    <row r="137" spans="2:5" x14ac:dyDescent="0.35">
      <c r="B137" t="str">
        <f>IF(ISTEXT('Assumptions and Free Cash Flow'!C141),'Assumptions and Free Cash Flow'!C141,"")</f>
        <v>Difference</v>
      </c>
      <c r="D137" s="42">
        <v>0</v>
      </c>
      <c r="E137" t="e">
        <f>MATCH(D137,'Assumptions and Free Cash Flow'!C:C,0)</f>
        <v>#N/A</v>
      </c>
    </row>
    <row r="138" spans="2:5" x14ac:dyDescent="0.35">
      <c r="B138" t="str">
        <f>IF(ISTEXT('Assumptions and Free Cash Flow'!C142),'Assumptions and Free Cash Flow'!C142,"")</f>
        <v/>
      </c>
      <c r="D138" s="42">
        <v>0</v>
      </c>
      <c r="E138" t="e">
        <f>MATCH(D138,'Assumptions and Free Cash Flow'!C:C,0)</f>
        <v>#N/A</v>
      </c>
    </row>
    <row r="139" spans="2:5" x14ac:dyDescent="0.35">
      <c r="B139" t="str">
        <f>IF(ISTEXT('Assumptions and Free Cash Flow'!C143),'Assumptions and Free Cash Flow'!C143,"")</f>
        <v/>
      </c>
      <c r="D139" s="42">
        <v>0</v>
      </c>
      <c r="E139" t="e">
        <f>MATCH(D139,'Assumptions and Free Cash Flow'!C:C,0)</f>
        <v>#N/A</v>
      </c>
    </row>
    <row r="140" spans="2:5" x14ac:dyDescent="0.35">
      <c r="B140" t="str">
        <f>IF(ISTEXT('Assumptions and Free Cash Flow'!C144),'Assumptions and Free Cash Flow'!C144,"")</f>
        <v>Accounts receivable</v>
      </c>
      <c r="D140" s="42">
        <v>0</v>
      </c>
      <c r="E140" t="e">
        <f>MATCH(D140,'Assumptions and Free Cash Flow'!C:C,0)</f>
        <v>#N/A</v>
      </c>
    </row>
    <row r="141" spans="2:5" x14ac:dyDescent="0.35">
      <c r="B141" t="str">
        <f>IF(ISTEXT('Assumptions and Free Cash Flow'!C145),'Assumptions and Free Cash Flow'!C145,"")</f>
        <v>Inventory</v>
      </c>
      <c r="D141" s="42">
        <v>0</v>
      </c>
      <c r="E141" t="e">
        <f>MATCH(D141,'Assumptions and Free Cash Flow'!C:C,0)</f>
        <v>#N/A</v>
      </c>
    </row>
    <row r="142" spans="2:5" x14ac:dyDescent="0.35">
      <c r="B142" t="str">
        <f>IF(ISTEXT('Assumptions and Free Cash Flow'!C146),'Assumptions and Free Cash Flow'!C146,"")</f>
        <v>Accounts payable</v>
      </c>
      <c r="D142" s="42">
        <v>0</v>
      </c>
      <c r="E142" t="e">
        <f>MATCH(D142,'Assumptions and Free Cash Flow'!C:C,0)</f>
        <v>#N/A</v>
      </c>
    </row>
    <row r="143" spans="2:5" x14ac:dyDescent="0.35">
      <c r="B143" t="str">
        <f>IF(ISTEXT('Assumptions and Free Cash Flow'!C147),'Assumptions and Free Cash Flow'!C147,"")</f>
        <v>Other current liabilities</v>
      </c>
      <c r="D143" s="42">
        <v>0</v>
      </c>
      <c r="E143" t="e">
        <f>MATCH(D143,'Assumptions and Free Cash Flow'!C:C,0)</f>
        <v>#N/A</v>
      </c>
    </row>
    <row r="144" spans="2:5" x14ac:dyDescent="0.35">
      <c r="B144" t="str">
        <f>IF(ISTEXT('Assumptions and Free Cash Flow'!C148),'Assumptions and Free Cash Flow'!C148,"")</f>
        <v>Other current Assets</v>
      </c>
      <c r="D144" s="42">
        <v>0</v>
      </c>
      <c r="E144" t="e">
        <f>MATCH(D144,'Assumptions and Free Cash Flow'!C:C,0)</f>
        <v>#N/A</v>
      </c>
    </row>
    <row r="145" spans="2:5" x14ac:dyDescent="0.35">
      <c r="B145" t="str">
        <f>IF(ISTEXT('Assumptions and Free Cash Flow'!C149),'Assumptions and Free Cash Flow'!C149,"")</f>
        <v>Net working capital</v>
      </c>
      <c r="D145" s="42">
        <v>0</v>
      </c>
      <c r="E145" t="e">
        <f>MATCH(D145,'Assumptions and Free Cash Flow'!C:C,0)</f>
        <v>#N/A</v>
      </c>
    </row>
    <row r="146" spans="2:5" x14ac:dyDescent="0.35">
      <c r="B146" t="str">
        <f>IF(ISTEXT('Assumptions and Free Cash Flow'!C150),'Assumptions and Free Cash Flow'!C150,"")</f>
        <v>Change in net working capital</v>
      </c>
    </row>
    <row r="147" spans="2:5" x14ac:dyDescent="0.35">
      <c r="B147" t="str">
        <f>IF(ISTEXT('Assumptions and Free Cash Flow'!C151),'Assumptions and Free Cash Flow'!C151,"")</f>
        <v>EBITDA projected and history</v>
      </c>
    </row>
    <row r="148" spans="2:5" x14ac:dyDescent="0.35">
      <c r="B148" t="str">
        <f>IF(ISTEXT('Assumptions and Free Cash Flow'!C154),'Assumptions and Free Cash Flow'!C154,"")</f>
        <v>Net Deferred Tax</v>
      </c>
    </row>
    <row r="149" spans="2:5" x14ac:dyDescent="0.35">
      <c r="B149" t="str">
        <f>IF(ISTEXT('Assumptions and Free Cash Flow'!C155),'Assumptions and Free Cash Flow'!C155,"")</f>
        <v/>
      </c>
    </row>
    <row r="150" spans="2:5" x14ac:dyDescent="0.35">
      <c r="B150" t="str">
        <f>IF(ISTEXT('Assumptions and Free Cash Flow'!C156),'Assumptions and Free Cash Flow'!C156,"")</f>
        <v>Capital Expenditures</v>
      </c>
    </row>
    <row r="151" spans="2:5" x14ac:dyDescent="0.35">
      <c r="B151" t="str">
        <f>IF(ISTEXT('Assumptions and Free Cash Flow'!C157),'Assumptions and Free Cash Flow'!C157,"")</f>
        <v/>
      </c>
    </row>
    <row r="152" spans="2:5" x14ac:dyDescent="0.35">
      <c r="B152" t="str">
        <f>IF(ISTEXT('Assumptions and Free Cash Flow'!C158),'Assumptions and Free Cash Flow'!C158,"")</f>
        <v/>
      </c>
    </row>
    <row r="153" spans="2:5" x14ac:dyDescent="0.35">
      <c r="B153" t="str">
        <f>IF(ISTEXT('Assumptions and Free Cash Flow'!C159),'Assumptions and Free Cash Flow'!C159,"")</f>
        <v/>
      </c>
    </row>
    <row r="154" spans="2:5" x14ac:dyDescent="0.35">
      <c r="B154" t="str">
        <f>IF(ISTEXT('Assumptions and Free Cash Flow'!C160),'Assumptions and Free Cash Flow'!C160,"")</f>
        <v/>
      </c>
    </row>
    <row r="155" spans="2:5" x14ac:dyDescent="0.35">
      <c r="B155" t="str">
        <f>IF(ISTEXT('Assumptions and Free Cash Flow'!C161),'Assumptions and Free Cash Flow'!C161,"")</f>
        <v>Opening Balance</v>
      </c>
    </row>
    <row r="156" spans="2:5" x14ac:dyDescent="0.35">
      <c r="B156" t="str">
        <f>IF(ISTEXT('Assumptions and Free Cash Flow'!C162),'Assumptions and Free Cash Flow'!C162,"")</f>
        <v>Add cap Exp</v>
      </c>
    </row>
    <row r="157" spans="2:5" x14ac:dyDescent="0.35">
      <c r="B157" t="str">
        <f>IF(ISTEXT('Assumptions and Free Cash Flow'!C163),'Assumptions and Free Cash Flow'!C163,"")</f>
        <v xml:space="preserve">Less Depreciation </v>
      </c>
    </row>
    <row r="158" spans="2:5" x14ac:dyDescent="0.35">
      <c r="B158" t="str">
        <f>IF(ISTEXT('Assumptions and Free Cash Flow'!C164),'Assumptions and Free Cash Flow'!C164,"")</f>
        <v>Closing</v>
      </c>
    </row>
    <row r="159" spans="2:5" x14ac:dyDescent="0.35">
      <c r="B159" t="str">
        <f>IF(ISTEXT('Assumptions and Free Cash Flow'!C165),'Assumptions and Free Cash Flow'!C165,"")</f>
        <v/>
      </c>
    </row>
    <row r="160" spans="2:5" x14ac:dyDescent="0.35">
      <c r="B160" t="str">
        <f>IF(ISTEXT('Assumptions and Free Cash Flow'!C166),'Assumptions and Free Cash Flow'!C166,"")</f>
        <v/>
      </c>
    </row>
    <row r="161" spans="2:2" x14ac:dyDescent="0.35">
      <c r="B161" t="str">
        <f>IF(ISTEXT('Assumptions and Free Cash Flow'!C167),'Assumptions and Free Cash Flow'!C167,"")</f>
        <v>Net Plant</v>
      </c>
    </row>
    <row r="162" spans="2:2" x14ac:dyDescent="0.35">
      <c r="B162" t="str">
        <f>IF(ISTEXT('Assumptions and Free Cash Flow'!C168),'Assumptions and Free Cash Flow'!C168,"")</f>
        <v>Intangibles</v>
      </c>
    </row>
    <row r="163" spans="2:2" x14ac:dyDescent="0.35">
      <c r="B163" t="str">
        <f>IF(ISTEXT('Assumptions and Free Cash Flow'!C169),'Assumptions and Free Cash Flow'!C169,"")</f>
        <v>Net Working Capital'</v>
      </c>
    </row>
    <row r="164" spans="2:2" x14ac:dyDescent="0.35">
      <c r="B164" t="str">
        <f>IF(ISTEXT('Assumptions and Free Cash Flow'!C170),'Assumptions and Free Cash Flow'!C170,"")</f>
        <v>Net Deferred Tax</v>
      </c>
    </row>
    <row r="165" spans="2:2" x14ac:dyDescent="0.35">
      <c r="B165" t="str">
        <f>IF(ISTEXT('Assumptions and Free Cash Flow'!C171),'Assumptions and Free Cash Flow'!C171,"")</f>
        <v>Total Invested Capital</v>
      </c>
    </row>
    <row r="166" spans="2:2" x14ac:dyDescent="0.35">
      <c r="B166" t="str">
        <f>IF(ISTEXT('Assumptions and Free Cash Flow'!C172),'Assumptions and Free Cash Flow'!C172,"")</f>
        <v>Average Invested Capital</v>
      </c>
    </row>
    <row r="167" spans="2:2" x14ac:dyDescent="0.35">
      <c r="B167" t="str">
        <f>IF(ISTEXT('Assumptions and Free Cash Flow'!C173),'Assumptions and Free Cash Flow'!C173,"")</f>
        <v/>
      </c>
    </row>
    <row r="168" spans="2:2" x14ac:dyDescent="0.35">
      <c r="B168" t="str">
        <f>IF(ISTEXT('Assumptions and Free Cash Flow'!C174),'Assumptions and Free Cash Flow'!C174,"")</f>
        <v>Net Plant Historic</v>
      </c>
    </row>
    <row r="169" spans="2:2" x14ac:dyDescent="0.35">
      <c r="B169" t="str">
        <f>IF(ISTEXT('Assumptions and Free Cash Flow'!C175),'Assumptions and Free Cash Flow'!C175,"")</f>
        <v>Intangible Historic</v>
      </c>
    </row>
    <row r="170" spans="2:2" x14ac:dyDescent="0.35">
      <c r="B170" t="str">
        <f>IF(ISTEXT('Assumptions and Free Cash Flow'!C176),'Assumptions and Free Cash Flow'!C176,"")</f>
        <v>Receivables Historic</v>
      </c>
    </row>
    <row r="171" spans="2:2" x14ac:dyDescent="0.35">
      <c r="B171" t="str">
        <f>IF(ISTEXT('Assumptions and Free Cash Flow'!C177),'Assumptions and Free Cash Flow'!C177,"")</f>
        <v>Inventory Historic</v>
      </c>
    </row>
    <row r="172" spans="2:2" x14ac:dyDescent="0.35">
      <c r="B172" t="str">
        <f>IF(ISTEXT('Assumptions and Free Cash Flow'!C178),'Assumptions and Free Cash Flow'!C178,"")</f>
        <v>Less: Payables Historic</v>
      </c>
    </row>
    <row r="173" spans="2:2" x14ac:dyDescent="0.35">
      <c r="B173" t="str">
        <f>IF(ISTEXT('Assumptions and Free Cash Flow'!C179),'Assumptions and Free Cash Flow'!C179,"")</f>
        <v>Less: Other Current Liabilities Histoic</v>
      </c>
    </row>
    <row r="174" spans="2:2" x14ac:dyDescent="0.35">
      <c r="B174" t="str">
        <f>IF(ISTEXT('Assumptions and Free Cash Flow'!C180),'Assumptions and Free Cash Flow'!C180,"")</f>
        <v>Add: Deferred Tax Historic</v>
      </c>
    </row>
    <row r="175" spans="2:2" x14ac:dyDescent="0.35">
      <c r="B175" t="str">
        <f>IF(ISTEXT('Assumptions and Free Cash Flow'!C181),'Assumptions and Free Cash Flow'!C181,"")</f>
        <v>Total Invested Capital Historic</v>
      </c>
    </row>
    <row r="176" spans="2:2" x14ac:dyDescent="0.35">
      <c r="B176" t="str">
        <f>IF(ISTEXT('Assumptions and Free Cash Flow'!C182),'Assumptions and Free Cash Flow'!C182,"")</f>
        <v/>
      </c>
    </row>
    <row r="177" spans="2:2" x14ac:dyDescent="0.35">
      <c r="B177" t="str">
        <f>IF(ISTEXT('Assumptions and Free Cash Flow'!C183),'Assumptions and Free Cash Flow'!C183,"")</f>
        <v>EBIT</v>
      </c>
    </row>
    <row r="178" spans="2:2" x14ac:dyDescent="0.35">
      <c r="B178" t="str">
        <f>IF(ISTEXT('Assumptions and Free Cash Flow'!C184),'Assumptions and Free Cash Flow'!C184,"")</f>
        <v>Tax Rate</v>
      </c>
    </row>
    <row r="179" spans="2:2" x14ac:dyDescent="0.35">
      <c r="B179" t="str">
        <f>IF(ISTEXT('Assumptions and Free Cash Flow'!C185),'Assumptions and Free Cash Flow'!C185,"")</f>
        <v>Taxes on EBIT</v>
      </c>
    </row>
    <row r="180" spans="2:2" x14ac:dyDescent="0.35">
      <c r="B180" t="str">
        <f>IF(ISTEXT('Assumptions and Free Cash Flow'!C186),'Assumptions and Free Cash Flow'!C186,"")</f>
        <v>NOPAT</v>
      </c>
    </row>
    <row r="181" spans="2:2" x14ac:dyDescent="0.35">
      <c r="B181" t="str">
        <f>IF(ISTEXT('Assumptions and Free Cash Flow'!C187),'Assumptions and Free Cash Flow'!C187,"")</f>
        <v/>
      </c>
    </row>
    <row r="182" spans="2:2" x14ac:dyDescent="0.35">
      <c r="B182" t="str">
        <f>IF(ISTEXT('Assumptions and Free Cash Flow'!C188),'Assumptions and Free Cash Flow'!C188,"")</f>
        <v>ROIC Historic and Projected</v>
      </c>
    </row>
    <row r="183" spans="2:2" x14ac:dyDescent="0.35">
      <c r="B183" t="str">
        <f>IF(ISTEXT('Assumptions and Free Cash Flow'!C189),'Assumptions and Free Cash Flow'!C189,"")</f>
        <v/>
      </c>
    </row>
    <row r="184" spans="2:2" x14ac:dyDescent="0.35">
      <c r="B184" t="str">
        <f>IF(ISTEXT('Assumptions and Free Cash Flow'!C190),'Assumptions and Free Cash Flow'!C190,"")</f>
        <v/>
      </c>
    </row>
    <row r="185" spans="2:2" x14ac:dyDescent="0.35">
      <c r="B185" t="str">
        <f>IF(ISTEXT('Assumptions and Free Cash Flow'!C191),'Assumptions and Free Cash Flow'!C191,"")</f>
        <v/>
      </c>
    </row>
    <row r="186" spans="2:2" x14ac:dyDescent="0.35">
      <c r="B186" t="str">
        <f>IF(ISTEXT('Assumptions and Free Cash Flow'!C192),'Assumptions and Free Cash Flow'!C192,"")</f>
        <v/>
      </c>
    </row>
    <row r="187" spans="2:2" x14ac:dyDescent="0.35">
      <c r="B187" t="str">
        <f>IF(ISTEXT('Assumptions and Free Cash Flow'!C193),'Assumptions and Free Cash Flow'!C193,"")</f>
        <v/>
      </c>
    </row>
    <row r="188" spans="2:2" x14ac:dyDescent="0.35">
      <c r="B188" t="str">
        <f>IF(ISTEXT('Assumptions and Free Cash Flow'!C194),'Assumptions and Free Cash Flow'!C194,"")</f>
        <v/>
      </c>
    </row>
    <row r="189" spans="2:2" x14ac:dyDescent="0.35">
      <c r="B189" t="str">
        <f>IF(ISTEXT('Assumptions and Free Cash Flow'!C195),'Assumptions and Free Cash Flow'!C195,"")</f>
        <v/>
      </c>
    </row>
    <row r="190" spans="2:2" x14ac:dyDescent="0.35">
      <c r="B190" t="str">
        <f>IF(ISTEXT('Assumptions and Free Cash Flow'!C196),'Assumptions and Free Cash Flow'!C196,"")</f>
        <v/>
      </c>
    </row>
    <row r="191" spans="2:2" x14ac:dyDescent="0.35">
      <c r="B191" t="str">
        <f>IF(ISTEXT('Assumptions and Free Cash Flow'!C197),'Assumptions and Free Cash Flow'!C197,"")</f>
        <v/>
      </c>
    </row>
    <row r="192" spans="2:2" x14ac:dyDescent="0.35">
      <c r="B192" t="str">
        <f>IF(ISTEXT('Assumptions and Free Cash Flow'!C198),'Assumptions and Free Cash Flow'!C198,"")</f>
        <v/>
      </c>
    </row>
    <row r="193" spans="2:2" x14ac:dyDescent="0.35">
      <c r="B193" t="str">
        <f>IF(ISTEXT('Assumptions and Free Cash Flow'!C199),'Assumptions and Free Cash Flow'!C199,"")</f>
        <v/>
      </c>
    </row>
    <row r="194" spans="2:2" x14ac:dyDescent="0.35">
      <c r="B194" t="str">
        <f>IF(ISTEXT('Assumptions and Free Cash Flow'!C200),'Assumptions and Free Cash Flow'!C200,"")</f>
        <v/>
      </c>
    </row>
    <row r="195" spans="2:2" x14ac:dyDescent="0.35">
      <c r="B195" t="str">
        <f>IF(ISTEXT('Assumptions and Free Cash Flow'!C201),'Assumptions and Free Cash Flow'!C201,"")</f>
        <v/>
      </c>
    </row>
    <row r="196" spans="2:2" x14ac:dyDescent="0.35">
      <c r="B196" t="str">
        <f>IF(ISTEXT('Assumptions and Free Cash Flow'!C202),'Assumptions and Free Cash Flow'!C202,"")</f>
        <v/>
      </c>
    </row>
    <row r="197" spans="2:2" x14ac:dyDescent="0.35">
      <c r="B197" t="str">
        <f>IF(ISTEXT('Assumptions and Free Cash Flow'!C203),'Assumptions and Free Cash Flow'!C203,"")</f>
        <v/>
      </c>
    </row>
    <row r="198" spans="2:2" x14ac:dyDescent="0.35">
      <c r="B198" t="str">
        <f>IF(ISTEXT('Assumptions and Free Cash Flow'!C204),'Assumptions and Free Cash Flow'!C204,"")</f>
        <v/>
      </c>
    </row>
    <row r="199" spans="2:2" x14ac:dyDescent="0.35">
      <c r="B199" t="str">
        <f>IF(ISTEXT('Assumptions and Free Cash Flow'!C205),'Assumptions and Free Cash Flow'!C205,"")</f>
        <v/>
      </c>
    </row>
    <row r="200" spans="2:2" x14ac:dyDescent="0.35">
      <c r="B200" t="str">
        <f>IF(ISTEXT('Assumptions and Free Cash Flow'!C206),'Assumptions and Free Cash Flow'!C206,"")</f>
        <v/>
      </c>
    </row>
    <row r="201" spans="2:2" x14ac:dyDescent="0.35">
      <c r="B201" t="str">
        <f>IF(ISTEXT('Assumptions and Free Cash Flow'!C207),'Assumptions and Free Cash Flow'!C207,"")</f>
        <v/>
      </c>
    </row>
    <row r="202" spans="2:2" x14ac:dyDescent="0.35">
      <c r="B202" t="str">
        <f>IF(ISTEXT('Assumptions and Free Cash Flow'!C208),'Assumptions and Free Cash Flow'!C208,"")</f>
        <v/>
      </c>
    </row>
    <row r="203" spans="2:2" x14ac:dyDescent="0.35">
      <c r="B203" t="str">
        <f>IF(ISTEXT('Assumptions and Free Cash Flow'!C209),'Assumptions and Free Cash Flow'!C209,"")</f>
        <v/>
      </c>
    </row>
    <row r="204" spans="2:2" x14ac:dyDescent="0.35">
      <c r="B204" t="str">
        <f>IF(ISTEXT('Assumptions and Free Cash Flow'!C210),'Assumptions and Free Cash Flow'!C210,"")</f>
        <v/>
      </c>
    </row>
    <row r="205" spans="2:2" x14ac:dyDescent="0.35">
      <c r="B205" t="str">
        <f>IF(ISTEXT('Assumptions and Free Cash Flow'!C211),'Assumptions and Free Cash Flow'!C211,"")</f>
        <v/>
      </c>
    </row>
    <row r="206" spans="2:2" x14ac:dyDescent="0.35">
      <c r="B206" t="str">
        <f>IF(ISTEXT('Assumptions and Free Cash Flow'!C212),'Assumptions and Free Cash Flow'!C212,"")</f>
        <v/>
      </c>
    </row>
    <row r="207" spans="2:2" x14ac:dyDescent="0.35">
      <c r="B207" t="str">
        <f>IF(ISTEXT('Assumptions and Free Cash Flow'!C213),'Assumptions and Free Cash Flow'!C213,"")</f>
        <v/>
      </c>
    </row>
    <row r="208" spans="2:2" x14ac:dyDescent="0.35">
      <c r="B208" t="str">
        <f>IF(ISTEXT('Assumptions and Free Cash Flow'!C214),'Assumptions and Free Cash Flow'!C214,"")</f>
        <v/>
      </c>
    </row>
    <row r="209" spans="2:2" x14ac:dyDescent="0.35">
      <c r="B209" t="str">
        <f>IF(ISTEXT('Assumptions and Free Cash Flow'!C215),'Assumptions and Free Cash Flow'!C215,"")</f>
        <v/>
      </c>
    </row>
    <row r="210" spans="2:2" x14ac:dyDescent="0.35">
      <c r="B210" t="str">
        <f>IF(ISTEXT('Assumptions and Free Cash Flow'!C216),'Assumptions and Free Cash Flow'!C216,"")</f>
        <v/>
      </c>
    </row>
    <row r="211" spans="2:2" x14ac:dyDescent="0.35">
      <c r="B211" t="str">
        <f>IF(ISTEXT('Assumptions and Free Cash Flow'!C217),'Assumptions and Free Cash Flow'!C217,"")</f>
        <v/>
      </c>
    </row>
    <row r="212" spans="2:2" x14ac:dyDescent="0.35">
      <c r="B212" t="str">
        <f>IF(ISTEXT('Assumptions and Free Cash Flow'!C218),'Assumptions and Free Cash Flow'!C218,"")</f>
        <v/>
      </c>
    </row>
    <row r="213" spans="2:2" x14ac:dyDescent="0.35">
      <c r="B213" t="str">
        <f>IF(ISTEXT('Assumptions and Free Cash Flow'!C219),'Assumptions and Free Cash Flow'!C219,"")</f>
        <v/>
      </c>
    </row>
    <row r="214" spans="2:2" x14ac:dyDescent="0.35">
      <c r="B214" t="str">
        <f>IF(ISTEXT('Assumptions and Free Cash Flow'!C220),'Assumptions and Free Cash Flow'!C220,"")</f>
        <v/>
      </c>
    </row>
    <row r="215" spans="2:2" x14ac:dyDescent="0.35">
      <c r="B215" t="str">
        <f>IF(ISTEXT('Assumptions and Free Cash Flow'!C221),'Assumptions and Free Cash Flow'!C221,"")</f>
        <v/>
      </c>
    </row>
    <row r="216" spans="2:2" x14ac:dyDescent="0.35">
      <c r="B216" t="str">
        <f>IF(ISTEXT('Assumptions and Free Cash Flow'!C222),'Assumptions and Free Cash Flow'!C222,"")</f>
        <v/>
      </c>
    </row>
    <row r="217" spans="2:2" x14ac:dyDescent="0.35">
      <c r="B217" t="str">
        <f>IF(ISTEXT('Assumptions and Free Cash Flow'!C223),'Assumptions and Free Cash Flow'!C223,"")</f>
        <v/>
      </c>
    </row>
    <row r="218" spans="2:2" x14ac:dyDescent="0.35">
      <c r="B218" t="str">
        <f>IF(ISTEXT('Assumptions and Free Cash Flow'!C224),'Assumptions and Free Cash Flow'!C224,"")</f>
        <v/>
      </c>
    </row>
    <row r="219" spans="2:2" x14ac:dyDescent="0.35">
      <c r="B219" t="str">
        <f>IF(ISTEXT('Assumptions and Free Cash Flow'!C225),'Assumptions and Free Cash Flow'!C225,"")</f>
        <v/>
      </c>
    </row>
    <row r="220" spans="2:2" x14ac:dyDescent="0.35">
      <c r="B220" t="str">
        <f>IF(ISTEXT('Assumptions and Free Cash Flow'!C226),'Assumptions and Free Cash Flow'!C226,"")</f>
        <v/>
      </c>
    </row>
    <row r="221" spans="2:2" x14ac:dyDescent="0.35">
      <c r="B221" t="str">
        <f>IF(ISTEXT('Assumptions and Free Cash Flow'!C227),'Assumptions and Free Cash Flow'!C227,"")</f>
        <v/>
      </c>
    </row>
    <row r="222" spans="2:2" x14ac:dyDescent="0.35">
      <c r="B222" t="str">
        <f>IF(ISTEXT('Assumptions and Free Cash Flow'!C228),'Assumptions and Free Cash Flow'!C228,"")</f>
        <v/>
      </c>
    </row>
    <row r="223" spans="2:2" x14ac:dyDescent="0.35">
      <c r="B223" t="str">
        <f>IF(ISTEXT('Assumptions and Free Cash Flow'!C229),'Assumptions and Free Cash Flow'!C229,"")</f>
        <v/>
      </c>
    </row>
    <row r="224" spans="2:2" x14ac:dyDescent="0.35">
      <c r="B224" t="str">
        <f>IF(ISTEXT('Assumptions and Free Cash Flow'!C230),'Assumptions and Free Cash Flow'!C230,"")</f>
        <v/>
      </c>
    </row>
    <row r="225" spans="2:2" x14ac:dyDescent="0.35">
      <c r="B225" t="str">
        <f>IF(ISTEXT('Assumptions and Free Cash Flow'!C231),'Assumptions and Free Cash Flow'!C231,"")</f>
        <v/>
      </c>
    </row>
    <row r="226" spans="2:2" x14ac:dyDescent="0.35">
      <c r="B226" t="str">
        <f>IF(ISTEXT('Assumptions and Free Cash Flow'!C232),'Assumptions and Free Cash Flow'!C232,"")</f>
        <v/>
      </c>
    </row>
    <row r="227" spans="2:2" x14ac:dyDescent="0.35">
      <c r="B227" t="str">
        <f>IF(ISTEXT('Assumptions and Free Cash Flow'!C233),'Assumptions and Free Cash Flow'!C233,"")</f>
        <v/>
      </c>
    </row>
    <row r="228" spans="2:2" x14ac:dyDescent="0.35">
      <c r="B228" t="str">
        <f>IF(ISTEXT('Assumptions and Free Cash Flow'!C234),'Assumptions and Free Cash Flow'!C234,"")</f>
        <v/>
      </c>
    </row>
    <row r="229" spans="2:2" x14ac:dyDescent="0.35">
      <c r="B229" t="str">
        <f>IF(ISTEXT('Assumptions and Free Cash Flow'!C235),'Assumptions and Free Cash Flow'!C235,"")</f>
        <v/>
      </c>
    </row>
    <row r="230" spans="2:2" x14ac:dyDescent="0.35">
      <c r="B230" t="str">
        <f>IF(ISTEXT('Assumptions and Free Cash Flow'!C236),'Assumptions and Free Cash Flow'!C236,"")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5" r:id="rId3" name="Drop Down 7">
              <controlPr defaultSize="0" autoLine="0" autoPict="0">
                <anchor moveWithCells="1">
                  <from>
                    <xdr:col>6</xdr:col>
                    <xdr:colOff>254000</xdr:colOff>
                    <xdr:row>3</xdr:row>
                    <xdr:rowOff>0</xdr:rowOff>
                  </from>
                  <to>
                    <xdr:col>7</xdr:col>
                    <xdr:colOff>1123950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4" name="Drop Down 8">
              <controlPr defaultSize="0" autoLine="0" autoPict="0">
                <anchor moveWithCells="1">
                  <from>
                    <xdr:col>6</xdr:col>
                    <xdr:colOff>266700</xdr:colOff>
                    <xdr:row>5</xdr:row>
                    <xdr:rowOff>0</xdr:rowOff>
                  </from>
                  <to>
                    <xdr:col>7</xdr:col>
                    <xdr:colOff>1136650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5" name="Drop Down 9">
              <controlPr defaultSize="0" autoLine="0" autoPict="0">
                <anchor moveWithCells="1">
                  <from>
                    <xdr:col>6</xdr:col>
                    <xdr:colOff>177800</xdr:colOff>
                    <xdr:row>0</xdr:row>
                    <xdr:rowOff>152400</xdr:rowOff>
                  </from>
                  <to>
                    <xdr:col>7</xdr:col>
                    <xdr:colOff>1206500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6" name="Spinner 10">
              <controlPr defaultSize="0" autoPict="0">
                <anchor moveWithCells="1" sizeWithCells="1">
                  <from>
                    <xdr:col>8</xdr:col>
                    <xdr:colOff>31750</xdr:colOff>
                    <xdr:row>3</xdr:row>
                    <xdr:rowOff>12700</xdr:rowOff>
                  </from>
                  <to>
                    <xdr:col>8</xdr:col>
                    <xdr:colOff>292100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Key Points About Model</vt:lpstr>
      <vt:lpstr>Summary</vt:lpstr>
      <vt:lpstr>Valuation</vt:lpstr>
      <vt:lpstr>Scenario analysis</vt:lpstr>
      <vt:lpstr>Historic Data from PDF</vt:lpstr>
      <vt:lpstr>Assumptions and Free Cash Flow</vt:lpstr>
      <vt:lpstr>Tornado Diagram</vt:lpstr>
      <vt:lpstr>LBO transaction assumption</vt:lpstr>
      <vt:lpstr>LBO</vt:lpstr>
      <vt:lpstr>Scatter</vt:lpstr>
      <vt:lpstr>Graphs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Monika Lewenski</dc:creator>
  <cp:lastModifiedBy>Stormy Daniels</cp:lastModifiedBy>
  <cp:lastPrinted>2016-09-24T09:22:38Z</cp:lastPrinted>
  <dcterms:created xsi:type="dcterms:W3CDTF">2016-09-04T01:38:27Z</dcterms:created>
  <dcterms:modified xsi:type="dcterms:W3CDTF">2018-08-29T17:18:42Z</dcterms:modified>
</cp:coreProperties>
</file>