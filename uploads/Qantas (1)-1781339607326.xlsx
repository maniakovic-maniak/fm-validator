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54" documentId="11_E60897F41BE170836B02CE998F75CCDC64E183C8" xr6:coauthVersionLast="47" xr6:coauthVersionMax="47" xr10:uidLastSave="{1BC43E6F-1DD1-4A35-B941-150AE4E3635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D31" i="1"/>
  <c r="C31" i="1"/>
  <c r="D28" i="1"/>
  <c r="C28" i="1"/>
  <c r="B28" i="1"/>
  <c r="D27" i="1"/>
  <c r="C27" i="1"/>
  <c r="B27" i="1"/>
  <c r="D26" i="1"/>
  <c r="C26" i="1"/>
  <c r="B26" i="1"/>
  <c r="D23" i="1"/>
  <c r="C23" i="1"/>
  <c r="B23" i="1"/>
  <c r="D15" i="1"/>
  <c r="C15" i="1"/>
  <c r="B15" i="1"/>
</calcChain>
</file>

<file path=xl/sharedStrings.xml><?xml version="1.0" encoding="utf-8"?>
<sst xmlns="http://schemas.openxmlformats.org/spreadsheetml/2006/main" count="50" uniqueCount="37">
  <si>
    <t>QANTAS AIRWAYS LIMITED</t>
  </si>
  <si>
    <t>Net Working Capital Analysis</t>
  </si>
  <si>
    <t>All figures in AUD Millions</t>
  </si>
  <si>
    <t>FY24</t>
  </si>
  <si>
    <t>FY25</t>
  </si>
  <si>
    <t>FY26 (TTM)</t>
  </si>
  <si>
    <t>Source</t>
  </si>
  <si>
    <t>Period Ending:</t>
  </si>
  <si>
    <t>CURRENT ASSETS</t>
  </si>
  <si>
    <t>Cash &amp; Equivalents</t>
  </si>
  <si>
    <t>Balance Sheet</t>
  </si>
  <si>
    <t>Short-Term Investments</t>
  </si>
  <si>
    <t>Accounts Receivable</t>
  </si>
  <si>
    <t>Other Receivables</t>
  </si>
  <si>
    <t>Inventory</t>
  </si>
  <si>
    <t>Other Current Assets</t>
  </si>
  <si>
    <t>Total Current Assets</t>
  </si>
  <si>
    <t>Calculated</t>
  </si>
  <si>
    <t>CURRENT LIABILITIES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</si>
  <si>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</si>
  <si>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</si>
  <si>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</si>
  <si>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</si>
  <si>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</si>
  <si>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</si>
  <si>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NET WORKING CAPITAL CALCULATION</t>
  </si>
  <si>
    <t>Less: Total Current Liabilities</t>
  </si>
  <si>
    <t>Net Working Capital</t>
  </si>
  <si>
    <t>YEAR-OVER-YEAR ANALYSIS</t>
  </si>
  <si>
    <t>NWC Change (YoY)</t>
  </si>
  <si>
    <t>N/A</t>
  </si>
  <si>
    <t>NWC Change (%)</t>
  </si>
  <si>
    <t>DATA SOURCES &amp; NOTES</t>
  </si>
  <si>
    <t>Source: Qantas Airways Annual Reports, Stock Analysis (stockanalysis.com)</t>
  </si>
  <si>
    <t>FY24 &amp; FY25: Audited annual financial statements</t>
  </si>
  <si>
    <t>FY26 (TTM): Trailing Twelve Months as of Dec 31, 2025 (FY26 incomplete)</t>
  </si>
  <si>
    <t>Note: Qantas fiscal year runs July 1 - June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</si>
</sst>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15" fontId="2" fillId="3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0" fontId="5" fillId="0" borderId="0" xfId="0" applyFont="1"/>
    <xf numFmtId="3" fontId="0" fillId="0" borderId="0" xfId="0" applyNumberFormat="1"/>
    <xf numFmtId="3" fontId="1" fillId="0" borderId="0" xfId="0" applyNumberFormat="1" applyFont="1"/>
    <xf numFmtId="3" fontId="1" fillId="5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/>
  </sheetViews>
  <sheetFormatPr defaultRowHeight="15"/>
  <cols>
    <col min="1" max="1" width="41.85546875" customWidth="1"/>
    <col min="2" max="5" width="19" customWidth="1"/>
  </cols>
  <sheetData>
    <row r="1" spans="1:5" ht="21">
      <c r="A1" s="8" t="s">
        <v>0</v>
      </c>
    </row>
    <row r="2" spans="1:5" ht="15.75">
      <c r="A2" s="9" t="s">
        <v>1</v>
      </c>
    </row>
    <row r="3" spans="1:5">
      <c r="A3" s="2" t="s">
        <v>2</v>
      </c>
    </row>
    <row r="5" spans="1:5">
      <c r="A5" s="3"/>
      <c r="B5" s="3" t="s">
        <v>3</v>
      </c>
      <c r="C5" s="3" t="s">
        <v>4</v>
      </c>
      <c r="D5" s="3" t="s">
        <v>5</v>
      </c>
      <c r="E5" s="3" t="s">
        <v>6</v>
      </c>
    </row>
    <row r="6" spans="1:5">
      <c r="A6" s="4" t="s">
        <v>7</v>
      </c>
      <c r="B6" s="5">
        <v>45473</v>
      </c>
      <c r="C6" s="5">
        <v>45838</v>
      </c>
      <c r="D6" s="5">
        <v>46022</v>
      </c>
      <c r="E6" s="4"/>
    </row>
    <row r="8" spans="1:5">
      <c r="A8" s="6" t="s">
        <v>8</v>
      </c>
    </row>
    <row r="9" spans="1:5">
      <c r="A9" t="s">
        <v>9</v>
      </c>
      <c r="B9" s="10">
        <v>1718</v>
      </c>
      <c r="C9" s="10">
        <v>2213</v>
      </c>
      <c r="D9" s="10">
        <v>1856</v>
      </c>
      <c r="E9" t="s">
        <v>10</v>
      </c>
    </row>
    <row r="10" spans="1:5">
      <c r="A10" t="s">
        <v>11</v>
      </c>
      <c r="B10" s="10">
        <v>0</v>
      </c>
      <c r="C10" s="10">
        <v>0</v>
      </c>
      <c r="D10" s="10">
        <v>0</v>
      </c>
      <c r="E10" t="s">
        <v>10</v>
      </c>
    </row>
    <row r="11" spans="1:5">
      <c r="A11" t="s">
        <v>12</v>
      </c>
      <c r="B11" s="10">
        <v>1134</v>
      </c>
      <c r="C11" s="10">
        <v>1219</v>
      </c>
      <c r="D11" s="10">
        <v>1016</v>
      </c>
      <c r="E11" t="s">
        <v>10</v>
      </c>
    </row>
    <row r="12" spans="1:5">
      <c r="A12" t="s">
        <v>13</v>
      </c>
      <c r="B12" s="10">
        <v>21</v>
      </c>
      <c r="C12" s="10">
        <v>0</v>
      </c>
      <c r="D12" s="10">
        <v>0</v>
      </c>
      <c r="E12" t="s">
        <v>10</v>
      </c>
    </row>
    <row r="13" spans="1:5">
      <c r="A13" t="s">
        <v>14</v>
      </c>
      <c r="B13" s="10">
        <v>343</v>
      </c>
      <c r="C13" s="10">
        <v>405</v>
      </c>
      <c r="D13" s="10">
        <v>460</v>
      </c>
      <c r="E13" t="s">
        <v>10</v>
      </c>
    </row>
    <row r="14" spans="1:5">
      <c r="A14" t="s">
        <v>15</v>
      </c>
      <c r="B14" s="10">
        <v>763</v>
      </c>
      <c r="C14" s="10">
        <v>678</v>
      </c>
      <c r="D14" s="10">
        <v>620</v>
      </c>
      <c r="E14" t="s">
        <v>10</v>
      </c>
    </row>
    <row r="15" spans="1:5">
      <c r="A15" s="1" t="s">
        <v>16</v>
      </c>
      <c r="B15" s="11">
        <f>SUM(B9:B14)</f>
        <v>3979</v>
      </c>
      <c r="C15" s="11">
        <f>SUM(C9:C14)</f>
        <v>4515</v>
      </c>
      <c r="D15" s="11">
        <f>SUM(D9:D14)</f>
        <v>3952</v>
      </c>
      <c r="E15" s="1" t="s">
        <v>17</v>
      </c>
    </row>
    <row r="17" spans="1:5">
      <c r="A17" s="6" t="s">
        <v>18</v>
      </c>
    </row>
    <row r="18" spans="1:5">
      <c r="A18" t="s">
        <v>19</v>
      </c>
      <c r="B18" s="10">
        <v>208</v>
      </c>
      <c r="C18" s="10">
        <v>247</v>
      </c>
      <c r="D18" s="10">
        <v>483</v>
      </c>
      <c r="E18" t="s">
        <v>10</v>
      </c>
    </row>
    <row r="19" spans="1:5">
      <c r="A19" t="s">
        <v>20</v>
      </c>
      <c r="B19" s="10">
        <v>392</v>
      </c>
      <c r="C19" s="10">
        <v>396</v>
      </c>
      <c r="D19" s="10">
        <v>404</v>
      </c>
      <c r="E19" t="s">
        <v>10</v>
      </c>
    </row>
    <row r="20" spans="1:5">
      <c r="A20" t="s">
        <v>21</v>
      </c>
      <c r="B20" s="10">
        <v>0</v>
      </c>
      <c r="C20" s="10">
        <v>246</v>
      </c>
      <c r="D20" s="10">
        <v>63</v>
      </c>
      <c r="E20" t="s">
        <v>10</v>
      </c>
    </row>
    <row r="21" spans="1:5">
      <c r="A21" t="s">
        <v>22</v>
      </c>
      <c r="B21" s="10">
        <v>6722</v>
      </c>
      <c r="C21" s="10">
        <v>7179</v>
      </c>
      <c r="D21" s="10">
        <v>6952</v>
      </c>
      <c r="E21" t="s">
        <v>10</v>
      </c>
    </row>
    <row r="22" spans="1:5">
      <c r="A22" t="s">
        <v>23</v>
      </c>
      <c r="B22" s="10">
        <v>4422</v>
      </c>
      <c r="C22" s="10">
        <v>4648</v>
      </c>
      <c r="D22" s="10">
        <v>4447</v>
      </c>
      <c r="E22" t="s">
        <v>10</v>
      </c>
    </row>
    <row r="23" spans="1:5">
      <c r="A23" s="1" t="s">
        <v>24</v>
      </c>
      <c r="B23" s="11">
        <f>SUM(B18:B22)</f>
        <v>11744</v>
      </c>
      <c r="C23" s="11">
        <f>SUM(C18:C22)</f>
        <v>12716</v>
      </c>
      <c r="D23" s="11">
        <f>SUM(D18:D22)</f>
        <v>12349</v>
      </c>
      <c r="E23" s="1" t="s">
        <v>17</v>
      </c>
    </row>
    <row r="25" spans="1:5">
      <c r="A25" s="6" t="s">
        <v>25</v>
      </c>
    </row>
    <row r="26" spans="1:5">
      <c r="A26" t="s">
        <v>16</v>
      </c>
      <c r="B26" s="10">
        <f>B15</f>
        <v>3979</v>
      </c>
      <c r="C26" s="10">
        <f>C15</f>
        <v>4515</v>
      </c>
      <c r="D26" s="10">
        <f>D15</f>
        <v>3952</v>
      </c>
    </row>
    <row r="27" spans="1:5">
      <c r="A27" t="s">
        <v>26</v>
      </c>
      <c r="B27" s="10">
        <f>B23</f>
        <v>11744</v>
      </c>
      <c r="C27" s="10">
        <f>C23</f>
        <v>12716</v>
      </c>
      <c r="D27" s="10">
        <f>D23</f>
        <v>12349</v>
      </c>
    </row>
    <row r="28" spans="1:5">
      <c r="A28" s="7" t="s">
        <v>27</v>
      </c>
      <c r="B28" s="12">
        <f>B26-B27</f>
        <v>-7765</v>
      </c>
      <c r="C28" s="12">
        <f>C26-C27</f>
        <v>-8201</v>
      </c>
      <c r="D28" s="12">
        <f>D26-D27</f>
        <v>-8397</v>
      </c>
      <c r="E28" s="7"/>
    </row>
    <row r="30" spans="1:5">
      <c r="A30" s="6" t="s">
        <v>28</v>
      </c>
    </row>
    <row r="31" spans="1:5">
      <c r="A31" t="s">
        <v>29</v>
      </c>
      <c r="B31" t="s">
        <v>30</v>
      </c>
      <c r="C31" s="10">
        <f>C28-B28</f>
        <v>-436</v>
      </c>
      <c r="D31" s="10">
        <f>D28-C28</f>
        <v>-196</v>
      </c>
    </row>
    <row r="32" spans="1:5">
      <c r="A32" t="s">
        <v>31</v>
      </c>
      <c r="B32" t="s">
        <v>30</v>
      </c>
      <c r="C32" s="13">
        <f>IF(B28&lt;&gt;0,(C28-B28)/ABS(B28),0)</f>
        <v>-5.6149388280746941E-2</v>
      </c>
      <c r="D32" s="13">
        <f>IF(C28&lt;&gt;0,(D28-C28)/ABS(C28),0)</f>
        <v>-2.3899524448238021E-2</v>
      </c>
    </row>
    <row r="34" spans="1:1">
      <c r="A34" s="6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Guy M.</cp:lastModifiedBy>
  <cp:revision/>
  <dcterms:created xsi:type="dcterms:W3CDTF">2026-03-23T07:57:20Z</dcterms:created>
  <dcterms:modified xsi:type="dcterms:W3CDTF">2026-03-23T08:00:03Z</dcterms:modified>
  <cp:category/>
  <cp:contentStatus/>
</cp:coreProperties>
</file>