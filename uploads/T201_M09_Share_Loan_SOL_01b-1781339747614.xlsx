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checkCompatibility="1" defaultThemeVersion="124226"/>
  <bookViews>
    <workbookView xWindow="705" yWindow="1365" windowWidth="15180" windowHeight="7530" tabRatio="954" activeTab="15"/>
  </bookViews>
  <sheets>
    <sheet name="InpC" sheetId="48" r:id="rId1"/>
    <sheet name="InpS" sheetId="252" r:id="rId2"/>
    <sheet name="ConTime" sheetId="272" r:id="rId3"/>
    <sheet name="ConCost" sheetId="266" r:id="rId4"/>
    <sheet name="ConFin" sheetId="281" r:id="rId5"/>
    <sheet name="T&amp;E" sheetId="44" r:id="rId6"/>
    <sheet name="Rev" sheetId="46" r:id="rId7"/>
    <sheet name="Opex" sheetId="258" r:id="rId8"/>
    <sheet name="FixAsst" sheetId="259" r:id="rId9"/>
    <sheet name="SrDebt" sheetId="260" r:id="rId10"/>
    <sheet name="DSRA" sheetId="295" r:id="rId11"/>
    <sheet name="Tax" sheetId="265" r:id="rId12"/>
    <sheet name="Equity" sheetId="261" r:id="rId13"/>
    <sheet name="Finstat" sheetId="49" r:id="rId14"/>
    <sheet name="Ratios" sheetId="283" r:id="rId15"/>
    <sheet name="DSCR" sheetId="285" r:id="rId16"/>
    <sheet name="Returns" sheetId="277" r:id="rId17"/>
    <sheet name="{Tmp}" sheetId="257" r:id="rId18"/>
  </sheets>
  <definedNames>
    <definedName name="Curr_Unit">InpC!$F$62</definedName>
    <definedName name="SMU">InpC!$F$61</definedName>
  </definedNames>
  <calcPr calcId="145621" calcMode="manual" iterateCount="10000" calcOnSave="0"/>
</workbook>
</file>

<file path=xl/calcChain.xml><?xml version="1.0" encoding="utf-8"?>
<calcChain xmlns="http://schemas.openxmlformats.org/spreadsheetml/2006/main">
  <c r="I30" i="277" l="1"/>
  <c r="G30" i="277"/>
  <c r="F30" i="277"/>
  <c r="E30" i="277"/>
  <c r="I11" i="277"/>
  <c r="H11" i="277"/>
  <c r="G11" i="277"/>
  <c r="F11" i="277"/>
  <c r="E11" i="277"/>
  <c r="I55" i="49"/>
  <c r="F55" i="49"/>
  <c r="G21" i="261"/>
  <c r="G55" i="49" s="1"/>
  <c r="E21" i="261"/>
  <c r="E55" i="49" s="1"/>
  <c r="I35" i="261"/>
  <c r="H35" i="261"/>
  <c r="G35" i="261"/>
  <c r="F35" i="261"/>
  <c r="E35" i="261"/>
  <c r="I18" i="261"/>
  <c r="H18" i="261"/>
  <c r="G18" i="261"/>
  <c r="E18" i="261"/>
  <c r="I14" i="261"/>
  <c r="H14" i="261"/>
  <c r="F14" i="261"/>
  <c r="E14" i="261"/>
  <c r="I69" i="261"/>
  <c r="H69" i="261"/>
  <c r="F69" i="261"/>
  <c r="E69" i="261"/>
  <c r="I65" i="261"/>
  <c r="H65" i="261"/>
  <c r="F65" i="261"/>
  <c r="E65" i="261"/>
  <c r="I15" i="261"/>
  <c r="G15" i="261"/>
  <c r="F15" i="261"/>
  <c r="E15" i="261"/>
  <c r="I19" i="261"/>
  <c r="H19" i="261"/>
  <c r="F19" i="261"/>
  <c r="E19" i="261"/>
  <c r="F27" i="261"/>
  <c r="E27" i="261"/>
  <c r="F52" i="261"/>
  <c r="E52" i="261"/>
  <c r="G54" i="48"/>
  <c r="G27" i="261" s="1"/>
  <c r="I30" i="49"/>
  <c r="H30" i="49"/>
  <c r="F30" i="49"/>
  <c r="E30" i="49"/>
  <c r="E30" i="261"/>
  <c r="G28" i="261"/>
  <c r="G30" i="261" s="1"/>
  <c r="CA42" i="261"/>
  <c r="BZ42" i="261"/>
  <c r="BY42" i="261"/>
  <c r="BX42" i="261"/>
  <c r="BW42" i="261"/>
  <c r="BV42" i="261"/>
  <c r="BU42" i="261"/>
  <c r="BT42" i="261"/>
  <c r="BS42" i="261"/>
  <c r="BR42" i="261"/>
  <c r="BQ42" i="261"/>
  <c r="BP42" i="261"/>
  <c r="BO42" i="261"/>
  <c r="BN42" i="261"/>
  <c r="BM42" i="261"/>
  <c r="BL42" i="261"/>
  <c r="BK42" i="261"/>
  <c r="BJ42" i="261"/>
  <c r="BI42" i="261"/>
  <c r="BH42" i="261"/>
  <c r="BG42" i="261"/>
  <c r="BF42" i="261"/>
  <c r="BE42" i="261"/>
  <c r="BD42" i="261"/>
  <c r="BC42" i="261"/>
  <c r="BB42" i="261"/>
  <c r="BA42" i="261"/>
  <c r="AZ42" i="261"/>
  <c r="AY42" i="261"/>
  <c r="AX42" i="261"/>
  <c r="AW42" i="261"/>
  <c r="AV42" i="261"/>
  <c r="AU42" i="261"/>
  <c r="AT42" i="261"/>
  <c r="AS42" i="261"/>
  <c r="AR42" i="261"/>
  <c r="AQ42" i="261"/>
  <c r="AP42" i="261"/>
  <c r="AO42" i="261"/>
  <c r="AN42" i="261"/>
  <c r="AM42" i="261"/>
  <c r="AL42" i="261"/>
  <c r="AK42" i="261"/>
  <c r="AJ42" i="261"/>
  <c r="AI42" i="261"/>
  <c r="AH42" i="261"/>
  <c r="AG42" i="261"/>
  <c r="AF42" i="261"/>
  <c r="AE42" i="261"/>
  <c r="AD42" i="261"/>
  <c r="AC42" i="261"/>
  <c r="AB42" i="261"/>
  <c r="AA42" i="261"/>
  <c r="Z42" i="261"/>
  <c r="Y42" i="261"/>
  <c r="X42" i="261"/>
  <c r="W42" i="261"/>
  <c r="V42" i="261"/>
  <c r="U42" i="261"/>
  <c r="T42" i="261"/>
  <c r="S42" i="261"/>
  <c r="R42" i="261"/>
  <c r="Q42" i="261"/>
  <c r="P42" i="261"/>
  <c r="O42" i="261"/>
  <c r="N42" i="261"/>
  <c r="M42" i="261"/>
  <c r="L42" i="261"/>
  <c r="K42" i="261"/>
  <c r="J42" i="261"/>
  <c r="G42" i="261"/>
  <c r="E42" i="261"/>
  <c r="H41" i="261"/>
  <c r="G36" i="261"/>
  <c r="G30" i="49" s="1"/>
  <c r="J33" i="261"/>
  <c r="J19" i="261" s="1"/>
  <c r="G33" i="261"/>
  <c r="G19" i="261" s="1"/>
  <c r="I31" i="261"/>
  <c r="G31" i="261"/>
  <c r="F31" i="261"/>
  <c r="E31" i="261"/>
  <c r="G52" i="261" l="1"/>
  <c r="H42" i="261"/>
  <c r="I51" i="49"/>
  <c r="G51" i="49"/>
  <c r="F51" i="49"/>
  <c r="E51" i="49"/>
  <c r="I47" i="295"/>
  <c r="G47" i="295"/>
  <c r="F47" i="295"/>
  <c r="E47" i="295"/>
  <c r="I48" i="295"/>
  <c r="I50" i="49" s="1"/>
  <c r="G48" i="295"/>
  <c r="G50" i="49" s="1"/>
  <c r="F48" i="295"/>
  <c r="F50" i="49" s="1"/>
  <c r="E48" i="295"/>
  <c r="E50" i="49" s="1"/>
  <c r="I9" i="295"/>
  <c r="G9" i="295"/>
  <c r="F9" i="295"/>
  <c r="E9" i="295"/>
  <c r="I59" i="295"/>
  <c r="G59" i="295"/>
  <c r="F59" i="295"/>
  <c r="E59" i="295"/>
  <c r="I43" i="295"/>
  <c r="G43" i="295"/>
  <c r="F43" i="295"/>
  <c r="E43" i="295"/>
  <c r="I39" i="295"/>
  <c r="H39" i="295"/>
  <c r="F39" i="295"/>
  <c r="E39" i="295"/>
  <c r="I40" i="295"/>
  <c r="G40" i="295"/>
  <c r="F40" i="295"/>
  <c r="E40" i="295"/>
  <c r="I31" i="295"/>
  <c r="G31" i="295"/>
  <c r="F31" i="295"/>
  <c r="E31" i="295"/>
  <c r="I24" i="295"/>
  <c r="H24" i="295"/>
  <c r="G24" i="295"/>
  <c r="F24" i="295"/>
  <c r="E24" i="295"/>
  <c r="I49" i="49"/>
  <c r="F49" i="49"/>
  <c r="I58" i="295"/>
  <c r="G58" i="295"/>
  <c r="F58" i="295"/>
  <c r="E58" i="295"/>
  <c r="G34" i="295"/>
  <c r="G49" i="49" s="1"/>
  <c r="E34" i="295"/>
  <c r="E49" i="49" s="1"/>
  <c r="I20" i="295"/>
  <c r="H20" i="295"/>
  <c r="F20" i="295"/>
  <c r="E20" i="295"/>
  <c r="I21" i="295"/>
  <c r="G21" i="295"/>
  <c r="F21" i="295"/>
  <c r="E21" i="295"/>
  <c r="I44" i="295"/>
  <c r="G44" i="295"/>
  <c r="F44" i="295"/>
  <c r="E44" i="295"/>
  <c r="I32" i="295"/>
  <c r="G32" i="295"/>
  <c r="F32" i="295"/>
  <c r="E32" i="295"/>
  <c r="I16" i="295"/>
  <c r="H16" i="295"/>
  <c r="G16" i="295"/>
  <c r="F16" i="295"/>
  <c r="E16" i="295"/>
  <c r="I13" i="295"/>
  <c r="H13" i="295"/>
  <c r="F13" i="295"/>
  <c r="E13" i="295"/>
  <c r="I12" i="295"/>
  <c r="H12" i="295"/>
  <c r="G12" i="295"/>
  <c r="F12" i="295"/>
  <c r="E12" i="295"/>
  <c r="I8" i="295"/>
  <c r="G8" i="295"/>
  <c r="F8" i="295"/>
  <c r="E8" i="295"/>
  <c r="I24" i="49"/>
  <c r="H24" i="49"/>
  <c r="F24" i="49"/>
  <c r="E24" i="49"/>
  <c r="G57" i="281"/>
  <c r="G54" i="295" s="1"/>
  <c r="E57" i="281"/>
  <c r="E54" i="295" s="1"/>
  <c r="I66" i="281"/>
  <c r="G66" i="281"/>
  <c r="F66" i="281"/>
  <c r="E66" i="281"/>
  <c r="I55" i="281"/>
  <c r="G55" i="281"/>
  <c r="F55" i="281"/>
  <c r="E55" i="281"/>
  <c r="G54" i="281"/>
  <c r="CA66" i="295"/>
  <c r="BZ66" i="295"/>
  <c r="BY66" i="295"/>
  <c r="BX66" i="295"/>
  <c r="BW66" i="295"/>
  <c r="BV66" i="295"/>
  <c r="BU66" i="295"/>
  <c r="BT66" i="295"/>
  <c r="BS66" i="295"/>
  <c r="BR66" i="295"/>
  <c r="BQ66" i="295"/>
  <c r="BP66" i="295"/>
  <c r="BO66" i="295"/>
  <c r="BN66" i="295"/>
  <c r="BM66" i="295"/>
  <c r="BL66" i="295"/>
  <c r="BK66" i="295"/>
  <c r="BJ66" i="295"/>
  <c r="BI66" i="295"/>
  <c r="BH66" i="295"/>
  <c r="BG66" i="295"/>
  <c r="BF66" i="295"/>
  <c r="BE66" i="295"/>
  <c r="BD66" i="295"/>
  <c r="BC66" i="295"/>
  <c r="BB66" i="295"/>
  <c r="BA66" i="295"/>
  <c r="AZ66" i="295"/>
  <c r="AY66" i="295"/>
  <c r="AX66" i="295"/>
  <c r="AW66" i="295"/>
  <c r="AV66" i="295"/>
  <c r="AU66" i="295"/>
  <c r="AT66" i="295"/>
  <c r="AS66" i="295"/>
  <c r="AR66" i="295"/>
  <c r="AQ66" i="295"/>
  <c r="AP66" i="295"/>
  <c r="AO66" i="295"/>
  <c r="AN66" i="295"/>
  <c r="AM66" i="295"/>
  <c r="AL66" i="295"/>
  <c r="AK66" i="295"/>
  <c r="AJ66" i="295"/>
  <c r="AI66" i="295"/>
  <c r="AH66" i="295"/>
  <c r="AG66" i="295"/>
  <c r="AF66" i="295"/>
  <c r="AE66" i="295"/>
  <c r="AD66" i="295"/>
  <c r="AC66" i="295"/>
  <c r="AB66" i="295"/>
  <c r="AA66" i="295"/>
  <c r="Z66" i="295"/>
  <c r="Y66" i="295"/>
  <c r="X66" i="295"/>
  <c r="W66" i="295"/>
  <c r="V66" i="295"/>
  <c r="U66" i="295"/>
  <c r="T66" i="295"/>
  <c r="S66" i="295"/>
  <c r="R66" i="295"/>
  <c r="Q66" i="295"/>
  <c r="P66" i="295"/>
  <c r="O66" i="295"/>
  <c r="N66" i="295"/>
  <c r="M66" i="295"/>
  <c r="L66" i="295"/>
  <c r="K66" i="295"/>
  <c r="J66" i="295"/>
  <c r="G66" i="295"/>
  <c r="E66" i="295"/>
  <c r="H65" i="295"/>
  <c r="G60" i="295"/>
  <c r="G24" i="49" s="1"/>
  <c r="J57" i="295"/>
  <c r="G57" i="295"/>
  <c r="G13" i="295" s="1"/>
  <c r="I55" i="295"/>
  <c r="G55" i="295"/>
  <c r="F55" i="295"/>
  <c r="E55" i="295"/>
  <c r="I4" i="295"/>
  <c r="H4" i="295"/>
  <c r="G4" i="295"/>
  <c r="F4" i="295"/>
  <c r="E4" i="295"/>
  <c r="I3" i="295"/>
  <c r="H3" i="295"/>
  <c r="G3" i="295"/>
  <c r="F3" i="295"/>
  <c r="E3" i="295"/>
  <c r="I2" i="295"/>
  <c r="G2" i="295"/>
  <c r="F2" i="295"/>
  <c r="E2" i="295"/>
  <c r="A1" i="295"/>
  <c r="G39" i="295" l="1"/>
  <c r="J13" i="295"/>
  <c r="J39" i="295"/>
  <c r="H66" i="295"/>
  <c r="H33" i="252"/>
  <c r="I37" i="252" l="1"/>
  <c r="G37" i="252"/>
  <c r="F37" i="252"/>
  <c r="E37" i="252"/>
  <c r="I50" i="260"/>
  <c r="G50" i="260"/>
  <c r="F50" i="260"/>
  <c r="E50" i="260"/>
  <c r="I60" i="260"/>
  <c r="G60" i="260"/>
  <c r="F60" i="260"/>
  <c r="E60" i="260"/>
  <c r="I55" i="260"/>
  <c r="G55" i="260"/>
  <c r="F55" i="260"/>
  <c r="E55" i="260"/>
  <c r="I56" i="260"/>
  <c r="G56" i="260"/>
  <c r="F56" i="260"/>
  <c r="E56" i="260"/>
  <c r="I45" i="260"/>
  <c r="G45" i="260"/>
  <c r="F45" i="260"/>
  <c r="E45" i="260"/>
  <c r="I41" i="260"/>
  <c r="F41" i="260"/>
  <c r="I40" i="260"/>
  <c r="G40" i="260"/>
  <c r="F40" i="260"/>
  <c r="E41" i="260"/>
  <c r="E40" i="260"/>
  <c r="I37" i="260"/>
  <c r="G37" i="260"/>
  <c r="F37" i="260"/>
  <c r="E37" i="260"/>
  <c r="H32" i="252" l="1"/>
  <c r="CA41" i="283" l="1"/>
  <c r="BZ41" i="283"/>
  <c r="BY41" i="283"/>
  <c r="BX41" i="283"/>
  <c r="BW41" i="283"/>
  <c r="BV41" i="283"/>
  <c r="BU41" i="283"/>
  <c r="BT41" i="283"/>
  <c r="BS41" i="283"/>
  <c r="BR41" i="283"/>
  <c r="BQ41" i="283"/>
  <c r="BP41" i="283"/>
  <c r="BO41" i="283"/>
  <c r="BN41" i="283"/>
  <c r="BM41" i="283"/>
  <c r="BL41" i="283"/>
  <c r="BK41" i="283"/>
  <c r="BJ41" i="283"/>
  <c r="BI41" i="283"/>
  <c r="BH41" i="283"/>
  <c r="BG41" i="283"/>
  <c r="BF41" i="283"/>
  <c r="BE41" i="283"/>
  <c r="BD41" i="283"/>
  <c r="BC41" i="283"/>
  <c r="M41" i="283"/>
  <c r="L41" i="283"/>
  <c r="K41" i="283"/>
  <c r="J41" i="283"/>
  <c r="E43" i="283"/>
  <c r="I40" i="283"/>
  <c r="G40" i="283"/>
  <c r="F40" i="283"/>
  <c r="E40" i="283"/>
  <c r="I39" i="283"/>
  <c r="G39" i="283"/>
  <c r="F39" i="283"/>
  <c r="E39" i="283"/>
  <c r="E36" i="283"/>
  <c r="BW34" i="283"/>
  <c r="BV34" i="283"/>
  <c r="BU34" i="283"/>
  <c r="BT34" i="283"/>
  <c r="BR34" i="283"/>
  <c r="BN34" i="283"/>
  <c r="BM34" i="283"/>
  <c r="J34" i="283"/>
  <c r="BL34" i="283"/>
  <c r="BE34" i="283"/>
  <c r="BD34" i="283"/>
  <c r="K34" i="283"/>
  <c r="I33" i="283"/>
  <c r="G33" i="283"/>
  <c r="F33" i="283"/>
  <c r="E33" i="283"/>
  <c r="I32" i="283"/>
  <c r="G32" i="283"/>
  <c r="F32" i="283"/>
  <c r="E32" i="283"/>
  <c r="CA34" i="283"/>
  <c r="BZ34" i="283"/>
  <c r="BY34" i="283"/>
  <c r="BX34" i="283"/>
  <c r="BS34" i="283"/>
  <c r="BQ34" i="283"/>
  <c r="BP34" i="283"/>
  <c r="BO34" i="283"/>
  <c r="BK34" i="283"/>
  <c r="BJ34" i="283"/>
  <c r="BI34" i="283"/>
  <c r="BH34" i="283"/>
  <c r="BG34" i="283"/>
  <c r="BF34" i="283"/>
  <c r="BC34" i="283"/>
  <c r="N34" i="283"/>
  <c r="M34" i="283"/>
  <c r="L34" i="283"/>
  <c r="G22" i="283"/>
  <c r="G25" i="283" s="1"/>
  <c r="I21" i="283"/>
  <c r="G21" i="283"/>
  <c r="F21" i="283"/>
  <c r="E21" i="283"/>
  <c r="E22" i="283" s="1"/>
  <c r="E25" i="283" s="1"/>
  <c r="G19" i="283"/>
  <c r="G24" i="283" s="1"/>
  <c r="E19" i="283"/>
  <c r="E24" i="283" s="1"/>
  <c r="I16" i="283"/>
  <c r="G16" i="283"/>
  <c r="F16" i="283"/>
  <c r="E16" i="283"/>
  <c r="I17" i="283"/>
  <c r="G17" i="283"/>
  <c r="F17" i="283"/>
  <c r="E17" i="283"/>
  <c r="I8" i="283"/>
  <c r="G8" i="283"/>
  <c r="F8" i="283"/>
  <c r="E8" i="283"/>
  <c r="I10" i="283"/>
  <c r="G10" i="283"/>
  <c r="F10" i="283"/>
  <c r="E10" i="283"/>
  <c r="I77" i="260"/>
  <c r="F77" i="260"/>
  <c r="E77" i="260"/>
  <c r="I78" i="260"/>
  <c r="F78" i="260"/>
  <c r="E78" i="260"/>
  <c r="I9" i="283"/>
  <c r="G9" i="283"/>
  <c r="F9" i="283"/>
  <c r="E9" i="283"/>
  <c r="I4" i="283"/>
  <c r="H4" i="283"/>
  <c r="G4" i="283"/>
  <c r="F4" i="283"/>
  <c r="E4" i="283"/>
  <c r="I3" i="283"/>
  <c r="H3" i="283"/>
  <c r="G3" i="283"/>
  <c r="F3" i="283"/>
  <c r="E3" i="283"/>
  <c r="I2" i="283"/>
  <c r="G2" i="283"/>
  <c r="F2" i="283"/>
  <c r="E2" i="283"/>
  <c r="A1" i="283"/>
  <c r="O34" i="283" l="1"/>
  <c r="E63" i="277"/>
  <c r="G53" i="277"/>
  <c r="F53" i="277"/>
  <c r="E53" i="277"/>
  <c r="G110" i="281"/>
  <c r="F110" i="281"/>
  <c r="E110" i="281"/>
  <c r="I106" i="281"/>
  <c r="H106" i="281"/>
  <c r="G106" i="281"/>
  <c r="F106" i="281"/>
  <c r="E106" i="281"/>
  <c r="I114" i="281"/>
  <c r="G114" i="281"/>
  <c r="F114" i="281"/>
  <c r="E114" i="281"/>
  <c r="G117" i="281"/>
  <c r="G63" i="277" s="1"/>
  <c r="I115" i="281"/>
  <c r="H115" i="281"/>
  <c r="G115" i="281"/>
  <c r="F115" i="281"/>
  <c r="E115" i="281"/>
  <c r="I111" i="281"/>
  <c r="H111" i="281"/>
  <c r="G111" i="281"/>
  <c r="F111" i="281"/>
  <c r="E111" i="281"/>
  <c r="I54" i="277"/>
  <c r="H54" i="277"/>
  <c r="G54" i="277"/>
  <c r="F54" i="277"/>
  <c r="E54" i="277"/>
  <c r="I58" i="277"/>
  <c r="H58" i="277"/>
  <c r="G58" i="277"/>
  <c r="F58" i="277"/>
  <c r="E58" i="277"/>
  <c r="E62" i="277"/>
  <c r="G60" i="277"/>
  <c r="G62" i="277" s="1"/>
  <c r="I57" i="277"/>
  <c r="G57" i="277"/>
  <c r="F57" i="277"/>
  <c r="E57" i="277"/>
  <c r="CA50" i="277"/>
  <c r="CA51" i="277" s="1"/>
  <c r="CA54" i="277" s="1"/>
  <c r="BZ50" i="277"/>
  <c r="BZ51" i="277" s="1"/>
  <c r="BZ54" i="277" s="1"/>
  <c r="BY50" i="277"/>
  <c r="BY51" i="277" s="1"/>
  <c r="BY54" i="277" s="1"/>
  <c r="BX50" i="277"/>
  <c r="BX51" i="277" s="1"/>
  <c r="BX54" i="277" s="1"/>
  <c r="BW50" i="277"/>
  <c r="BW51" i="277" s="1"/>
  <c r="BW54" i="277" s="1"/>
  <c r="BV50" i="277"/>
  <c r="BV51" i="277" s="1"/>
  <c r="BV54" i="277" s="1"/>
  <c r="BU50" i="277"/>
  <c r="BU51" i="277" s="1"/>
  <c r="BU54" i="277" s="1"/>
  <c r="BT50" i="277"/>
  <c r="BT51" i="277" s="1"/>
  <c r="BT54" i="277" s="1"/>
  <c r="BS50" i="277"/>
  <c r="BS51" i="277" s="1"/>
  <c r="BS54" i="277" s="1"/>
  <c r="BR50" i="277"/>
  <c r="BR51" i="277" s="1"/>
  <c r="BR54" i="277" s="1"/>
  <c r="BQ50" i="277"/>
  <c r="BQ51" i="277" s="1"/>
  <c r="BQ54" i="277" s="1"/>
  <c r="BP50" i="277"/>
  <c r="BP51" i="277" s="1"/>
  <c r="BP54" i="277" s="1"/>
  <c r="BO50" i="277"/>
  <c r="BO51" i="277" s="1"/>
  <c r="BN50" i="277"/>
  <c r="BN51" i="277" s="1"/>
  <c r="BN54" i="277" s="1"/>
  <c r="BM50" i="277"/>
  <c r="BM51" i="277" s="1"/>
  <c r="BM54" i="277" s="1"/>
  <c r="BL50" i="277"/>
  <c r="BL51" i="277" s="1"/>
  <c r="BL54" i="277" s="1"/>
  <c r="BK50" i="277"/>
  <c r="BK51" i="277" s="1"/>
  <c r="BK54" i="277" s="1"/>
  <c r="BJ50" i="277"/>
  <c r="BJ51" i="277" s="1"/>
  <c r="BJ54" i="277" s="1"/>
  <c r="BI50" i="277"/>
  <c r="BI51" i="277" s="1"/>
  <c r="BI54" i="277" s="1"/>
  <c r="BH50" i="277"/>
  <c r="BH51" i="277" s="1"/>
  <c r="BH54" i="277" s="1"/>
  <c r="BG50" i="277"/>
  <c r="BG51" i="277" s="1"/>
  <c r="BF50" i="277"/>
  <c r="BF51" i="277" s="1"/>
  <c r="BF54" i="277" s="1"/>
  <c r="BE50" i="277"/>
  <c r="BE51" i="277" s="1"/>
  <c r="BE54" i="277" s="1"/>
  <c r="BD50" i="277"/>
  <c r="BD51" i="277" s="1"/>
  <c r="BD54" i="277" s="1"/>
  <c r="BC50" i="277"/>
  <c r="BC51" i="277" s="1"/>
  <c r="BC54" i="277" s="1"/>
  <c r="BB50" i="277"/>
  <c r="BB51" i="277" s="1"/>
  <c r="BB54" i="277" s="1"/>
  <c r="BA50" i="277"/>
  <c r="BA51" i="277" s="1"/>
  <c r="BA54" i="277" s="1"/>
  <c r="AZ50" i="277"/>
  <c r="AZ51" i="277" s="1"/>
  <c r="AZ54" i="277" s="1"/>
  <c r="AY50" i="277"/>
  <c r="AY51" i="277" s="1"/>
  <c r="AX50" i="277"/>
  <c r="AX51" i="277" s="1"/>
  <c r="AX54" i="277" s="1"/>
  <c r="AW50" i="277"/>
  <c r="AW51" i="277" s="1"/>
  <c r="AW54" i="277" s="1"/>
  <c r="AV50" i="277"/>
  <c r="AV51" i="277" s="1"/>
  <c r="AV54" i="277" s="1"/>
  <c r="AU50" i="277"/>
  <c r="AU51" i="277" s="1"/>
  <c r="AU54" i="277" s="1"/>
  <c r="AT50" i="277"/>
  <c r="AT51" i="277" s="1"/>
  <c r="AT54" i="277" s="1"/>
  <c r="AS50" i="277"/>
  <c r="AS51" i="277" s="1"/>
  <c r="AS54" i="277" s="1"/>
  <c r="AR50" i="277"/>
  <c r="AR51" i="277" s="1"/>
  <c r="AR54" i="277" s="1"/>
  <c r="AQ50" i="277"/>
  <c r="AQ51" i="277" s="1"/>
  <c r="AP50" i="277"/>
  <c r="AP51" i="277" s="1"/>
  <c r="AP54" i="277" s="1"/>
  <c r="AO50" i="277"/>
  <c r="AO51" i="277" s="1"/>
  <c r="AO54" i="277" s="1"/>
  <c r="AN50" i="277"/>
  <c r="AN51" i="277" s="1"/>
  <c r="AN54" i="277" s="1"/>
  <c r="AM50" i="277"/>
  <c r="AM51" i="277" s="1"/>
  <c r="AM54" i="277" s="1"/>
  <c r="AL50" i="277"/>
  <c r="AL51" i="277" s="1"/>
  <c r="AL54" i="277" s="1"/>
  <c r="AK50" i="277"/>
  <c r="AK51" i="277" s="1"/>
  <c r="AK54" i="277" s="1"/>
  <c r="AJ50" i="277"/>
  <c r="AJ51" i="277" s="1"/>
  <c r="AJ54" i="277" s="1"/>
  <c r="AI50" i="277"/>
  <c r="AI51" i="277" s="1"/>
  <c r="AH50" i="277"/>
  <c r="AH51" i="277" s="1"/>
  <c r="AH54" i="277" s="1"/>
  <c r="AG50" i="277"/>
  <c r="AG51" i="277" s="1"/>
  <c r="AG54" i="277" s="1"/>
  <c r="AF50" i="277"/>
  <c r="AF51" i="277" s="1"/>
  <c r="AF54" i="277" s="1"/>
  <c r="AE50" i="277"/>
  <c r="AE51" i="277" s="1"/>
  <c r="AE54" i="277" s="1"/>
  <c r="AD50" i="277"/>
  <c r="AD51" i="277" s="1"/>
  <c r="AD54" i="277" s="1"/>
  <c r="AC50" i="277"/>
  <c r="AC51" i="277" s="1"/>
  <c r="AC54" i="277" s="1"/>
  <c r="AB50" i="277"/>
  <c r="AB51" i="277" s="1"/>
  <c r="AB54" i="277" s="1"/>
  <c r="AA50" i="277"/>
  <c r="AA51" i="277" s="1"/>
  <c r="Z50" i="277"/>
  <c r="Z51" i="277" s="1"/>
  <c r="Z54" i="277" s="1"/>
  <c r="Y50" i="277"/>
  <c r="Y51" i="277" s="1"/>
  <c r="Y54" i="277" s="1"/>
  <c r="X50" i="277"/>
  <c r="X51" i="277" s="1"/>
  <c r="X54" i="277" s="1"/>
  <c r="W50" i="277"/>
  <c r="W51" i="277" s="1"/>
  <c r="W54" i="277" s="1"/>
  <c r="V50" i="277"/>
  <c r="V51" i="277" s="1"/>
  <c r="V54" i="277" s="1"/>
  <c r="U50" i="277"/>
  <c r="U51" i="277" s="1"/>
  <c r="U54" i="277" s="1"/>
  <c r="T50" i="277"/>
  <c r="T51" i="277" s="1"/>
  <c r="T54" i="277" s="1"/>
  <c r="S50" i="277"/>
  <c r="S51" i="277" s="1"/>
  <c r="R50" i="277"/>
  <c r="R51" i="277" s="1"/>
  <c r="R54" i="277" s="1"/>
  <c r="Q50" i="277"/>
  <c r="Q51" i="277" s="1"/>
  <c r="Q54" i="277" s="1"/>
  <c r="P50" i="277"/>
  <c r="P51" i="277" s="1"/>
  <c r="P54" i="277" s="1"/>
  <c r="O50" i="277"/>
  <c r="O51" i="277" s="1"/>
  <c r="O54" i="277" s="1"/>
  <c r="N50" i="277"/>
  <c r="N51" i="277" s="1"/>
  <c r="N54" i="277" s="1"/>
  <c r="M50" i="277"/>
  <c r="M51" i="277" s="1"/>
  <c r="M54" i="277" s="1"/>
  <c r="L50" i="277"/>
  <c r="L51" i="277" s="1"/>
  <c r="L54" i="277" s="1"/>
  <c r="K50" i="277"/>
  <c r="K51" i="277" s="1"/>
  <c r="J50" i="277"/>
  <c r="J51" i="277" s="1"/>
  <c r="J54" i="277" s="1"/>
  <c r="I29" i="277"/>
  <c r="F29" i="277"/>
  <c r="I20" i="277"/>
  <c r="F20" i="277"/>
  <c r="I99" i="281"/>
  <c r="G99" i="281"/>
  <c r="G100" i="281" s="1"/>
  <c r="F99" i="281"/>
  <c r="E99" i="281"/>
  <c r="E100" i="281" s="1"/>
  <c r="E33" i="265"/>
  <c r="K54" i="277" l="1"/>
  <c r="K55" i="277" s="1"/>
  <c r="K58" i="277" s="1"/>
  <c r="S54" i="277"/>
  <c r="S55" i="277" s="1"/>
  <c r="S58" i="277" s="1"/>
  <c r="AA54" i="277"/>
  <c r="AA55" i="277" s="1"/>
  <c r="AA58" i="277" s="1"/>
  <c r="AI54" i="277"/>
  <c r="AI55" i="277" s="1"/>
  <c r="AI58" i="277" s="1"/>
  <c r="AQ54" i="277"/>
  <c r="AQ55" i="277" s="1"/>
  <c r="AQ58" i="277" s="1"/>
  <c r="AY54" i="277"/>
  <c r="AY55" i="277" s="1"/>
  <c r="AY58" i="277" s="1"/>
  <c r="BG54" i="277"/>
  <c r="BG55" i="277" s="1"/>
  <c r="BG58" i="277" s="1"/>
  <c r="BO54" i="277"/>
  <c r="BO55" i="277" s="1"/>
  <c r="BO58" i="277" s="1"/>
  <c r="BW55" i="277"/>
  <c r="BW58" i="277" s="1"/>
  <c r="T55" i="277"/>
  <c r="T58" i="277" s="1"/>
  <c r="AJ55" i="277"/>
  <c r="AJ58" i="277" s="1"/>
  <c r="AZ55" i="277"/>
  <c r="AZ58" i="277" s="1"/>
  <c r="BP55" i="277"/>
  <c r="BP58" i="277" s="1"/>
  <c r="BX55" i="277"/>
  <c r="BX58" i="277" s="1"/>
  <c r="BA55" i="277"/>
  <c r="BA58" i="277" s="1"/>
  <c r="M55" i="277"/>
  <c r="M58" i="277" s="1"/>
  <c r="AK55" i="277"/>
  <c r="AK58" i="277" s="1"/>
  <c r="BY55" i="277"/>
  <c r="BY58" i="277" s="1"/>
  <c r="L55" i="277"/>
  <c r="L58" i="277" s="1"/>
  <c r="AB55" i="277"/>
  <c r="AB58" i="277" s="1"/>
  <c r="AR55" i="277"/>
  <c r="AR58" i="277" s="1"/>
  <c r="BH55" i="277"/>
  <c r="BH58" i="277" s="1"/>
  <c r="U55" i="277"/>
  <c r="U58" i="277" s="1"/>
  <c r="AC55" i="277"/>
  <c r="AC58" i="277" s="1"/>
  <c r="AS55" i="277"/>
  <c r="AS58" i="277" s="1"/>
  <c r="BI55" i="277"/>
  <c r="BI58" i="277" s="1"/>
  <c r="BQ55" i="277"/>
  <c r="BQ58" i="277" s="1"/>
  <c r="BS55" i="277"/>
  <c r="BS58" i="277" s="1"/>
  <c r="J55" i="277"/>
  <c r="J58" i="277" s="1"/>
  <c r="R55" i="277"/>
  <c r="R58" i="277" s="1"/>
  <c r="Z55" i="277"/>
  <c r="Z58" i="277" s="1"/>
  <c r="AH55" i="277"/>
  <c r="AH58" i="277" s="1"/>
  <c r="AP55" i="277"/>
  <c r="AP58" i="277" s="1"/>
  <c r="AX55" i="277"/>
  <c r="AX58" i="277" s="1"/>
  <c r="BF55" i="277"/>
  <c r="BF58" i="277" s="1"/>
  <c r="BN55" i="277"/>
  <c r="BN58" i="277" s="1"/>
  <c r="BV55" i="277"/>
  <c r="BV58" i="277" s="1"/>
  <c r="N55" i="277"/>
  <c r="N58" i="277" s="1"/>
  <c r="V55" i="277"/>
  <c r="V58" i="277" s="1"/>
  <c r="AD55" i="277"/>
  <c r="AD58" i="277" s="1"/>
  <c r="AL55" i="277"/>
  <c r="AL58" i="277" s="1"/>
  <c r="AT55" i="277"/>
  <c r="AT58" i="277" s="1"/>
  <c r="BB55" i="277"/>
  <c r="BB58" i="277" s="1"/>
  <c r="BJ55" i="277"/>
  <c r="BJ58" i="277" s="1"/>
  <c r="BR55" i="277"/>
  <c r="BR58" i="277" s="1"/>
  <c r="BZ55" i="277"/>
  <c r="BZ58" i="277" s="1"/>
  <c r="O55" i="277"/>
  <c r="O58" i="277" s="1"/>
  <c r="W55" i="277"/>
  <c r="W58" i="277" s="1"/>
  <c r="AE55" i="277"/>
  <c r="AE58" i="277" s="1"/>
  <c r="AM55" i="277"/>
  <c r="AM58" i="277" s="1"/>
  <c r="AU55" i="277"/>
  <c r="AU58" i="277" s="1"/>
  <c r="BC55" i="277"/>
  <c r="BC58" i="277" s="1"/>
  <c r="BK55" i="277"/>
  <c r="BK58" i="277" s="1"/>
  <c r="CA55" i="277"/>
  <c r="CA58" i="277" s="1"/>
  <c r="P55" i="277"/>
  <c r="P58" i="277" s="1"/>
  <c r="X55" i="277"/>
  <c r="X58" i="277" s="1"/>
  <c r="AF55" i="277"/>
  <c r="AF58" i="277" s="1"/>
  <c r="AN55" i="277"/>
  <c r="AN58" i="277" s="1"/>
  <c r="AV55" i="277"/>
  <c r="AV58" i="277" s="1"/>
  <c r="BD55" i="277"/>
  <c r="BD58" i="277" s="1"/>
  <c r="BL55" i="277"/>
  <c r="BL58" i="277" s="1"/>
  <c r="BT55" i="277"/>
  <c r="BT58" i="277" s="1"/>
  <c r="Q55" i="277"/>
  <c r="Q58" i="277" s="1"/>
  <c r="Y55" i="277"/>
  <c r="Y58" i="277" s="1"/>
  <c r="AG55" i="277"/>
  <c r="AG58" i="277" s="1"/>
  <c r="AO55" i="277"/>
  <c r="AO58" i="277" s="1"/>
  <c r="AW55" i="277"/>
  <c r="AW58" i="277" s="1"/>
  <c r="BE55" i="277"/>
  <c r="BE58" i="277" s="1"/>
  <c r="BM55" i="277"/>
  <c r="BM58" i="277" s="1"/>
  <c r="BU55" i="277"/>
  <c r="BU58" i="277" s="1"/>
  <c r="G64" i="277"/>
  <c r="E29" i="277"/>
  <c r="E20" i="277"/>
  <c r="G20" i="277"/>
  <c r="G29" i="277"/>
  <c r="BB31" i="252"/>
  <c r="BA31" i="252"/>
  <c r="AZ31" i="252"/>
  <c r="AY31" i="252"/>
  <c r="AX31" i="252"/>
  <c r="AW31" i="252"/>
  <c r="AV31" i="252"/>
  <c r="AU31" i="252"/>
  <c r="AT31" i="252"/>
  <c r="AS31" i="252"/>
  <c r="AR31" i="252"/>
  <c r="AQ31" i="252"/>
  <c r="AP31" i="252"/>
  <c r="AO31" i="252"/>
  <c r="AN31" i="252"/>
  <c r="AM31" i="252"/>
  <c r="AL31" i="252"/>
  <c r="AK31" i="252"/>
  <c r="AJ31" i="252"/>
  <c r="AI31" i="252"/>
  <c r="AH31" i="252"/>
  <c r="AG31" i="252"/>
  <c r="AF31" i="252"/>
  <c r="AE31" i="252"/>
  <c r="AD31" i="252"/>
  <c r="AC31" i="252"/>
  <c r="AB31" i="252"/>
  <c r="AA31" i="252"/>
  <c r="Z31" i="252"/>
  <c r="Y31" i="252"/>
  <c r="X31" i="252"/>
  <c r="W31" i="252"/>
  <c r="I26" i="252"/>
  <c r="G26" i="252"/>
  <c r="F26" i="252"/>
  <c r="E26" i="252"/>
  <c r="BB29" i="252"/>
  <c r="BA29" i="252"/>
  <c r="AZ29" i="252"/>
  <c r="AY29" i="252"/>
  <c r="AX29" i="252"/>
  <c r="AW29" i="252"/>
  <c r="AV29" i="252"/>
  <c r="AU29" i="252"/>
  <c r="AT29" i="252"/>
  <c r="AS29" i="252"/>
  <c r="AR29" i="252"/>
  <c r="AQ29" i="252"/>
  <c r="AP29" i="252"/>
  <c r="AO29" i="252"/>
  <c r="AN29" i="252"/>
  <c r="AM29" i="252"/>
  <c r="AL29" i="252"/>
  <c r="AK29" i="252"/>
  <c r="AJ29" i="252"/>
  <c r="AI29" i="252"/>
  <c r="AH29" i="252"/>
  <c r="AG29" i="252"/>
  <c r="AF29" i="252"/>
  <c r="AE29" i="252"/>
  <c r="AD29" i="252"/>
  <c r="AC29" i="252"/>
  <c r="AB29" i="252"/>
  <c r="AA29" i="252"/>
  <c r="Z29" i="252"/>
  <c r="Y29" i="252"/>
  <c r="X29" i="252"/>
  <c r="W29" i="252"/>
  <c r="V29" i="252"/>
  <c r="U29" i="252"/>
  <c r="T29" i="252"/>
  <c r="S29" i="252"/>
  <c r="R29" i="252"/>
  <c r="Q29" i="252"/>
  <c r="P29" i="252"/>
  <c r="O29" i="252"/>
  <c r="I28" i="260" l="1"/>
  <c r="H28" i="260"/>
  <c r="G28" i="260"/>
  <c r="F28" i="260"/>
  <c r="E28" i="260"/>
  <c r="I24" i="260"/>
  <c r="H24" i="260"/>
  <c r="G24" i="260"/>
  <c r="F24" i="260"/>
  <c r="E24" i="260"/>
  <c r="I25" i="260"/>
  <c r="G25" i="260"/>
  <c r="F25" i="260"/>
  <c r="E25" i="260"/>
  <c r="G23" i="260"/>
  <c r="F23" i="260"/>
  <c r="E23" i="260"/>
  <c r="I19" i="260"/>
  <c r="G19" i="260"/>
  <c r="F19" i="260"/>
  <c r="E19" i="260"/>
  <c r="CA18" i="260"/>
  <c r="BZ18" i="260"/>
  <c r="BY18" i="260"/>
  <c r="BX18" i="260"/>
  <c r="BW18" i="260"/>
  <c r="BV18" i="260"/>
  <c r="BU18" i="260"/>
  <c r="BT18" i="260"/>
  <c r="BS18" i="260"/>
  <c r="BR18" i="260"/>
  <c r="BQ18" i="260"/>
  <c r="BP18" i="260"/>
  <c r="BO18" i="260"/>
  <c r="BN18" i="260"/>
  <c r="BM18" i="260"/>
  <c r="BL18" i="260"/>
  <c r="BK18" i="260"/>
  <c r="BJ18" i="260"/>
  <c r="BI18" i="260"/>
  <c r="BH18" i="260"/>
  <c r="BG18" i="260"/>
  <c r="BF18" i="260"/>
  <c r="BE18" i="260"/>
  <c r="BD18" i="260"/>
  <c r="BC18" i="260"/>
  <c r="BB18" i="260"/>
  <c r="BA18" i="260"/>
  <c r="AZ18" i="260"/>
  <c r="AY18" i="260"/>
  <c r="AX18" i="260"/>
  <c r="AW18" i="260"/>
  <c r="AV18" i="260"/>
  <c r="AU18" i="260"/>
  <c r="AT18" i="260"/>
  <c r="AS18" i="260"/>
  <c r="AR18" i="260"/>
  <c r="AQ18" i="260"/>
  <c r="AP18" i="260"/>
  <c r="AO18" i="260"/>
  <c r="AN18" i="260"/>
  <c r="AM18" i="260"/>
  <c r="AL18" i="260"/>
  <c r="AK18" i="260"/>
  <c r="AJ18" i="260"/>
  <c r="AI18" i="260"/>
  <c r="AH18" i="260"/>
  <c r="AG18" i="260"/>
  <c r="AF18" i="260"/>
  <c r="AE18" i="260"/>
  <c r="AD18" i="260"/>
  <c r="AC18" i="260"/>
  <c r="AB18" i="260"/>
  <c r="AA18" i="260"/>
  <c r="Z18" i="260"/>
  <c r="Y18" i="260"/>
  <c r="X18" i="260"/>
  <c r="W18" i="260"/>
  <c r="V18" i="260"/>
  <c r="U18" i="260"/>
  <c r="T18" i="260"/>
  <c r="S18" i="260"/>
  <c r="R18" i="260"/>
  <c r="Q18" i="260"/>
  <c r="P18" i="260"/>
  <c r="O18" i="260"/>
  <c r="N18" i="260"/>
  <c r="M18" i="260"/>
  <c r="L18" i="260"/>
  <c r="K18" i="260"/>
  <c r="J18" i="260"/>
  <c r="I18" i="260"/>
  <c r="G18" i="260"/>
  <c r="F18" i="260"/>
  <c r="E18" i="260"/>
  <c r="CA17" i="260"/>
  <c r="BZ17" i="260"/>
  <c r="BY17" i="260"/>
  <c r="BX17" i="260"/>
  <c r="BW17" i="260"/>
  <c r="BV17" i="260"/>
  <c r="BU17" i="260"/>
  <c r="BT17" i="260"/>
  <c r="BS17" i="260"/>
  <c r="BR17" i="260"/>
  <c r="BQ17" i="260"/>
  <c r="BP17" i="260"/>
  <c r="BO17" i="260"/>
  <c r="BN17" i="260"/>
  <c r="BM17" i="260"/>
  <c r="BL17" i="260"/>
  <c r="BK17" i="260"/>
  <c r="BJ17" i="260"/>
  <c r="BI17" i="260"/>
  <c r="BH17" i="260"/>
  <c r="BG17" i="260"/>
  <c r="BF17" i="260"/>
  <c r="BE17" i="260"/>
  <c r="BD17" i="260"/>
  <c r="BC17" i="260"/>
  <c r="BB17" i="260"/>
  <c r="BA17" i="260"/>
  <c r="AZ17" i="260"/>
  <c r="AY17" i="260"/>
  <c r="AX17" i="260"/>
  <c r="AW17" i="260"/>
  <c r="AV17" i="260"/>
  <c r="AU17" i="260"/>
  <c r="AT17" i="260"/>
  <c r="AS17" i="260"/>
  <c r="AR17" i="260"/>
  <c r="AQ17" i="260"/>
  <c r="AP17" i="260"/>
  <c r="AO17" i="260"/>
  <c r="AN17" i="260"/>
  <c r="AM17" i="260"/>
  <c r="AL17" i="260"/>
  <c r="AK17" i="260"/>
  <c r="AJ17" i="260"/>
  <c r="AI17" i="260"/>
  <c r="AH17" i="260"/>
  <c r="AG17" i="260"/>
  <c r="AF17" i="260"/>
  <c r="AE17" i="260"/>
  <c r="AD17" i="260"/>
  <c r="AC17" i="260"/>
  <c r="AB17" i="260"/>
  <c r="AA17" i="260"/>
  <c r="Z17" i="260"/>
  <c r="Y17" i="260"/>
  <c r="X17" i="260"/>
  <c r="W17" i="260"/>
  <c r="V17" i="260"/>
  <c r="U17" i="260"/>
  <c r="T17" i="260"/>
  <c r="S17" i="260"/>
  <c r="R17" i="260"/>
  <c r="Q17" i="260"/>
  <c r="P17" i="260"/>
  <c r="O17" i="260"/>
  <c r="N17" i="260"/>
  <c r="M17" i="260"/>
  <c r="L17" i="260"/>
  <c r="K17" i="260"/>
  <c r="J17" i="260"/>
  <c r="I17" i="260"/>
  <c r="G17" i="260"/>
  <c r="F17" i="260"/>
  <c r="E17" i="260"/>
  <c r="I8" i="260"/>
  <c r="G8" i="260"/>
  <c r="F8" i="260"/>
  <c r="E8" i="260"/>
  <c r="I28" i="44"/>
  <c r="H28" i="44"/>
  <c r="G28" i="44"/>
  <c r="F28" i="44"/>
  <c r="E28" i="44"/>
  <c r="G26" i="44"/>
  <c r="E26" i="44"/>
  <c r="H10" i="260"/>
  <c r="H18" i="260" s="1"/>
  <c r="H9" i="260"/>
  <c r="H17" i="260" s="1"/>
  <c r="G128" i="281" l="1"/>
  <c r="G13" i="265" s="1"/>
  <c r="E128" i="281"/>
  <c r="E20" i="259" s="1"/>
  <c r="I126" i="281"/>
  <c r="G126" i="281"/>
  <c r="F126" i="281"/>
  <c r="E126" i="281"/>
  <c r="I125" i="281"/>
  <c r="G125" i="281"/>
  <c r="F125" i="281"/>
  <c r="E125" i="281"/>
  <c r="I124" i="281"/>
  <c r="G124" i="281"/>
  <c r="F124" i="281"/>
  <c r="E124" i="281"/>
  <c r="I123" i="281"/>
  <c r="G123" i="281"/>
  <c r="F123" i="281"/>
  <c r="E123" i="281"/>
  <c r="I122" i="281"/>
  <c r="F122" i="281"/>
  <c r="E122" i="281"/>
  <c r="G97" i="281"/>
  <c r="E97" i="281"/>
  <c r="G84" i="281"/>
  <c r="E84" i="281"/>
  <c r="I65" i="281"/>
  <c r="G65" i="281"/>
  <c r="F65" i="281"/>
  <c r="E65" i="281"/>
  <c r="I51" i="281"/>
  <c r="G51" i="281"/>
  <c r="F51" i="281"/>
  <c r="E51" i="281"/>
  <c r="I50" i="281"/>
  <c r="H50" i="281"/>
  <c r="G50" i="281"/>
  <c r="F50" i="281"/>
  <c r="E50" i="281"/>
  <c r="I46" i="281"/>
  <c r="H46" i="281"/>
  <c r="G46" i="281"/>
  <c r="F46" i="281"/>
  <c r="E46" i="281"/>
  <c r="G45" i="281"/>
  <c r="I64" i="281"/>
  <c r="G64" i="281"/>
  <c r="F64" i="281"/>
  <c r="E64" i="281"/>
  <c r="I36" i="281"/>
  <c r="H36" i="281"/>
  <c r="G36" i="281"/>
  <c r="F36" i="281"/>
  <c r="E36" i="281"/>
  <c r="I31" i="281"/>
  <c r="G31" i="281"/>
  <c r="F31" i="281"/>
  <c r="E31" i="281"/>
  <c r="I30" i="281"/>
  <c r="H30" i="281"/>
  <c r="G30" i="281"/>
  <c r="F30" i="281"/>
  <c r="E30" i="281"/>
  <c r="G34" i="281"/>
  <c r="E34" i="281"/>
  <c r="F25" i="281"/>
  <c r="F28" i="281" s="1"/>
  <c r="F34" i="281" s="1"/>
  <c r="I35" i="281"/>
  <c r="H35" i="281"/>
  <c r="G35" i="281"/>
  <c r="F35" i="281"/>
  <c r="E35" i="281"/>
  <c r="I73" i="281"/>
  <c r="G73" i="281"/>
  <c r="F73" i="281"/>
  <c r="E73" i="281"/>
  <c r="I63" i="281"/>
  <c r="G63" i="281"/>
  <c r="F63" i="281"/>
  <c r="E63" i="281"/>
  <c r="I14" i="281"/>
  <c r="G14" i="281"/>
  <c r="F14" i="281"/>
  <c r="E14" i="281"/>
  <c r="G13" i="281"/>
  <c r="I62" i="281"/>
  <c r="G62" i="281"/>
  <c r="F62" i="281"/>
  <c r="E62" i="281"/>
  <c r="I10" i="281"/>
  <c r="G10" i="281"/>
  <c r="F10" i="281"/>
  <c r="E10" i="281"/>
  <c r="G9" i="281"/>
  <c r="I95" i="281"/>
  <c r="G95" i="281"/>
  <c r="F95" i="281"/>
  <c r="E95" i="281"/>
  <c r="I94" i="281"/>
  <c r="G94" i="281"/>
  <c r="F94" i="281"/>
  <c r="E94" i="281"/>
  <c r="I88" i="281"/>
  <c r="G88" i="281"/>
  <c r="F88" i="281"/>
  <c r="E88" i="281"/>
  <c r="I81" i="281"/>
  <c r="G81" i="281"/>
  <c r="F81" i="281"/>
  <c r="E81" i="281"/>
  <c r="I80" i="281"/>
  <c r="H80" i="281"/>
  <c r="G80" i="281"/>
  <c r="F80" i="281"/>
  <c r="E80" i="281"/>
  <c r="I82" i="281"/>
  <c r="G82" i="281"/>
  <c r="F82" i="281"/>
  <c r="E82" i="281"/>
  <c r="I87" i="281"/>
  <c r="G87" i="281"/>
  <c r="F87" i="281"/>
  <c r="E87" i="281"/>
  <c r="J86" i="281"/>
  <c r="J80" i="281" s="1"/>
  <c r="I77" i="281"/>
  <c r="G77" i="281"/>
  <c r="F77" i="281"/>
  <c r="E77" i="281"/>
  <c r="I72" i="281"/>
  <c r="F72" i="281"/>
  <c r="E72" i="281"/>
  <c r="I4" i="281"/>
  <c r="H4" i="281"/>
  <c r="G4" i="281"/>
  <c r="F4" i="281"/>
  <c r="E4" i="281"/>
  <c r="I3" i="281"/>
  <c r="H3" i="281"/>
  <c r="G3" i="281"/>
  <c r="F3" i="281"/>
  <c r="E3" i="281"/>
  <c r="I2" i="281"/>
  <c r="G2" i="281"/>
  <c r="F2" i="281"/>
  <c r="E2" i="281"/>
  <c r="A1" i="281"/>
  <c r="E26" i="261" l="1"/>
  <c r="G26" i="261"/>
  <c r="G59" i="260"/>
  <c r="G44" i="260"/>
  <c r="E59" i="260"/>
  <c r="E44" i="260"/>
  <c r="E8" i="259"/>
  <c r="G8" i="259"/>
  <c r="E13" i="265"/>
  <c r="G20" i="259"/>
  <c r="G68" i="260"/>
  <c r="E68" i="260"/>
  <c r="J46" i="281"/>
  <c r="J47" i="281" s="1"/>
  <c r="J50" i="281" s="1"/>
  <c r="J35" i="281"/>
  <c r="I29" i="272"/>
  <c r="G29" i="272"/>
  <c r="F29" i="272"/>
  <c r="E29" i="272"/>
  <c r="G28" i="272"/>
  <c r="F28" i="272"/>
  <c r="E28" i="272"/>
  <c r="I12" i="272"/>
  <c r="H12" i="272"/>
  <c r="G12" i="272"/>
  <c r="F12" i="272"/>
  <c r="E12" i="272"/>
  <c r="G11" i="272"/>
  <c r="F11" i="272"/>
  <c r="E11" i="272"/>
  <c r="I17" i="272"/>
  <c r="H17" i="272"/>
  <c r="G17" i="272"/>
  <c r="F17" i="272"/>
  <c r="E17" i="272"/>
  <c r="G15" i="272"/>
  <c r="F15" i="272"/>
  <c r="E15" i="272"/>
  <c r="G16" i="272"/>
  <c r="E16" i="272"/>
  <c r="G24" i="272"/>
  <c r="E24" i="272"/>
  <c r="F12" i="48"/>
  <c r="G20" i="272"/>
  <c r="F20" i="272"/>
  <c r="E20" i="272"/>
  <c r="F16" i="272" l="1"/>
  <c r="F26" i="44"/>
  <c r="F24" i="272"/>
  <c r="I41" i="277"/>
  <c r="F41" i="277"/>
  <c r="I40" i="277"/>
  <c r="F40" i="277"/>
  <c r="I37" i="277"/>
  <c r="H37" i="277"/>
  <c r="G37" i="277"/>
  <c r="F37" i="277"/>
  <c r="E37" i="277"/>
  <c r="I26" i="277"/>
  <c r="H26" i="277"/>
  <c r="G26" i="277"/>
  <c r="F26" i="277"/>
  <c r="E26" i="277"/>
  <c r="I17" i="277"/>
  <c r="H17" i="277"/>
  <c r="G17" i="277"/>
  <c r="F17" i="277"/>
  <c r="E17" i="277"/>
  <c r="I43" i="266"/>
  <c r="F43" i="266"/>
  <c r="E43" i="266"/>
  <c r="E44" i="266" s="1"/>
  <c r="E40" i="277" s="1"/>
  <c r="I21" i="277"/>
  <c r="G21" i="277"/>
  <c r="F21" i="277"/>
  <c r="E21" i="277"/>
  <c r="I13" i="277"/>
  <c r="F13" i="277"/>
  <c r="E13" i="277"/>
  <c r="I12" i="277"/>
  <c r="F12" i="277"/>
  <c r="E12" i="277"/>
  <c r="I4" i="277"/>
  <c r="H4" i="277"/>
  <c r="G4" i="277"/>
  <c r="F4" i="277"/>
  <c r="E4" i="277"/>
  <c r="I3" i="277"/>
  <c r="H3" i="277"/>
  <c r="G3" i="277"/>
  <c r="F3" i="277"/>
  <c r="E3" i="277"/>
  <c r="I2" i="277"/>
  <c r="G2" i="277"/>
  <c r="F2" i="277"/>
  <c r="E2" i="277"/>
  <c r="A1" i="277"/>
  <c r="I4" i="272" l="1"/>
  <c r="H4" i="272"/>
  <c r="G4" i="272"/>
  <c r="F4" i="272"/>
  <c r="E4" i="272"/>
  <c r="I3" i="272"/>
  <c r="H3" i="272"/>
  <c r="G3" i="272"/>
  <c r="F3" i="272"/>
  <c r="E3" i="272"/>
  <c r="I2" i="272"/>
  <c r="G2" i="272"/>
  <c r="F2" i="272"/>
  <c r="E2" i="272"/>
  <c r="J8" i="272"/>
  <c r="E21" i="272"/>
  <c r="F21" i="272"/>
  <c r="G21" i="272"/>
  <c r="H21" i="272"/>
  <c r="I21" i="272"/>
  <c r="E25" i="272"/>
  <c r="F25" i="272"/>
  <c r="G25" i="272"/>
  <c r="H25" i="272"/>
  <c r="I25" i="272"/>
  <c r="A1" i="272"/>
  <c r="G41" i="266"/>
  <c r="G122" i="281" s="1"/>
  <c r="I23" i="266"/>
  <c r="G23" i="266"/>
  <c r="F23" i="266"/>
  <c r="E23" i="266"/>
  <c r="I40" i="266"/>
  <c r="G40" i="266"/>
  <c r="F40" i="266"/>
  <c r="I39" i="266"/>
  <c r="F39" i="266"/>
  <c r="E40" i="266"/>
  <c r="E39" i="266"/>
  <c r="G12" i="266"/>
  <c r="G26" i="266" s="1"/>
  <c r="G16" i="266"/>
  <c r="G27" i="266" s="1"/>
  <c r="G20" i="266"/>
  <c r="G28" i="266" s="1"/>
  <c r="G24" i="266"/>
  <c r="G29" i="266" s="1"/>
  <c r="G30" i="266"/>
  <c r="G39" i="266" s="1"/>
  <c r="I36" i="266"/>
  <c r="F36" i="266"/>
  <c r="E36" i="266"/>
  <c r="I29" i="266"/>
  <c r="F29" i="266"/>
  <c r="I28" i="266"/>
  <c r="F28" i="266"/>
  <c r="I27" i="266"/>
  <c r="F27" i="266"/>
  <c r="I26" i="266"/>
  <c r="F26" i="266"/>
  <c r="E29" i="266"/>
  <c r="E28" i="266"/>
  <c r="E27" i="266"/>
  <c r="E26" i="266"/>
  <c r="G22" i="266"/>
  <c r="G18" i="266"/>
  <c r="I19" i="266"/>
  <c r="G19" i="266"/>
  <c r="F19" i="266"/>
  <c r="E19" i="266"/>
  <c r="I15" i="266"/>
  <c r="G15" i="266"/>
  <c r="F15" i="266"/>
  <c r="E15" i="266"/>
  <c r="G14" i="266"/>
  <c r="AZ12" i="266"/>
  <c r="AZ26" i="266" s="1"/>
  <c r="AY12" i="266"/>
  <c r="AY26" i="266" s="1"/>
  <c r="AX12" i="266"/>
  <c r="AX26" i="266" s="1"/>
  <c r="AW12" i="266"/>
  <c r="AW26" i="266" s="1"/>
  <c r="AV12" i="266"/>
  <c r="AV26" i="266" s="1"/>
  <c r="AU12" i="266"/>
  <c r="AU26" i="266" s="1"/>
  <c r="AT12" i="266"/>
  <c r="AT26" i="266" s="1"/>
  <c r="AS12" i="266"/>
  <c r="AS26" i="266" s="1"/>
  <c r="AR12" i="266"/>
  <c r="AR26" i="266" s="1"/>
  <c r="AQ12" i="266"/>
  <c r="AQ26" i="266" s="1"/>
  <c r="AP12" i="266"/>
  <c r="AP26" i="266" s="1"/>
  <c r="AO12" i="266"/>
  <c r="AO26" i="266" s="1"/>
  <c r="AN12" i="266"/>
  <c r="AN26" i="266" s="1"/>
  <c r="AM12" i="266"/>
  <c r="AM26" i="266" s="1"/>
  <c r="AL12" i="266"/>
  <c r="AL26" i="266" s="1"/>
  <c r="AK12" i="266"/>
  <c r="AK26" i="266" s="1"/>
  <c r="AJ12" i="266"/>
  <c r="AJ26" i="266" s="1"/>
  <c r="AI12" i="266"/>
  <c r="AI26" i="266" s="1"/>
  <c r="AH12" i="266"/>
  <c r="AH26" i="266" s="1"/>
  <c r="AG12" i="266"/>
  <c r="AG26" i="266" s="1"/>
  <c r="AE12" i="266"/>
  <c r="AE26" i="266" s="1"/>
  <c r="AD12" i="266"/>
  <c r="AD26" i="266" s="1"/>
  <c r="AC12" i="266"/>
  <c r="AC26" i="266" s="1"/>
  <c r="AB12" i="266"/>
  <c r="AB26" i="266" s="1"/>
  <c r="AA12" i="266"/>
  <c r="AA26" i="266" s="1"/>
  <c r="Z12" i="266"/>
  <c r="Z26" i="266" s="1"/>
  <c r="Y12" i="266"/>
  <c r="Y26" i="266" s="1"/>
  <c r="X12" i="266"/>
  <c r="X26" i="266" s="1"/>
  <c r="W12" i="266"/>
  <c r="W26" i="266" s="1"/>
  <c r="V12" i="266"/>
  <c r="V26" i="266" s="1"/>
  <c r="U12" i="266"/>
  <c r="U26" i="266" s="1"/>
  <c r="T12" i="266"/>
  <c r="T26" i="266" s="1"/>
  <c r="S12" i="266"/>
  <c r="S26" i="266" s="1"/>
  <c r="R12" i="266"/>
  <c r="R26" i="266" s="1"/>
  <c r="Q12" i="266"/>
  <c r="Q26" i="266" s="1"/>
  <c r="P12" i="266"/>
  <c r="P26" i="266" s="1"/>
  <c r="O12" i="266"/>
  <c r="O26" i="266" s="1"/>
  <c r="N12" i="266"/>
  <c r="N26" i="266" s="1"/>
  <c r="M12" i="266"/>
  <c r="M26" i="266" s="1"/>
  <c r="L12" i="266"/>
  <c r="L26" i="266" s="1"/>
  <c r="K12" i="266"/>
  <c r="K26" i="266" s="1"/>
  <c r="J12" i="266"/>
  <c r="J26" i="266" s="1"/>
  <c r="AF11" i="266"/>
  <c r="H11" i="266" s="1"/>
  <c r="G10" i="266"/>
  <c r="I3" i="266"/>
  <c r="H3" i="266"/>
  <c r="G3" i="266"/>
  <c r="F3" i="266"/>
  <c r="E3" i="266"/>
  <c r="I4" i="266"/>
  <c r="H4" i="266"/>
  <c r="G4" i="266"/>
  <c r="F4" i="266"/>
  <c r="E4" i="266"/>
  <c r="I2" i="266"/>
  <c r="G2" i="266"/>
  <c r="F2" i="266"/>
  <c r="E2" i="266"/>
  <c r="A1" i="266"/>
  <c r="G43" i="266" l="1"/>
  <c r="G44" i="266" s="1"/>
  <c r="G72" i="281"/>
  <c r="J3" i="272"/>
  <c r="J3" i="281"/>
  <c r="K8" i="272"/>
  <c r="J9" i="272"/>
  <c r="J12" i="272" s="1"/>
  <c r="J13" i="272" s="1"/>
  <c r="J106" i="281" s="1"/>
  <c r="J107" i="281" s="1"/>
  <c r="J108" i="281" s="1"/>
  <c r="J111" i="281" s="1"/>
  <c r="J112" i="281" s="1"/>
  <c r="J115" i="281" s="1"/>
  <c r="G36" i="266"/>
  <c r="AF12" i="266"/>
  <c r="J3" i="266"/>
  <c r="I61" i="260"/>
  <c r="G61" i="260"/>
  <c r="F61" i="260"/>
  <c r="E61" i="260"/>
  <c r="I57" i="46"/>
  <c r="G57" i="46"/>
  <c r="F57" i="46"/>
  <c r="E57" i="46"/>
  <c r="I52" i="46"/>
  <c r="G52" i="46"/>
  <c r="F52" i="46"/>
  <c r="E52" i="46"/>
  <c r="I47" i="46"/>
  <c r="G47" i="46"/>
  <c r="F47" i="46"/>
  <c r="E47" i="46"/>
  <c r="I42" i="46"/>
  <c r="G42" i="46"/>
  <c r="F42" i="46"/>
  <c r="E42" i="46"/>
  <c r="I27" i="46"/>
  <c r="G27" i="46"/>
  <c r="F27" i="46"/>
  <c r="E27" i="46"/>
  <c r="I22" i="46"/>
  <c r="G22" i="46"/>
  <c r="F22" i="46"/>
  <c r="E22" i="46"/>
  <c r="I17" i="46"/>
  <c r="G17" i="46"/>
  <c r="F17" i="46"/>
  <c r="E17" i="46"/>
  <c r="I12" i="46"/>
  <c r="G12" i="46"/>
  <c r="F12" i="46"/>
  <c r="E12" i="46"/>
  <c r="G40" i="277" l="1"/>
  <c r="J30" i="281"/>
  <c r="J4" i="281"/>
  <c r="K3" i="272"/>
  <c r="K3" i="281"/>
  <c r="J26" i="277"/>
  <c r="J37" i="277"/>
  <c r="J17" i="277"/>
  <c r="J4" i="266"/>
  <c r="J17" i="272"/>
  <c r="J18" i="272" s="1"/>
  <c r="J4" i="272"/>
  <c r="J25" i="272"/>
  <c r="J26" i="272" s="1"/>
  <c r="J55" i="281" s="1"/>
  <c r="J56" i="281" s="1"/>
  <c r="J21" i="272"/>
  <c r="J22" i="272" s="1"/>
  <c r="K3" i="266"/>
  <c r="K9" i="272"/>
  <c r="K12" i="272" s="1"/>
  <c r="K13" i="272" s="1"/>
  <c r="K106" i="281" s="1"/>
  <c r="K107" i="281" s="1"/>
  <c r="K108" i="281" s="1"/>
  <c r="K111" i="281" s="1"/>
  <c r="K112" i="281" s="1"/>
  <c r="K115" i="281" s="1"/>
  <c r="L8" i="272"/>
  <c r="L3" i="281" s="1"/>
  <c r="H12" i="266"/>
  <c r="H26" i="266" s="1"/>
  <c r="AF26" i="266"/>
  <c r="G34" i="48"/>
  <c r="G35" i="48"/>
  <c r="G43" i="44"/>
  <c r="F43" i="44"/>
  <c r="F44" i="44" s="1"/>
  <c r="F46" i="44" s="1"/>
  <c r="E43" i="44"/>
  <c r="G47" i="44"/>
  <c r="F47" i="44"/>
  <c r="E47" i="44"/>
  <c r="I48" i="44"/>
  <c r="H48" i="44"/>
  <c r="G48" i="44"/>
  <c r="F48" i="44"/>
  <c r="E48" i="44"/>
  <c r="G46" i="44"/>
  <c r="E46" i="44"/>
  <c r="I37" i="44"/>
  <c r="H37" i="44"/>
  <c r="G37" i="44"/>
  <c r="F37" i="44"/>
  <c r="E37" i="44"/>
  <c r="I33" i="44"/>
  <c r="H33" i="44"/>
  <c r="G33" i="44"/>
  <c r="F33" i="44"/>
  <c r="E33" i="44"/>
  <c r="I23" i="44"/>
  <c r="H23" i="44"/>
  <c r="G23" i="44"/>
  <c r="F23" i="44"/>
  <c r="E23" i="44"/>
  <c r="I18" i="44"/>
  <c r="H18" i="44"/>
  <c r="G18" i="44"/>
  <c r="F18" i="44"/>
  <c r="E18" i="44"/>
  <c r="J66" i="281" l="1"/>
  <c r="K4" i="281"/>
  <c r="K30" i="281"/>
  <c r="J19" i="266"/>
  <c r="J20" i="266" s="1"/>
  <c r="J28" i="266" s="1"/>
  <c r="J82" i="281"/>
  <c r="J2" i="266"/>
  <c r="J31" i="281"/>
  <c r="J32" i="281" s="1"/>
  <c r="J36" i="281" s="1"/>
  <c r="J37" i="281" s="1"/>
  <c r="J125" i="281" s="1"/>
  <c r="J14" i="281"/>
  <c r="J16" i="281" s="1"/>
  <c r="J124" i="281" s="1"/>
  <c r="J2" i="281"/>
  <c r="J51" i="281"/>
  <c r="J52" i="281" s="1"/>
  <c r="J15" i="266"/>
  <c r="J16" i="266" s="1"/>
  <c r="J27" i="266" s="1"/>
  <c r="J10" i="281"/>
  <c r="J11" i="281" s="1"/>
  <c r="J123" i="281" s="1"/>
  <c r="K26" i="277"/>
  <c r="K37" i="277"/>
  <c r="K17" i="277"/>
  <c r="K4" i="266"/>
  <c r="J2" i="272"/>
  <c r="J29" i="272"/>
  <c r="J30" i="272" s="1"/>
  <c r="J23" i="266" s="1"/>
  <c r="J24" i="266" s="1"/>
  <c r="K17" i="272"/>
  <c r="K18" i="272" s="1"/>
  <c r="K21" i="272"/>
  <c r="K22" i="272" s="1"/>
  <c r="K4" i="272"/>
  <c r="K25" i="272"/>
  <c r="K26" i="272" s="1"/>
  <c r="K55" i="281" s="1"/>
  <c r="K56" i="281" s="1"/>
  <c r="L3" i="272"/>
  <c r="L3" i="266"/>
  <c r="M8" i="272"/>
  <c r="M3" i="281" s="1"/>
  <c r="L9" i="272"/>
  <c r="L12" i="272" s="1"/>
  <c r="L13" i="272" s="1"/>
  <c r="L106" i="281" s="1"/>
  <c r="L107" i="281" s="1"/>
  <c r="L108" i="281" s="1"/>
  <c r="L111" i="281" s="1"/>
  <c r="L112" i="281" s="1"/>
  <c r="L115" i="281" s="1"/>
  <c r="G10" i="49"/>
  <c r="G101" i="46"/>
  <c r="G92" i="46"/>
  <c r="G14" i="257"/>
  <c r="G11" i="257"/>
  <c r="G8" i="257"/>
  <c r="G35" i="49"/>
  <c r="G33" i="49"/>
  <c r="G26" i="49"/>
  <c r="I25" i="265"/>
  <c r="F25" i="265"/>
  <c r="I69" i="260"/>
  <c r="G69" i="260"/>
  <c r="F69" i="260"/>
  <c r="I25" i="259"/>
  <c r="F25" i="259"/>
  <c r="CA11" i="46"/>
  <c r="BZ11" i="46"/>
  <c r="BY11" i="46"/>
  <c r="BX11" i="46"/>
  <c r="BW11" i="46"/>
  <c r="BV11" i="46"/>
  <c r="BU11" i="46"/>
  <c r="BT11" i="46"/>
  <c r="BS11" i="46"/>
  <c r="BR11" i="46"/>
  <c r="BQ11" i="46"/>
  <c r="BP11" i="46"/>
  <c r="BO11" i="46"/>
  <c r="BN11" i="46"/>
  <c r="BM11" i="46"/>
  <c r="BL11" i="46"/>
  <c r="BK11" i="46"/>
  <c r="BJ11" i="46"/>
  <c r="BI11" i="46"/>
  <c r="BH11" i="46"/>
  <c r="BG11" i="46"/>
  <c r="BF11" i="46"/>
  <c r="BE11" i="46"/>
  <c r="BD11" i="46"/>
  <c r="BC11" i="46"/>
  <c r="BB11" i="46"/>
  <c r="BA11" i="46"/>
  <c r="AZ11" i="46"/>
  <c r="AY11" i="46"/>
  <c r="AX11" i="46"/>
  <c r="AW11" i="46"/>
  <c r="AV11" i="46"/>
  <c r="AU11" i="46"/>
  <c r="AT11" i="46"/>
  <c r="AS11" i="46"/>
  <c r="AR11" i="46"/>
  <c r="AQ11" i="46"/>
  <c r="AP11" i="46"/>
  <c r="AO11" i="46"/>
  <c r="AN11" i="46"/>
  <c r="AM11" i="46"/>
  <c r="AL11" i="46"/>
  <c r="AK11" i="46"/>
  <c r="AJ11" i="46"/>
  <c r="AI11" i="46"/>
  <c r="AH11" i="46"/>
  <c r="AG11" i="46"/>
  <c r="AF11" i="46"/>
  <c r="AE11" i="46"/>
  <c r="AD11" i="46"/>
  <c r="AC11" i="46"/>
  <c r="AB11" i="46"/>
  <c r="AA11" i="46"/>
  <c r="Z11" i="46"/>
  <c r="Y11" i="46"/>
  <c r="X11" i="46"/>
  <c r="W11" i="46"/>
  <c r="V11" i="46"/>
  <c r="U11" i="46"/>
  <c r="T11" i="46"/>
  <c r="S11" i="46"/>
  <c r="R11" i="46"/>
  <c r="Q11" i="46"/>
  <c r="P11" i="46"/>
  <c r="O11" i="46"/>
  <c r="N11" i="46"/>
  <c r="M11" i="46"/>
  <c r="L11" i="46"/>
  <c r="K11" i="46"/>
  <c r="J11" i="46"/>
  <c r="I11" i="46"/>
  <c r="H11" i="46"/>
  <c r="G11" i="46"/>
  <c r="F11" i="46"/>
  <c r="G25" i="258"/>
  <c r="G17" i="265"/>
  <c r="G56" i="261"/>
  <c r="G17" i="258"/>
  <c r="G11" i="265"/>
  <c r="G50" i="261"/>
  <c r="G11" i="258"/>
  <c r="G113" i="46"/>
  <c r="G24" i="259"/>
  <c r="G72" i="260"/>
  <c r="G71" i="260"/>
  <c r="G28" i="265"/>
  <c r="G67" i="261"/>
  <c r="G71" i="261"/>
  <c r="G91" i="261"/>
  <c r="G69" i="261" s="1"/>
  <c r="G83" i="261"/>
  <c r="G14" i="261" s="1"/>
  <c r="G55" i="261"/>
  <c r="G49" i="261"/>
  <c r="G12" i="277" s="1"/>
  <c r="G58" i="261"/>
  <c r="G40" i="265"/>
  <c r="G15" i="49"/>
  <c r="G18" i="49"/>
  <c r="G59" i="49"/>
  <c r="G75" i="261"/>
  <c r="G13" i="277" s="1"/>
  <c r="G94" i="261"/>
  <c r="G86" i="261"/>
  <c r="G19" i="265"/>
  <c r="G16" i="265"/>
  <c r="G32" i="265"/>
  <c r="G46" i="265"/>
  <c r="G49" i="265"/>
  <c r="G30" i="260"/>
  <c r="G41" i="260" s="1"/>
  <c r="G74" i="260"/>
  <c r="G23" i="259"/>
  <c r="G26" i="259"/>
  <c r="G14" i="259"/>
  <c r="G25" i="259" s="1"/>
  <c r="G33" i="258"/>
  <c r="G25" i="265" s="1"/>
  <c r="G114" i="46"/>
  <c r="G22" i="258"/>
  <c r="G14" i="258"/>
  <c r="G33" i="48"/>
  <c r="G8" i="258" s="1"/>
  <c r="G30" i="48"/>
  <c r="G97" i="46" s="1"/>
  <c r="G28" i="48"/>
  <c r="G89" i="46" s="1"/>
  <c r="G38" i="265"/>
  <c r="F38" i="265"/>
  <c r="E38" i="265"/>
  <c r="G30" i="265"/>
  <c r="F30" i="265"/>
  <c r="E30" i="265"/>
  <c r="G8" i="265"/>
  <c r="F8" i="265"/>
  <c r="E8" i="265"/>
  <c r="I10" i="258"/>
  <c r="H10" i="258"/>
  <c r="G10" i="258"/>
  <c r="F10" i="258"/>
  <c r="E10" i="258"/>
  <c r="I15" i="258"/>
  <c r="H15" i="258"/>
  <c r="G15" i="258"/>
  <c r="F15" i="258"/>
  <c r="E15" i="258"/>
  <c r="I23" i="258"/>
  <c r="H23" i="258"/>
  <c r="G23" i="258"/>
  <c r="F23" i="258"/>
  <c r="E23" i="258"/>
  <c r="F22" i="258"/>
  <c r="E22" i="258"/>
  <c r="F14" i="258"/>
  <c r="E14" i="258"/>
  <c r="F8" i="258"/>
  <c r="E8" i="258"/>
  <c r="CA26" i="46"/>
  <c r="BZ26" i="46"/>
  <c r="BY26" i="46"/>
  <c r="BX26" i="46"/>
  <c r="BW26" i="46"/>
  <c r="BV26" i="46"/>
  <c r="BU26" i="46"/>
  <c r="BT26" i="46"/>
  <c r="BS26" i="46"/>
  <c r="BR26" i="46"/>
  <c r="BQ26" i="46"/>
  <c r="BP26" i="46"/>
  <c r="BO26" i="46"/>
  <c r="BN26" i="46"/>
  <c r="BM26" i="46"/>
  <c r="BL26" i="46"/>
  <c r="BK26" i="46"/>
  <c r="BJ26" i="46"/>
  <c r="BI26" i="46"/>
  <c r="BH26" i="46"/>
  <c r="BG26" i="46"/>
  <c r="BF26" i="46"/>
  <c r="BE26" i="46"/>
  <c r="BD26" i="46"/>
  <c r="BC26" i="46"/>
  <c r="BB26" i="46"/>
  <c r="BA26" i="46"/>
  <c r="AZ26" i="46"/>
  <c r="AY26" i="46"/>
  <c r="AX26" i="46"/>
  <c r="AW26" i="46"/>
  <c r="AV26" i="46"/>
  <c r="AU26" i="46"/>
  <c r="AT26" i="46"/>
  <c r="AS26" i="46"/>
  <c r="AR26" i="46"/>
  <c r="AQ26" i="46"/>
  <c r="AP26" i="46"/>
  <c r="AO26" i="46"/>
  <c r="AN26" i="46"/>
  <c r="AM26" i="46"/>
  <c r="AL26" i="46"/>
  <c r="AK26" i="46"/>
  <c r="AJ26" i="46"/>
  <c r="AI26" i="46"/>
  <c r="AH26" i="46"/>
  <c r="AG26" i="46"/>
  <c r="AF26" i="46"/>
  <c r="AE26" i="46"/>
  <c r="AD26" i="46"/>
  <c r="AC26" i="46"/>
  <c r="AB26" i="46"/>
  <c r="AA26" i="46"/>
  <c r="Z26" i="46"/>
  <c r="Y26" i="46"/>
  <c r="X26" i="46"/>
  <c r="W26" i="46"/>
  <c r="V26" i="46"/>
  <c r="U26" i="46"/>
  <c r="T26" i="46"/>
  <c r="S26" i="46"/>
  <c r="R26" i="46"/>
  <c r="Q26" i="46"/>
  <c r="P26" i="46"/>
  <c r="O26" i="46"/>
  <c r="N26" i="46"/>
  <c r="M26" i="46"/>
  <c r="L26" i="46"/>
  <c r="K26" i="46"/>
  <c r="J26" i="46"/>
  <c r="I26" i="46"/>
  <c r="H26" i="46"/>
  <c r="G26" i="46"/>
  <c r="F26" i="46"/>
  <c r="E26" i="46"/>
  <c r="CA25" i="46"/>
  <c r="BZ25" i="46"/>
  <c r="BY25" i="46"/>
  <c r="BX25" i="46"/>
  <c r="BW25" i="46"/>
  <c r="BV25" i="46"/>
  <c r="BU25" i="46"/>
  <c r="BT25" i="46"/>
  <c r="BS25" i="46"/>
  <c r="BR25" i="46"/>
  <c r="BQ25" i="46"/>
  <c r="BP25" i="46"/>
  <c r="BO25" i="46"/>
  <c r="BN25" i="46"/>
  <c r="BM25" i="46"/>
  <c r="BL25" i="46"/>
  <c r="BK25" i="46"/>
  <c r="BJ25" i="46"/>
  <c r="BI25" i="46"/>
  <c r="BH25" i="46"/>
  <c r="BG25" i="46"/>
  <c r="BF25" i="46"/>
  <c r="BE25" i="46"/>
  <c r="BD25" i="46"/>
  <c r="BC25" i="46"/>
  <c r="BB25" i="46"/>
  <c r="BA25" i="46"/>
  <c r="AZ25" i="46"/>
  <c r="AY25" i="46"/>
  <c r="AX25" i="46"/>
  <c r="AW25" i="46"/>
  <c r="AV25" i="46"/>
  <c r="AU25" i="46"/>
  <c r="AT25" i="46"/>
  <c r="AS25" i="46"/>
  <c r="AR25" i="46"/>
  <c r="AQ25" i="46"/>
  <c r="AP25" i="46"/>
  <c r="AO25" i="46"/>
  <c r="AN25" i="46"/>
  <c r="AM25" i="46"/>
  <c r="AL25" i="46"/>
  <c r="AK25" i="46"/>
  <c r="AJ25" i="46"/>
  <c r="AI25" i="46"/>
  <c r="AH25" i="46"/>
  <c r="AG25" i="46"/>
  <c r="AF25" i="46"/>
  <c r="AE25" i="46"/>
  <c r="AD25" i="46"/>
  <c r="AC25" i="46"/>
  <c r="AB25" i="46"/>
  <c r="AA25" i="46"/>
  <c r="Z25" i="46"/>
  <c r="Y25" i="46"/>
  <c r="X25" i="46"/>
  <c r="W25" i="46"/>
  <c r="V25" i="46"/>
  <c r="U25" i="46"/>
  <c r="T25" i="46"/>
  <c r="S25" i="46"/>
  <c r="R25" i="46"/>
  <c r="Q25" i="46"/>
  <c r="P25" i="46"/>
  <c r="O25" i="46"/>
  <c r="N25" i="46"/>
  <c r="M25" i="46"/>
  <c r="L25" i="46"/>
  <c r="K25" i="46"/>
  <c r="J25" i="46"/>
  <c r="I25" i="46"/>
  <c r="H25" i="46"/>
  <c r="G25" i="46"/>
  <c r="F25" i="46"/>
  <c r="E25" i="46"/>
  <c r="CA21" i="46"/>
  <c r="BZ21" i="46"/>
  <c r="BY21" i="46"/>
  <c r="BX21" i="46"/>
  <c r="BW21" i="46"/>
  <c r="BV21" i="46"/>
  <c r="BU21" i="46"/>
  <c r="BT21" i="46"/>
  <c r="BS21" i="46"/>
  <c r="BR21" i="46"/>
  <c r="BQ21" i="46"/>
  <c r="BP21" i="46"/>
  <c r="BO21" i="46"/>
  <c r="BN21" i="46"/>
  <c r="BM21" i="46"/>
  <c r="BL21" i="46"/>
  <c r="BK21" i="46"/>
  <c r="BJ21" i="46"/>
  <c r="BI21" i="46"/>
  <c r="BH21" i="46"/>
  <c r="BG21" i="46"/>
  <c r="BF21" i="46"/>
  <c r="BE21" i="46"/>
  <c r="BD21" i="46"/>
  <c r="BC21" i="46"/>
  <c r="BB21" i="46"/>
  <c r="BA21" i="46"/>
  <c r="AZ21" i="46"/>
  <c r="AY21" i="46"/>
  <c r="AX21" i="46"/>
  <c r="AW21" i="46"/>
  <c r="AV21" i="46"/>
  <c r="AU21" i="46"/>
  <c r="AT21" i="46"/>
  <c r="AS21" i="46"/>
  <c r="AR21" i="46"/>
  <c r="AQ21" i="46"/>
  <c r="AP21" i="46"/>
  <c r="AO21" i="46"/>
  <c r="AN21" i="46"/>
  <c r="AM21" i="46"/>
  <c r="AL21" i="46"/>
  <c r="AK21" i="46"/>
  <c r="AJ21" i="46"/>
  <c r="AI21" i="46"/>
  <c r="AH21" i="46"/>
  <c r="AG21" i="46"/>
  <c r="AF21" i="46"/>
  <c r="AE21" i="46"/>
  <c r="AD21" i="46"/>
  <c r="AC21" i="46"/>
  <c r="AB21" i="46"/>
  <c r="AA21" i="46"/>
  <c r="Z21" i="46"/>
  <c r="Y21" i="46"/>
  <c r="X21" i="46"/>
  <c r="W21" i="46"/>
  <c r="V21" i="46"/>
  <c r="U21" i="46"/>
  <c r="T21" i="46"/>
  <c r="S21" i="46"/>
  <c r="R21" i="46"/>
  <c r="Q21" i="46"/>
  <c r="P21" i="46"/>
  <c r="O21" i="46"/>
  <c r="N21" i="46"/>
  <c r="M21" i="46"/>
  <c r="L21" i="46"/>
  <c r="K21" i="46"/>
  <c r="J21" i="46"/>
  <c r="I21" i="46"/>
  <c r="H21" i="46"/>
  <c r="G21" i="46"/>
  <c r="F21" i="46"/>
  <c r="E21" i="46"/>
  <c r="CA20" i="46"/>
  <c r="BZ20" i="46"/>
  <c r="BY20" i="46"/>
  <c r="BX20" i="46"/>
  <c r="BW20" i="46"/>
  <c r="BV20" i="46"/>
  <c r="BU20" i="46"/>
  <c r="BT20" i="46"/>
  <c r="BS20" i="46"/>
  <c r="BR20" i="46"/>
  <c r="BQ20" i="46"/>
  <c r="BP20" i="46"/>
  <c r="BO20" i="46"/>
  <c r="BN20" i="46"/>
  <c r="BM20" i="46"/>
  <c r="BL20" i="46"/>
  <c r="BK20" i="46"/>
  <c r="BJ20" i="46"/>
  <c r="BI20" i="46"/>
  <c r="BH20" i="46"/>
  <c r="BG20" i="46"/>
  <c r="BF20" i="46"/>
  <c r="BE20" i="46"/>
  <c r="BD20" i="46"/>
  <c r="BC20" i="46"/>
  <c r="BB20" i="46"/>
  <c r="BA20" i="46"/>
  <c r="AZ20" i="46"/>
  <c r="AY20" i="46"/>
  <c r="AX20" i="46"/>
  <c r="AW20" i="46"/>
  <c r="AV20" i="46"/>
  <c r="AU20" i="46"/>
  <c r="AT20" i="46"/>
  <c r="AS20" i="46"/>
  <c r="AR20" i="46"/>
  <c r="AQ20" i="46"/>
  <c r="AP20" i="46"/>
  <c r="AO20" i="46"/>
  <c r="AN20" i="46"/>
  <c r="AM20" i="46"/>
  <c r="AL20" i="46"/>
  <c r="AK20" i="46"/>
  <c r="AJ20" i="46"/>
  <c r="AI20" i="46"/>
  <c r="AH20" i="46"/>
  <c r="AG20" i="46"/>
  <c r="AF20" i="46"/>
  <c r="AE20" i="46"/>
  <c r="AD20" i="46"/>
  <c r="AC20" i="46"/>
  <c r="AB20" i="46"/>
  <c r="AA20" i="46"/>
  <c r="Z20" i="46"/>
  <c r="Y20" i="46"/>
  <c r="X20" i="46"/>
  <c r="W20" i="46"/>
  <c r="V20" i="46"/>
  <c r="U20" i="46"/>
  <c r="T20" i="46"/>
  <c r="S20" i="46"/>
  <c r="R20" i="46"/>
  <c r="Q20" i="46"/>
  <c r="P20" i="46"/>
  <c r="O20" i="46"/>
  <c r="N20" i="46"/>
  <c r="M20" i="46"/>
  <c r="L20" i="46"/>
  <c r="K20" i="46"/>
  <c r="J20" i="46"/>
  <c r="I20" i="46"/>
  <c r="H20" i="46"/>
  <c r="G20" i="46"/>
  <c r="F20" i="46"/>
  <c r="E20" i="46"/>
  <c r="CA16" i="46"/>
  <c r="BZ16" i="46"/>
  <c r="BY16" i="46"/>
  <c r="BX16" i="46"/>
  <c r="BW16" i="46"/>
  <c r="BV16" i="46"/>
  <c r="BU16" i="46"/>
  <c r="BT16" i="46"/>
  <c r="BS16" i="46"/>
  <c r="BR16" i="46"/>
  <c r="BQ16" i="46"/>
  <c r="BP16" i="46"/>
  <c r="BO16" i="46"/>
  <c r="BN16" i="46"/>
  <c r="BM16" i="46"/>
  <c r="BL16" i="46"/>
  <c r="BK16" i="46"/>
  <c r="BJ16" i="46"/>
  <c r="BI16" i="46"/>
  <c r="BH16" i="46"/>
  <c r="BG16" i="46"/>
  <c r="BF16" i="46"/>
  <c r="BE16" i="46"/>
  <c r="BD16" i="46"/>
  <c r="BC16" i="46"/>
  <c r="BB16" i="46"/>
  <c r="BA16" i="46"/>
  <c r="AZ16" i="46"/>
  <c r="AY16" i="46"/>
  <c r="AX16" i="46"/>
  <c r="AW16" i="46"/>
  <c r="AV16" i="46"/>
  <c r="AU16" i="46"/>
  <c r="AT16" i="46"/>
  <c r="AS16" i="46"/>
  <c r="AR16" i="46"/>
  <c r="AQ16" i="46"/>
  <c r="AP16" i="46"/>
  <c r="AO16" i="46"/>
  <c r="AN16" i="46"/>
  <c r="AM16" i="46"/>
  <c r="AL16" i="46"/>
  <c r="AK16" i="46"/>
  <c r="AJ16" i="46"/>
  <c r="AI16" i="46"/>
  <c r="AH16" i="46"/>
  <c r="AG16" i="46"/>
  <c r="AF16" i="46"/>
  <c r="AE16" i="46"/>
  <c r="AD16" i="46"/>
  <c r="AC16" i="46"/>
  <c r="AB16" i="46"/>
  <c r="AA16" i="46"/>
  <c r="Z16" i="46"/>
  <c r="Y16" i="46"/>
  <c r="X16" i="46"/>
  <c r="W16" i="46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H16" i="46"/>
  <c r="G16" i="46"/>
  <c r="F16" i="46"/>
  <c r="E16" i="46"/>
  <c r="CA15" i="46"/>
  <c r="BZ15" i="46"/>
  <c r="BY15" i="46"/>
  <c r="BX15" i="46"/>
  <c r="BW15" i="46"/>
  <c r="BV15" i="46"/>
  <c r="BU15" i="46"/>
  <c r="BT15" i="46"/>
  <c r="BS15" i="46"/>
  <c r="BR15" i="46"/>
  <c r="BQ15" i="46"/>
  <c r="BP15" i="46"/>
  <c r="BO15" i="46"/>
  <c r="BN15" i="46"/>
  <c r="BM15" i="46"/>
  <c r="BL15" i="46"/>
  <c r="BK15" i="46"/>
  <c r="BJ15" i="46"/>
  <c r="BI15" i="46"/>
  <c r="BH15" i="46"/>
  <c r="BG15" i="46"/>
  <c r="BF15" i="46"/>
  <c r="BE15" i="46"/>
  <c r="BD15" i="46"/>
  <c r="BC15" i="46"/>
  <c r="BB15" i="46"/>
  <c r="BA15" i="46"/>
  <c r="AZ15" i="46"/>
  <c r="AY15" i="46"/>
  <c r="AX15" i="46"/>
  <c r="AW15" i="46"/>
  <c r="AV15" i="46"/>
  <c r="AU15" i="46"/>
  <c r="AT15" i="46"/>
  <c r="AS15" i="46"/>
  <c r="AR15" i="46"/>
  <c r="AQ15" i="46"/>
  <c r="AP15" i="46"/>
  <c r="AO15" i="46"/>
  <c r="AN15" i="46"/>
  <c r="AM15" i="46"/>
  <c r="AL15" i="46"/>
  <c r="AK15" i="46"/>
  <c r="AJ15" i="46"/>
  <c r="AI15" i="46"/>
  <c r="AH15" i="46"/>
  <c r="AG15" i="46"/>
  <c r="AF15" i="46"/>
  <c r="AE15" i="46"/>
  <c r="AD15" i="46"/>
  <c r="AC15" i="46"/>
  <c r="AB15" i="46"/>
  <c r="AA15" i="46"/>
  <c r="Z15" i="46"/>
  <c r="Y15" i="46"/>
  <c r="X15" i="46"/>
  <c r="W15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H15" i="46"/>
  <c r="G15" i="46"/>
  <c r="F15" i="46"/>
  <c r="E15" i="46"/>
  <c r="E11" i="46"/>
  <c r="CA10" i="46"/>
  <c r="BZ10" i="46"/>
  <c r="BY10" i="46"/>
  <c r="BX10" i="46"/>
  <c r="BW10" i="46"/>
  <c r="BV10" i="46"/>
  <c r="BU10" i="46"/>
  <c r="BT10" i="46"/>
  <c r="BS10" i="46"/>
  <c r="BR10" i="46"/>
  <c r="BQ10" i="46"/>
  <c r="BP10" i="46"/>
  <c r="BO10" i="46"/>
  <c r="BN10" i="46"/>
  <c r="BM10" i="46"/>
  <c r="BL10" i="46"/>
  <c r="BK10" i="46"/>
  <c r="BJ10" i="46"/>
  <c r="BI10" i="46"/>
  <c r="BH10" i="46"/>
  <c r="BG10" i="46"/>
  <c r="BF10" i="46"/>
  <c r="BE10" i="46"/>
  <c r="BD10" i="46"/>
  <c r="BC10" i="46"/>
  <c r="BB10" i="46"/>
  <c r="BA10" i="46"/>
  <c r="AZ10" i="46"/>
  <c r="AY10" i="46"/>
  <c r="AX10" i="46"/>
  <c r="AW10" i="46"/>
  <c r="AV10" i="46"/>
  <c r="AU10" i="46"/>
  <c r="AT10" i="46"/>
  <c r="AS10" i="46"/>
  <c r="AR10" i="46"/>
  <c r="AQ10" i="46"/>
  <c r="AP10" i="46"/>
  <c r="AO10" i="46"/>
  <c r="AN10" i="46"/>
  <c r="AM10" i="46"/>
  <c r="AL10" i="46"/>
  <c r="AK10" i="46"/>
  <c r="AJ10" i="46"/>
  <c r="AI10" i="46"/>
  <c r="AH10" i="46"/>
  <c r="AG10" i="46"/>
  <c r="AF10" i="46"/>
  <c r="AE10" i="46"/>
  <c r="AD10" i="46"/>
  <c r="AC10" i="46"/>
  <c r="AB10" i="46"/>
  <c r="AA10" i="46"/>
  <c r="Z10" i="46"/>
  <c r="Y10" i="46"/>
  <c r="X10" i="46"/>
  <c r="W10" i="46"/>
  <c r="V10" i="46"/>
  <c r="U10" i="46"/>
  <c r="T10" i="46"/>
  <c r="S10" i="46"/>
  <c r="R10" i="46"/>
  <c r="Q10" i="46"/>
  <c r="P10" i="46"/>
  <c r="O10" i="46"/>
  <c r="N10" i="46"/>
  <c r="M10" i="46"/>
  <c r="L10" i="46"/>
  <c r="K10" i="46"/>
  <c r="J10" i="46"/>
  <c r="I10" i="46"/>
  <c r="H10" i="46"/>
  <c r="G10" i="46"/>
  <c r="F10" i="46"/>
  <c r="E10" i="46"/>
  <c r="G98" i="46"/>
  <c r="F98" i="46"/>
  <c r="E98" i="46"/>
  <c r="F97" i="46"/>
  <c r="E97" i="46"/>
  <c r="F89" i="46"/>
  <c r="E89" i="46"/>
  <c r="G55" i="46"/>
  <c r="F55" i="46"/>
  <c r="E55" i="46"/>
  <c r="G50" i="46"/>
  <c r="F50" i="46"/>
  <c r="E50" i="46"/>
  <c r="G45" i="46"/>
  <c r="F45" i="46"/>
  <c r="E45" i="46"/>
  <c r="G40" i="46"/>
  <c r="F40" i="46"/>
  <c r="E40" i="46"/>
  <c r="CA56" i="46"/>
  <c r="BZ56" i="46"/>
  <c r="BY56" i="46"/>
  <c r="BX56" i="46"/>
  <c r="BW56" i="46"/>
  <c r="BV56" i="46"/>
  <c r="BU56" i="46"/>
  <c r="BT56" i="46"/>
  <c r="BS56" i="46"/>
  <c r="BR56" i="46"/>
  <c r="BQ56" i="46"/>
  <c r="BP56" i="46"/>
  <c r="BO56" i="46"/>
  <c r="BN56" i="46"/>
  <c r="BM56" i="46"/>
  <c r="BL56" i="46"/>
  <c r="BK56" i="46"/>
  <c r="BJ56" i="46"/>
  <c r="BI56" i="46"/>
  <c r="BH56" i="46"/>
  <c r="BG56" i="46"/>
  <c r="BF56" i="46"/>
  <c r="BE56" i="46"/>
  <c r="BD56" i="46"/>
  <c r="BC56" i="46"/>
  <c r="BB56" i="46"/>
  <c r="BA56" i="46"/>
  <c r="AZ56" i="46"/>
  <c r="AY56" i="46"/>
  <c r="AX56" i="46"/>
  <c r="AW56" i="46"/>
  <c r="AV56" i="46"/>
  <c r="AU56" i="46"/>
  <c r="AT56" i="46"/>
  <c r="AS56" i="46"/>
  <c r="AR56" i="46"/>
  <c r="AQ56" i="46"/>
  <c r="AP56" i="46"/>
  <c r="AO56" i="46"/>
  <c r="AN56" i="46"/>
  <c r="AM56" i="46"/>
  <c r="AL56" i="46"/>
  <c r="AK56" i="46"/>
  <c r="AJ56" i="46"/>
  <c r="AI56" i="46"/>
  <c r="AH56" i="46"/>
  <c r="AG56" i="46"/>
  <c r="AF56" i="46"/>
  <c r="AE56" i="46"/>
  <c r="AD56" i="46"/>
  <c r="AC56" i="46"/>
  <c r="AB56" i="46"/>
  <c r="AA56" i="46"/>
  <c r="Z56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CA51" i="46"/>
  <c r="BZ51" i="46"/>
  <c r="BY51" i="46"/>
  <c r="BX51" i="46"/>
  <c r="BW51" i="46"/>
  <c r="BV51" i="46"/>
  <c r="BU51" i="46"/>
  <c r="BT51" i="46"/>
  <c r="BS51" i="46"/>
  <c r="BR51" i="46"/>
  <c r="BQ51" i="46"/>
  <c r="BP51" i="46"/>
  <c r="BO51" i="46"/>
  <c r="BN51" i="46"/>
  <c r="BM51" i="46"/>
  <c r="BL51" i="46"/>
  <c r="BK51" i="46"/>
  <c r="BJ51" i="46"/>
  <c r="BI51" i="46"/>
  <c r="BH51" i="46"/>
  <c r="BG51" i="46"/>
  <c r="BF51" i="46"/>
  <c r="BE51" i="46"/>
  <c r="BD51" i="46"/>
  <c r="BC51" i="46"/>
  <c r="BB51" i="46"/>
  <c r="BA51" i="46"/>
  <c r="AZ51" i="46"/>
  <c r="AY51" i="46"/>
  <c r="AX51" i="46"/>
  <c r="AW51" i="46"/>
  <c r="AV51" i="46"/>
  <c r="AU51" i="46"/>
  <c r="AT51" i="46"/>
  <c r="AS51" i="46"/>
  <c r="AR51" i="46"/>
  <c r="AQ51" i="46"/>
  <c r="AP51" i="46"/>
  <c r="AO51" i="46"/>
  <c r="AN51" i="46"/>
  <c r="AM51" i="46"/>
  <c r="AL51" i="46"/>
  <c r="AK51" i="46"/>
  <c r="AJ51" i="46"/>
  <c r="AI51" i="46"/>
  <c r="AH51" i="46"/>
  <c r="AG51" i="46"/>
  <c r="AF51" i="46"/>
  <c r="AE51" i="46"/>
  <c r="AD51" i="46"/>
  <c r="AC51" i="46"/>
  <c r="AB51" i="46"/>
  <c r="AA51" i="46"/>
  <c r="Z51" i="46"/>
  <c r="Y51" i="46"/>
  <c r="X51" i="46"/>
  <c r="W51" i="46"/>
  <c r="V51" i="46"/>
  <c r="U51" i="46"/>
  <c r="T51" i="46"/>
  <c r="S51" i="46"/>
  <c r="R51" i="46"/>
  <c r="Q51" i="46"/>
  <c r="P51" i="46"/>
  <c r="O51" i="46"/>
  <c r="N51" i="46"/>
  <c r="M51" i="46"/>
  <c r="L51" i="46"/>
  <c r="K51" i="46"/>
  <c r="J51" i="46"/>
  <c r="I51" i="46"/>
  <c r="H51" i="46"/>
  <c r="G51" i="46"/>
  <c r="F51" i="46"/>
  <c r="E51" i="46"/>
  <c r="CA46" i="46"/>
  <c r="BZ46" i="46"/>
  <c r="BY46" i="46"/>
  <c r="BX46" i="46"/>
  <c r="BW46" i="46"/>
  <c r="BV46" i="46"/>
  <c r="BU46" i="46"/>
  <c r="BT46" i="46"/>
  <c r="BS46" i="46"/>
  <c r="BR46" i="46"/>
  <c r="BQ46" i="46"/>
  <c r="BP46" i="46"/>
  <c r="BO46" i="46"/>
  <c r="BN46" i="46"/>
  <c r="BM46" i="46"/>
  <c r="BL46" i="46"/>
  <c r="BK46" i="46"/>
  <c r="BJ46" i="46"/>
  <c r="BI46" i="46"/>
  <c r="BH46" i="46"/>
  <c r="BG46" i="46"/>
  <c r="BF46" i="46"/>
  <c r="BE46" i="46"/>
  <c r="BD46" i="46"/>
  <c r="BC46" i="46"/>
  <c r="BB46" i="46"/>
  <c r="BA46" i="46"/>
  <c r="AZ46" i="46"/>
  <c r="AY46" i="46"/>
  <c r="AX46" i="46"/>
  <c r="AW46" i="46"/>
  <c r="AV46" i="46"/>
  <c r="AU46" i="46"/>
  <c r="AT46" i="46"/>
  <c r="AS46" i="46"/>
  <c r="AR46" i="46"/>
  <c r="AQ46" i="46"/>
  <c r="AP46" i="46"/>
  <c r="AO46" i="46"/>
  <c r="AN46" i="46"/>
  <c r="AM46" i="46"/>
  <c r="AL46" i="46"/>
  <c r="AK46" i="46"/>
  <c r="AJ46" i="46"/>
  <c r="AI46" i="46"/>
  <c r="AH46" i="46"/>
  <c r="AG46" i="46"/>
  <c r="AF46" i="46"/>
  <c r="AE46" i="46"/>
  <c r="AD46" i="46"/>
  <c r="AC46" i="46"/>
  <c r="AB46" i="46"/>
  <c r="AA46" i="46"/>
  <c r="Z46" i="46"/>
  <c r="Y46" i="46"/>
  <c r="X46" i="46"/>
  <c r="W46" i="46"/>
  <c r="V46" i="46"/>
  <c r="U46" i="46"/>
  <c r="T46" i="46"/>
  <c r="S46" i="46"/>
  <c r="R46" i="46"/>
  <c r="Q46" i="46"/>
  <c r="P46" i="46"/>
  <c r="O46" i="46"/>
  <c r="N46" i="46"/>
  <c r="M46" i="46"/>
  <c r="L46" i="46"/>
  <c r="K46" i="46"/>
  <c r="J46" i="46"/>
  <c r="I46" i="46"/>
  <c r="H46" i="46"/>
  <c r="G46" i="46"/>
  <c r="F46" i="46"/>
  <c r="E46" i="46"/>
  <c r="CA41" i="46"/>
  <c r="BZ41" i="46"/>
  <c r="BY41" i="46"/>
  <c r="BX41" i="46"/>
  <c r="BW41" i="46"/>
  <c r="BV41" i="46"/>
  <c r="BU41" i="46"/>
  <c r="BT41" i="46"/>
  <c r="BS41" i="46"/>
  <c r="BR41" i="46"/>
  <c r="BQ41" i="46"/>
  <c r="BP41" i="46"/>
  <c r="BO41" i="46"/>
  <c r="BN41" i="46"/>
  <c r="BM41" i="46"/>
  <c r="BL41" i="46"/>
  <c r="BK41" i="46"/>
  <c r="BJ41" i="46"/>
  <c r="BI41" i="46"/>
  <c r="BH41" i="46"/>
  <c r="BG41" i="46"/>
  <c r="BF41" i="46"/>
  <c r="BE41" i="46"/>
  <c r="BD41" i="46"/>
  <c r="BC41" i="46"/>
  <c r="BB41" i="46"/>
  <c r="BA41" i="46"/>
  <c r="AZ41" i="46"/>
  <c r="AY41" i="46"/>
  <c r="AX41" i="46"/>
  <c r="AW41" i="46"/>
  <c r="AV41" i="46"/>
  <c r="AU41" i="46"/>
  <c r="AT41" i="46"/>
  <c r="AS41" i="46"/>
  <c r="AR41" i="46"/>
  <c r="AQ41" i="46"/>
  <c r="AP41" i="46"/>
  <c r="AO41" i="46"/>
  <c r="AN41" i="46"/>
  <c r="AM41" i="46"/>
  <c r="AL41" i="46"/>
  <c r="AK41" i="46"/>
  <c r="AJ41" i="46"/>
  <c r="AI41" i="46"/>
  <c r="AH41" i="46"/>
  <c r="AG41" i="46"/>
  <c r="AF41" i="46"/>
  <c r="AE41" i="46"/>
  <c r="AD41" i="46"/>
  <c r="AC41" i="46"/>
  <c r="AB41" i="46"/>
  <c r="AA41" i="46"/>
  <c r="Z41" i="46"/>
  <c r="Y41" i="46"/>
  <c r="X41" i="46"/>
  <c r="W41" i="46"/>
  <c r="V41" i="46"/>
  <c r="U41" i="46"/>
  <c r="T41" i="46"/>
  <c r="S41" i="46"/>
  <c r="R41" i="46"/>
  <c r="Q41" i="46"/>
  <c r="P41" i="46"/>
  <c r="O41" i="46"/>
  <c r="N41" i="46"/>
  <c r="M41" i="46"/>
  <c r="L41" i="46"/>
  <c r="K41" i="46"/>
  <c r="J41" i="46"/>
  <c r="I41" i="46"/>
  <c r="H41" i="46"/>
  <c r="G41" i="46"/>
  <c r="F41" i="46"/>
  <c r="E41" i="46"/>
  <c r="I90" i="46"/>
  <c r="H90" i="46"/>
  <c r="G90" i="46"/>
  <c r="F90" i="46"/>
  <c r="E90" i="46"/>
  <c r="I99" i="46"/>
  <c r="H99" i="46"/>
  <c r="G99" i="46"/>
  <c r="F99" i="46"/>
  <c r="E99" i="46"/>
  <c r="I11" i="44"/>
  <c r="H11" i="44"/>
  <c r="F11" i="44"/>
  <c r="E11" i="44"/>
  <c r="G20" i="295" l="1"/>
  <c r="G65" i="261"/>
  <c r="K66" i="281"/>
  <c r="G31" i="260"/>
  <c r="G77" i="260"/>
  <c r="J65" i="281"/>
  <c r="J126" i="281"/>
  <c r="J64" i="281"/>
  <c r="J40" i="281"/>
  <c r="K19" i="266"/>
  <c r="K20" i="266" s="1"/>
  <c r="K28" i="266" s="1"/>
  <c r="K82" i="281"/>
  <c r="J63" i="281"/>
  <c r="K15" i="266"/>
  <c r="K16" i="266" s="1"/>
  <c r="K27" i="266" s="1"/>
  <c r="K10" i="281"/>
  <c r="K11" i="281" s="1"/>
  <c r="J62" i="281"/>
  <c r="K2" i="266"/>
  <c r="K51" i="281"/>
  <c r="K31" i="281"/>
  <c r="K32" i="281" s="1"/>
  <c r="K36" i="281" s="1"/>
  <c r="K14" i="281"/>
  <c r="K16" i="281" s="1"/>
  <c r="K2" i="281"/>
  <c r="L30" i="281"/>
  <c r="L4" i="281"/>
  <c r="L26" i="277"/>
  <c r="L4" i="266"/>
  <c r="L37" i="277"/>
  <c r="L17" i="277"/>
  <c r="J29" i="266"/>
  <c r="J30" i="266" s="1"/>
  <c r="K2" i="272"/>
  <c r="K29" i="272"/>
  <c r="K30" i="272" s="1"/>
  <c r="K23" i="266" s="1"/>
  <c r="K24" i="266" s="1"/>
  <c r="K29" i="266" s="1"/>
  <c r="L17" i="272"/>
  <c r="L18" i="272" s="1"/>
  <c r="L4" i="272"/>
  <c r="L25" i="272"/>
  <c r="L26" i="272" s="1"/>
  <c r="L55" i="281" s="1"/>
  <c r="L56" i="281" s="1"/>
  <c r="L66" i="281" s="1"/>
  <c r="L21" i="272"/>
  <c r="L22" i="272" s="1"/>
  <c r="M3" i="272"/>
  <c r="M3" i="266"/>
  <c r="M9" i="272"/>
  <c r="M12" i="272" s="1"/>
  <c r="M13" i="272" s="1"/>
  <c r="M106" i="281" s="1"/>
  <c r="M107" i="281" s="1"/>
  <c r="M108" i="281" s="1"/>
  <c r="M111" i="281" s="1"/>
  <c r="M112" i="281" s="1"/>
  <c r="M115" i="281" s="1"/>
  <c r="N8" i="272"/>
  <c r="N3" i="281" s="1"/>
  <c r="G41" i="265"/>
  <c r="G17" i="49" s="1"/>
  <c r="E41" i="265"/>
  <c r="E17" i="49" s="1"/>
  <c r="G33" i="265"/>
  <c r="G41" i="49" s="1"/>
  <c r="E41" i="49"/>
  <c r="G29" i="49"/>
  <c r="E29" i="49"/>
  <c r="I26" i="265"/>
  <c r="G26" i="265"/>
  <c r="F26" i="265"/>
  <c r="E26" i="265"/>
  <c r="I10" i="265"/>
  <c r="G10" i="265"/>
  <c r="F10" i="265"/>
  <c r="E10" i="265"/>
  <c r="I18" i="265"/>
  <c r="G18" i="265"/>
  <c r="F18" i="265"/>
  <c r="E18" i="265"/>
  <c r="I9" i="265"/>
  <c r="H9" i="265"/>
  <c r="G9" i="265"/>
  <c r="F9" i="265"/>
  <c r="E9" i="265"/>
  <c r="I47" i="265"/>
  <c r="G47" i="265"/>
  <c r="F47" i="265"/>
  <c r="E47" i="265"/>
  <c r="I48" i="265"/>
  <c r="G48" i="265"/>
  <c r="F48" i="265"/>
  <c r="E48" i="265"/>
  <c r="J46" i="265"/>
  <c r="I44" i="265"/>
  <c r="G44" i="265"/>
  <c r="F44" i="265"/>
  <c r="E44" i="265"/>
  <c r="I39" i="265"/>
  <c r="G39" i="265"/>
  <c r="F39" i="265"/>
  <c r="E39" i="265"/>
  <c r="I31" i="265"/>
  <c r="G31" i="265"/>
  <c r="F31" i="265"/>
  <c r="E31" i="265"/>
  <c r="I27" i="265"/>
  <c r="G27" i="265"/>
  <c r="F27" i="265"/>
  <c r="E27" i="265"/>
  <c r="E25" i="265"/>
  <c r="I24" i="265"/>
  <c r="G24" i="265"/>
  <c r="F24" i="265"/>
  <c r="E24" i="265"/>
  <c r="K30" i="266" l="1"/>
  <c r="K36" i="266" s="1"/>
  <c r="K37" i="266" s="1"/>
  <c r="K40" i="266" s="1"/>
  <c r="K63" i="281"/>
  <c r="K124" i="281"/>
  <c r="K62" i="281"/>
  <c r="K123" i="281"/>
  <c r="L19" i="266"/>
  <c r="L20" i="266" s="1"/>
  <c r="L28" i="266" s="1"/>
  <c r="L82" i="281"/>
  <c r="L15" i="266"/>
  <c r="L16" i="266" s="1"/>
  <c r="L27" i="266" s="1"/>
  <c r="L10" i="281"/>
  <c r="L11" i="281" s="1"/>
  <c r="L2" i="266"/>
  <c r="L51" i="281"/>
  <c r="L31" i="281"/>
  <c r="L32" i="281" s="1"/>
  <c r="L36" i="281" s="1"/>
  <c r="L14" i="281"/>
  <c r="L16" i="281" s="1"/>
  <c r="L124" i="281" s="1"/>
  <c r="L2" i="281"/>
  <c r="M30" i="281"/>
  <c r="M4" i="281"/>
  <c r="J67" i="281"/>
  <c r="J73" i="281" s="1"/>
  <c r="J39" i="266"/>
  <c r="J36" i="266"/>
  <c r="J37" i="266" s="1"/>
  <c r="J40" i="266" s="1"/>
  <c r="M37" i="277"/>
  <c r="M17" i="277"/>
  <c r="M26" i="277"/>
  <c r="M4" i="266"/>
  <c r="L2" i="272"/>
  <c r="L29" i="272"/>
  <c r="L30" i="272" s="1"/>
  <c r="L23" i="266" s="1"/>
  <c r="L24" i="266" s="1"/>
  <c r="M17" i="272"/>
  <c r="M18" i="272" s="1"/>
  <c r="M21" i="272"/>
  <c r="M22" i="272" s="1"/>
  <c r="M4" i="272"/>
  <c r="M25" i="272"/>
  <c r="M26" i="272" s="1"/>
  <c r="M55" i="281" s="1"/>
  <c r="M56" i="281" s="1"/>
  <c r="M66" i="281" s="1"/>
  <c r="N3" i="272"/>
  <c r="N3" i="266"/>
  <c r="O8" i="272"/>
  <c r="O3" i="281" s="1"/>
  <c r="N9" i="272"/>
  <c r="N12" i="272" s="1"/>
  <c r="N13" i="272" s="1"/>
  <c r="N106" i="281" s="1"/>
  <c r="N107" i="281" s="1"/>
  <c r="N108" i="281" s="1"/>
  <c r="N111" i="281" s="1"/>
  <c r="N112" i="281" s="1"/>
  <c r="N115" i="281" s="1"/>
  <c r="G32" i="49"/>
  <c r="E32" i="49"/>
  <c r="I85" i="261"/>
  <c r="G85" i="261"/>
  <c r="F85" i="261"/>
  <c r="E85" i="261"/>
  <c r="I93" i="261"/>
  <c r="G93" i="261"/>
  <c r="F93" i="261"/>
  <c r="E93" i="261"/>
  <c r="I74" i="261"/>
  <c r="H74" i="261"/>
  <c r="G74" i="261"/>
  <c r="F74" i="261"/>
  <c r="I73" i="261"/>
  <c r="H73" i="261"/>
  <c r="G73" i="261"/>
  <c r="F73" i="261"/>
  <c r="E74" i="261"/>
  <c r="E73" i="261"/>
  <c r="I70" i="261"/>
  <c r="G70" i="261"/>
  <c r="F70" i="261"/>
  <c r="E70" i="261"/>
  <c r="I92" i="261"/>
  <c r="G92" i="261"/>
  <c r="F92" i="261"/>
  <c r="E92" i="261"/>
  <c r="J91" i="261"/>
  <c r="J69" i="261" s="1"/>
  <c r="I89" i="261"/>
  <c r="G89" i="261"/>
  <c r="F89" i="261"/>
  <c r="E89" i="261"/>
  <c r="I66" i="261"/>
  <c r="G66" i="261"/>
  <c r="F66" i="261"/>
  <c r="E66" i="261"/>
  <c r="G25" i="49"/>
  <c r="E25" i="49"/>
  <c r="I84" i="261"/>
  <c r="G84" i="261"/>
  <c r="F84" i="261"/>
  <c r="E84" i="261"/>
  <c r="J83" i="261"/>
  <c r="I81" i="261"/>
  <c r="G81" i="261"/>
  <c r="F81" i="261"/>
  <c r="E81" i="261"/>
  <c r="J20" i="295" l="1"/>
  <c r="J14" i="261"/>
  <c r="J65" i="261"/>
  <c r="K39" i="266"/>
  <c r="K41" i="266" s="1"/>
  <c r="K122" i="281" s="1"/>
  <c r="L62" i="281"/>
  <c r="L123" i="281"/>
  <c r="L63" i="281"/>
  <c r="M19" i="266"/>
  <c r="M20" i="266" s="1"/>
  <c r="M28" i="266" s="1"/>
  <c r="M82" i="281"/>
  <c r="M2" i="266"/>
  <c r="M31" i="281"/>
  <c r="M32" i="281" s="1"/>
  <c r="M36" i="281" s="1"/>
  <c r="M14" i="281"/>
  <c r="M16" i="281" s="1"/>
  <c r="M2" i="281"/>
  <c r="M51" i="281"/>
  <c r="N4" i="281"/>
  <c r="N30" i="281"/>
  <c r="M15" i="266"/>
  <c r="M16" i="266" s="1"/>
  <c r="M27" i="266" s="1"/>
  <c r="M10" i="281"/>
  <c r="M11" i="281" s="1"/>
  <c r="M123" i="281" s="1"/>
  <c r="N37" i="277"/>
  <c r="N26" i="277"/>
  <c r="N17" i="277"/>
  <c r="N4" i="266"/>
  <c r="L29" i="266"/>
  <c r="L30" i="266" s="1"/>
  <c r="J41" i="266"/>
  <c r="J122" i="281" s="1"/>
  <c r="J127" i="281" s="1"/>
  <c r="M2" i="272"/>
  <c r="M29" i="272"/>
  <c r="M30" i="272" s="1"/>
  <c r="M23" i="266" s="1"/>
  <c r="M24" i="266" s="1"/>
  <c r="M29" i="266" s="1"/>
  <c r="N25" i="272"/>
  <c r="N26" i="272" s="1"/>
  <c r="N55" i="281" s="1"/>
  <c r="N56" i="281" s="1"/>
  <c r="N66" i="281" s="1"/>
  <c r="N17" i="272"/>
  <c r="N18" i="272" s="1"/>
  <c r="N4" i="272"/>
  <c r="N21" i="272"/>
  <c r="N22" i="272" s="1"/>
  <c r="O3" i="272"/>
  <c r="O3" i="266"/>
  <c r="P8" i="272"/>
  <c r="P3" i="281" s="1"/>
  <c r="O9" i="272"/>
  <c r="O12" i="272" s="1"/>
  <c r="O13" i="272" s="1"/>
  <c r="O106" i="281" s="1"/>
  <c r="O107" i="281" s="1"/>
  <c r="O108" i="281" s="1"/>
  <c r="O111" i="281" s="1"/>
  <c r="O112" i="281" s="1"/>
  <c r="O115" i="281" s="1"/>
  <c r="F15" i="48"/>
  <c r="F36" i="44" s="1"/>
  <c r="G36" i="44"/>
  <c r="E36" i="44"/>
  <c r="I48" i="261"/>
  <c r="G48" i="261"/>
  <c r="F48" i="261"/>
  <c r="E48" i="261"/>
  <c r="G58" i="49"/>
  <c r="E50" i="261"/>
  <c r="E58" i="49" s="1"/>
  <c r="G31" i="49"/>
  <c r="E31" i="49"/>
  <c r="I57" i="261"/>
  <c r="G57" i="261"/>
  <c r="F57" i="261"/>
  <c r="E57" i="261"/>
  <c r="I47" i="261"/>
  <c r="H47" i="261"/>
  <c r="G47" i="261"/>
  <c r="F47" i="261"/>
  <c r="E47" i="261"/>
  <c r="M63" i="281" l="1"/>
  <c r="M124" i="281"/>
  <c r="K43" i="266"/>
  <c r="K44" i="266" s="1"/>
  <c r="K72" i="281"/>
  <c r="J43" i="266"/>
  <c r="J44" i="266" s="1"/>
  <c r="J40" i="277" s="1"/>
  <c r="J72" i="281"/>
  <c r="J74" i="281" s="1"/>
  <c r="N2" i="266"/>
  <c r="N51" i="281"/>
  <c r="N14" i="281"/>
  <c r="N16" i="281" s="1"/>
  <c r="N31" i="281"/>
  <c r="N32" i="281" s="1"/>
  <c r="N36" i="281" s="1"/>
  <c r="N2" i="281"/>
  <c r="N19" i="266"/>
  <c r="N20" i="266" s="1"/>
  <c r="N28" i="266" s="1"/>
  <c r="N82" i="281"/>
  <c r="M62" i="281"/>
  <c r="N15" i="266"/>
  <c r="N16" i="266" s="1"/>
  <c r="N27" i="266" s="1"/>
  <c r="N10" i="281"/>
  <c r="N11" i="281" s="1"/>
  <c r="O30" i="281"/>
  <c r="O4" i="281"/>
  <c r="M30" i="266"/>
  <c r="M36" i="266" s="1"/>
  <c r="M37" i="266" s="1"/>
  <c r="M40" i="266" s="1"/>
  <c r="O26" i="277"/>
  <c r="O4" i="266"/>
  <c r="O37" i="277"/>
  <c r="O17" i="277"/>
  <c r="L39" i="266"/>
  <c r="L36" i="266"/>
  <c r="L37" i="266" s="1"/>
  <c r="L40" i="266" s="1"/>
  <c r="N2" i="272"/>
  <c r="N29" i="272"/>
  <c r="N30" i="272" s="1"/>
  <c r="N23" i="266" s="1"/>
  <c r="N24" i="266" s="1"/>
  <c r="N29" i="266" s="1"/>
  <c r="O17" i="272"/>
  <c r="O18" i="272" s="1"/>
  <c r="O21" i="272"/>
  <c r="O22" i="272" s="1"/>
  <c r="O4" i="272"/>
  <c r="O25" i="272"/>
  <c r="O26" i="272" s="1"/>
  <c r="O55" i="281" s="1"/>
  <c r="O56" i="281" s="1"/>
  <c r="O66" i="281" s="1"/>
  <c r="P3" i="272"/>
  <c r="P3" i="266"/>
  <c r="P9" i="272"/>
  <c r="P12" i="272" s="1"/>
  <c r="P13" i="272" s="1"/>
  <c r="P106" i="281" s="1"/>
  <c r="P107" i="281" s="1"/>
  <c r="P108" i="281" s="1"/>
  <c r="P111" i="281" s="1"/>
  <c r="P112" i="281" s="1"/>
  <c r="P115" i="281" s="1"/>
  <c r="Q8" i="272"/>
  <c r="Q3" i="281" s="1"/>
  <c r="G28" i="252"/>
  <c r="F28" i="252"/>
  <c r="E28" i="252"/>
  <c r="G13" i="49"/>
  <c r="E31" i="260"/>
  <c r="E13" i="49" s="1"/>
  <c r="I29" i="260"/>
  <c r="H29" i="260"/>
  <c r="G29" i="260"/>
  <c r="F29" i="260"/>
  <c r="E29" i="260"/>
  <c r="E63" i="260"/>
  <c r="E46" i="49" s="1"/>
  <c r="I73" i="260"/>
  <c r="F73" i="260"/>
  <c r="E73" i="260"/>
  <c r="G62" i="260"/>
  <c r="G28" i="49"/>
  <c r="E28" i="49"/>
  <c r="BY35" i="252" l="1"/>
  <c r="BY56" i="260" s="1"/>
  <c r="BQ35" i="252"/>
  <c r="BQ56" i="260" s="1"/>
  <c r="BI35" i="252"/>
  <c r="BI56" i="260" s="1"/>
  <c r="BA35" i="252"/>
  <c r="BA56" i="260" s="1"/>
  <c r="AS35" i="252"/>
  <c r="AS56" i="260" s="1"/>
  <c r="AK35" i="252"/>
  <c r="AK56" i="260" s="1"/>
  <c r="AC35" i="252"/>
  <c r="AC56" i="260" s="1"/>
  <c r="U35" i="252"/>
  <c r="U56" i="260" s="1"/>
  <c r="M35" i="252"/>
  <c r="M56" i="260" s="1"/>
  <c r="BX35" i="252"/>
  <c r="BX56" i="260" s="1"/>
  <c r="BP35" i="252"/>
  <c r="BP56" i="260" s="1"/>
  <c r="BH35" i="252"/>
  <c r="BH56" i="260" s="1"/>
  <c r="AZ35" i="252"/>
  <c r="AZ56" i="260" s="1"/>
  <c r="AR35" i="252"/>
  <c r="AR56" i="260" s="1"/>
  <c r="AJ35" i="252"/>
  <c r="AJ56" i="260" s="1"/>
  <c r="AB35" i="252"/>
  <c r="AB56" i="260" s="1"/>
  <c r="T35" i="252"/>
  <c r="T56" i="260" s="1"/>
  <c r="L35" i="252"/>
  <c r="L56" i="260" s="1"/>
  <c r="BW35" i="252"/>
  <c r="BW56" i="260" s="1"/>
  <c r="BO35" i="252"/>
  <c r="BO56" i="260" s="1"/>
  <c r="BG35" i="252"/>
  <c r="BG56" i="260" s="1"/>
  <c r="AY35" i="252"/>
  <c r="AY56" i="260" s="1"/>
  <c r="AQ35" i="252"/>
  <c r="AQ56" i="260" s="1"/>
  <c r="AI35" i="252"/>
  <c r="AI56" i="260" s="1"/>
  <c r="AA35" i="252"/>
  <c r="AA56" i="260" s="1"/>
  <c r="S35" i="252"/>
  <c r="S56" i="260" s="1"/>
  <c r="K35" i="252"/>
  <c r="K56" i="260" s="1"/>
  <c r="BV35" i="252"/>
  <c r="BV56" i="260" s="1"/>
  <c r="BN35" i="252"/>
  <c r="BN56" i="260" s="1"/>
  <c r="BF35" i="252"/>
  <c r="BF56" i="260" s="1"/>
  <c r="AX35" i="252"/>
  <c r="AX56" i="260" s="1"/>
  <c r="AP35" i="252"/>
  <c r="AP56" i="260" s="1"/>
  <c r="AH35" i="252"/>
  <c r="AH56" i="260" s="1"/>
  <c r="Z35" i="252"/>
  <c r="Z56" i="260" s="1"/>
  <c r="R35" i="252"/>
  <c r="R56" i="260" s="1"/>
  <c r="J35" i="252"/>
  <c r="J56" i="260" s="1"/>
  <c r="BU35" i="252"/>
  <c r="BU56" i="260" s="1"/>
  <c r="BM35" i="252"/>
  <c r="BM56" i="260" s="1"/>
  <c r="BE35" i="252"/>
  <c r="BE56" i="260" s="1"/>
  <c r="AW35" i="252"/>
  <c r="AW56" i="260" s="1"/>
  <c r="AO35" i="252"/>
  <c r="AO56" i="260" s="1"/>
  <c r="AG35" i="252"/>
  <c r="AG56" i="260" s="1"/>
  <c r="Y35" i="252"/>
  <c r="Y56" i="260" s="1"/>
  <c r="Q35" i="252"/>
  <c r="Q56" i="260" s="1"/>
  <c r="BT35" i="252"/>
  <c r="BT56" i="260" s="1"/>
  <c r="BL35" i="252"/>
  <c r="BL56" i="260" s="1"/>
  <c r="BD35" i="252"/>
  <c r="BD56" i="260" s="1"/>
  <c r="AV35" i="252"/>
  <c r="AV56" i="260" s="1"/>
  <c r="AN35" i="252"/>
  <c r="AN56" i="260" s="1"/>
  <c r="AF35" i="252"/>
  <c r="AF56" i="260" s="1"/>
  <c r="X35" i="252"/>
  <c r="X56" i="260" s="1"/>
  <c r="P35" i="252"/>
  <c r="P56" i="260" s="1"/>
  <c r="CA35" i="252"/>
  <c r="CA56" i="260" s="1"/>
  <c r="BS35" i="252"/>
  <c r="BS56" i="260" s="1"/>
  <c r="BK35" i="252"/>
  <c r="BK56" i="260" s="1"/>
  <c r="BC35" i="252"/>
  <c r="BC56" i="260" s="1"/>
  <c r="AU35" i="252"/>
  <c r="AU56" i="260" s="1"/>
  <c r="AM35" i="252"/>
  <c r="AM56" i="260" s="1"/>
  <c r="AE35" i="252"/>
  <c r="AE56" i="260" s="1"/>
  <c r="W35" i="252"/>
  <c r="W56" i="260" s="1"/>
  <c r="O35" i="252"/>
  <c r="O56" i="260" s="1"/>
  <c r="BZ35" i="252"/>
  <c r="BZ56" i="260" s="1"/>
  <c r="BR35" i="252"/>
  <c r="BR56" i="260" s="1"/>
  <c r="BJ35" i="252"/>
  <c r="BJ56" i="260" s="1"/>
  <c r="BB35" i="252"/>
  <c r="BB56" i="260" s="1"/>
  <c r="AT35" i="252"/>
  <c r="AT56" i="260" s="1"/>
  <c r="AL35" i="252"/>
  <c r="AL56" i="260" s="1"/>
  <c r="AD35" i="252"/>
  <c r="AD56" i="260" s="1"/>
  <c r="V35" i="252"/>
  <c r="V56" i="260" s="1"/>
  <c r="N35" i="252"/>
  <c r="N56" i="260" s="1"/>
  <c r="G73" i="260"/>
  <c r="G78" i="260"/>
  <c r="M39" i="266"/>
  <c r="M41" i="266" s="1"/>
  <c r="M122" i="281" s="1"/>
  <c r="N62" i="281"/>
  <c r="N123" i="281"/>
  <c r="N63" i="281"/>
  <c r="N124" i="281"/>
  <c r="N30" i="266"/>
  <c r="N39" i="266" s="1"/>
  <c r="K40" i="277"/>
  <c r="O15" i="266"/>
  <c r="O16" i="266" s="1"/>
  <c r="O27" i="266" s="1"/>
  <c r="O10" i="281"/>
  <c r="O11" i="281" s="1"/>
  <c r="O123" i="281" s="1"/>
  <c r="O2" i="266"/>
  <c r="O31" i="281"/>
  <c r="O32" i="281" s="1"/>
  <c r="O36" i="281" s="1"/>
  <c r="O14" i="281"/>
  <c r="O16" i="281" s="1"/>
  <c r="O124" i="281" s="1"/>
  <c r="O2" i="281"/>
  <c r="O51" i="281"/>
  <c r="J77" i="281"/>
  <c r="J78" i="281" s="1"/>
  <c r="J94" i="281"/>
  <c r="P30" i="281"/>
  <c r="P4" i="281"/>
  <c r="O19" i="266"/>
  <c r="O20" i="266" s="1"/>
  <c r="O28" i="266" s="1"/>
  <c r="O82" i="281"/>
  <c r="P37" i="277"/>
  <c r="P26" i="277"/>
  <c r="P4" i="266"/>
  <c r="P17" i="277"/>
  <c r="L41" i="266"/>
  <c r="L122" i="281" s="1"/>
  <c r="O2" i="272"/>
  <c r="O29" i="272"/>
  <c r="O30" i="272" s="1"/>
  <c r="O23" i="266" s="1"/>
  <c r="O24" i="266" s="1"/>
  <c r="O29" i="266" s="1"/>
  <c r="P17" i="272"/>
  <c r="P18" i="272" s="1"/>
  <c r="P25" i="272"/>
  <c r="P26" i="272" s="1"/>
  <c r="P55" i="281" s="1"/>
  <c r="P56" i="281" s="1"/>
  <c r="P66" i="281" s="1"/>
  <c r="P4" i="272"/>
  <c r="P21" i="272"/>
  <c r="P22" i="272" s="1"/>
  <c r="Q3" i="272"/>
  <c r="Q3" i="266"/>
  <c r="Q9" i="272"/>
  <c r="Q12" i="272" s="1"/>
  <c r="Q13" i="272" s="1"/>
  <c r="Q106" i="281" s="1"/>
  <c r="Q107" i="281" s="1"/>
  <c r="Q108" i="281" s="1"/>
  <c r="Q111" i="281" s="1"/>
  <c r="Q112" i="281" s="1"/>
  <c r="Q115" i="281" s="1"/>
  <c r="R8" i="272"/>
  <c r="R3" i="281" s="1"/>
  <c r="H30" i="252"/>
  <c r="E45" i="49"/>
  <c r="G45" i="49"/>
  <c r="H31" i="252"/>
  <c r="H29" i="252"/>
  <c r="G63" i="260"/>
  <c r="G46" i="49" s="1"/>
  <c r="G9" i="259"/>
  <c r="F9" i="259"/>
  <c r="E9" i="259"/>
  <c r="G32" i="44"/>
  <c r="E32" i="44"/>
  <c r="G43" i="48"/>
  <c r="F43" i="48"/>
  <c r="F45" i="48" s="1"/>
  <c r="F32" i="44" s="1"/>
  <c r="E43" i="48"/>
  <c r="I13" i="259"/>
  <c r="G13" i="259"/>
  <c r="F13" i="259"/>
  <c r="E13" i="259"/>
  <c r="G31" i="44"/>
  <c r="F31" i="44"/>
  <c r="E31" i="44"/>
  <c r="N36" i="266" l="1"/>
  <c r="N37" i="266" s="1"/>
  <c r="N40" i="266" s="1"/>
  <c r="N41" i="266" s="1"/>
  <c r="N72" i="281" s="1"/>
  <c r="M43" i="266"/>
  <c r="M44" i="266" s="1"/>
  <c r="M40" i="277" s="1"/>
  <c r="M72" i="281"/>
  <c r="O30" i="266"/>
  <c r="O36" i="266" s="1"/>
  <c r="O37" i="266" s="1"/>
  <c r="O40" i="266" s="1"/>
  <c r="O63" i="281"/>
  <c r="Q4" i="281"/>
  <c r="Q30" i="281"/>
  <c r="O62" i="281"/>
  <c r="P15" i="266"/>
  <c r="P16" i="266" s="1"/>
  <c r="P27" i="266" s="1"/>
  <c r="P10" i="281"/>
  <c r="P11" i="281" s="1"/>
  <c r="P2" i="266"/>
  <c r="P31" i="281"/>
  <c r="P32" i="281" s="1"/>
  <c r="P36" i="281" s="1"/>
  <c r="P14" i="281"/>
  <c r="P16" i="281" s="1"/>
  <c r="P51" i="281"/>
  <c r="P2" i="281"/>
  <c r="J87" i="281"/>
  <c r="J95" i="281"/>
  <c r="J96" i="281" s="1"/>
  <c r="J81" i="281"/>
  <c r="J83" i="281" s="1"/>
  <c r="L43" i="266"/>
  <c r="L44" i="266" s="1"/>
  <c r="L40" i="277" s="1"/>
  <c r="L72" i="281"/>
  <c r="P19" i="266"/>
  <c r="P20" i="266" s="1"/>
  <c r="P28" i="266" s="1"/>
  <c r="P82" i="281"/>
  <c r="Q17" i="277"/>
  <c r="Q26" i="277"/>
  <c r="Q37" i="277"/>
  <c r="Q4" i="266"/>
  <c r="P2" i="272"/>
  <c r="P29" i="272"/>
  <c r="P30" i="272" s="1"/>
  <c r="P23" i="266" s="1"/>
  <c r="P24" i="266" s="1"/>
  <c r="P29" i="266" s="1"/>
  <c r="Q17" i="272"/>
  <c r="Q18" i="272" s="1"/>
  <c r="Q4" i="272"/>
  <c r="Q25" i="272"/>
  <c r="Q26" i="272" s="1"/>
  <c r="Q55" i="281" s="1"/>
  <c r="Q56" i="281" s="1"/>
  <c r="Q66" i="281" s="1"/>
  <c r="Q21" i="272"/>
  <c r="Q22" i="272" s="1"/>
  <c r="R3" i="272"/>
  <c r="R3" i="266"/>
  <c r="S8" i="272"/>
  <c r="S3" i="281" s="1"/>
  <c r="R9" i="272"/>
  <c r="R12" i="272" s="1"/>
  <c r="R13" i="272" s="1"/>
  <c r="R106" i="281" s="1"/>
  <c r="R107" i="281" s="1"/>
  <c r="R108" i="281" s="1"/>
  <c r="R111" i="281" s="1"/>
  <c r="R112" i="281" s="1"/>
  <c r="R115" i="281" s="1"/>
  <c r="H35" i="252"/>
  <c r="H56" i="260" s="1"/>
  <c r="G23" i="49"/>
  <c r="E23" i="49"/>
  <c r="G15" i="259"/>
  <c r="G12" i="49" s="1"/>
  <c r="E15" i="259"/>
  <c r="E12" i="49" s="1"/>
  <c r="E25" i="259"/>
  <c r="E12" i="259"/>
  <c r="G10" i="259"/>
  <c r="G12" i="259" s="1"/>
  <c r="J99" i="281" l="1"/>
  <c r="J100" i="281" s="1"/>
  <c r="J29" i="277" s="1"/>
  <c r="J114" i="281"/>
  <c r="J116" i="281" s="1"/>
  <c r="N43" i="266"/>
  <c r="N44" i="266" s="1"/>
  <c r="N40" i="277" s="1"/>
  <c r="N122" i="281"/>
  <c r="P62" i="281"/>
  <c r="P123" i="281"/>
  <c r="P63" i="281"/>
  <c r="P124" i="281"/>
  <c r="O39" i="266"/>
  <c r="O41" i="266" s="1"/>
  <c r="O122" i="281" s="1"/>
  <c r="P30" i="266"/>
  <c r="P36" i="266" s="1"/>
  <c r="P37" i="266" s="1"/>
  <c r="P40" i="266" s="1"/>
  <c r="J88" i="281"/>
  <c r="J89" i="281" s="1"/>
  <c r="K86" i="281" s="1"/>
  <c r="Q2" i="266"/>
  <c r="Q51" i="281"/>
  <c r="Q2" i="281"/>
  <c r="Q31" i="281"/>
  <c r="Q32" i="281" s="1"/>
  <c r="Q36" i="281" s="1"/>
  <c r="Q14" i="281"/>
  <c r="Q16" i="281" s="1"/>
  <c r="Q15" i="266"/>
  <c r="Q16" i="266" s="1"/>
  <c r="Q27" i="266" s="1"/>
  <c r="Q10" i="281"/>
  <c r="Q11" i="281" s="1"/>
  <c r="Q19" i="266"/>
  <c r="Q20" i="266" s="1"/>
  <c r="Q28" i="266" s="1"/>
  <c r="Q82" i="281"/>
  <c r="R30" i="281"/>
  <c r="R4" i="281"/>
  <c r="R26" i="277"/>
  <c r="R17" i="277"/>
  <c r="R37" i="277"/>
  <c r="R4" i="266"/>
  <c r="Q2" i="272"/>
  <c r="Q29" i="272"/>
  <c r="Q30" i="272" s="1"/>
  <c r="Q23" i="266" s="1"/>
  <c r="Q24" i="266" s="1"/>
  <c r="Q29" i="266" s="1"/>
  <c r="R17" i="272"/>
  <c r="R18" i="272" s="1"/>
  <c r="R25" i="272"/>
  <c r="R26" i="272" s="1"/>
  <c r="R55" i="281" s="1"/>
  <c r="R56" i="281" s="1"/>
  <c r="R66" i="281" s="1"/>
  <c r="R21" i="272"/>
  <c r="R22" i="272" s="1"/>
  <c r="R4" i="272"/>
  <c r="S3" i="272"/>
  <c r="S3" i="266"/>
  <c r="T8" i="272"/>
  <c r="T3" i="281" s="1"/>
  <c r="S9" i="272"/>
  <c r="S12" i="272" s="1"/>
  <c r="S13" i="272" s="1"/>
  <c r="S106" i="281" s="1"/>
  <c r="S107" i="281" s="1"/>
  <c r="S108" i="281" s="1"/>
  <c r="S111" i="281" s="1"/>
  <c r="S112" i="281" s="1"/>
  <c r="S115" i="281" s="1"/>
  <c r="G40" i="49"/>
  <c r="G41" i="277" s="1"/>
  <c r="E40" i="49"/>
  <c r="E41" i="277" s="1"/>
  <c r="G34" i="258"/>
  <c r="G9" i="49" s="1"/>
  <c r="E34" i="258"/>
  <c r="E9" i="49" s="1"/>
  <c r="I32" i="258"/>
  <c r="G32" i="258"/>
  <c r="F32" i="258"/>
  <c r="E32" i="258"/>
  <c r="I24" i="258"/>
  <c r="G24" i="258"/>
  <c r="F24" i="258"/>
  <c r="E24" i="258"/>
  <c r="I31" i="258"/>
  <c r="G31" i="258"/>
  <c r="F31" i="258"/>
  <c r="I30" i="258"/>
  <c r="G30" i="258"/>
  <c r="F30" i="258"/>
  <c r="E31" i="258"/>
  <c r="E30" i="258"/>
  <c r="I16" i="258"/>
  <c r="G16" i="258"/>
  <c r="F16" i="258"/>
  <c r="E16" i="258"/>
  <c r="I9" i="258"/>
  <c r="G9" i="258"/>
  <c r="F9" i="258"/>
  <c r="E9" i="258"/>
  <c r="I34" i="46"/>
  <c r="G34" i="46"/>
  <c r="F34" i="46"/>
  <c r="I33" i="46"/>
  <c r="G33" i="46"/>
  <c r="F33" i="46"/>
  <c r="I32" i="46"/>
  <c r="G32" i="46"/>
  <c r="F32" i="46"/>
  <c r="I31" i="46"/>
  <c r="G31" i="46"/>
  <c r="F31" i="46"/>
  <c r="E34" i="46"/>
  <c r="E33" i="46"/>
  <c r="E32" i="46"/>
  <c r="E31" i="46"/>
  <c r="J20" i="277" l="1"/>
  <c r="P39" i="266"/>
  <c r="P41" i="266" s="1"/>
  <c r="P122" i="281" s="1"/>
  <c r="Q62" i="281"/>
  <c r="Q123" i="281"/>
  <c r="Q63" i="281"/>
  <c r="Q124" i="281"/>
  <c r="O43" i="266"/>
  <c r="O44" i="266" s="1"/>
  <c r="O72" i="281"/>
  <c r="Q30" i="266"/>
  <c r="Q39" i="266" s="1"/>
  <c r="R15" i="266"/>
  <c r="R16" i="266" s="1"/>
  <c r="R27" i="266" s="1"/>
  <c r="R10" i="281"/>
  <c r="R11" i="281" s="1"/>
  <c r="R19" i="266"/>
  <c r="R20" i="266" s="1"/>
  <c r="R28" i="266" s="1"/>
  <c r="R82" i="281"/>
  <c r="S30" i="281"/>
  <c r="S4" i="281"/>
  <c r="R2" i="266"/>
  <c r="R31" i="281"/>
  <c r="R32" i="281" s="1"/>
  <c r="R36" i="281" s="1"/>
  <c r="R14" i="281"/>
  <c r="R16" i="281" s="1"/>
  <c r="R2" i="281"/>
  <c r="R51" i="281"/>
  <c r="K46" i="281"/>
  <c r="K47" i="281" s="1"/>
  <c r="K50" i="281" s="1"/>
  <c r="K52" i="281" s="1"/>
  <c r="K80" i="281"/>
  <c r="K35" i="281"/>
  <c r="K37" i="281" s="1"/>
  <c r="K125" i="281" s="1"/>
  <c r="S17" i="277"/>
  <c r="S37" i="277"/>
  <c r="S26" i="277"/>
  <c r="S4" i="266"/>
  <c r="R2" i="272"/>
  <c r="R29" i="272"/>
  <c r="R30" i="272" s="1"/>
  <c r="R23" i="266" s="1"/>
  <c r="R24" i="266" s="1"/>
  <c r="R29" i="266" s="1"/>
  <c r="S17" i="272"/>
  <c r="S18" i="272" s="1"/>
  <c r="S25" i="272"/>
  <c r="S26" i="272" s="1"/>
  <c r="S55" i="281" s="1"/>
  <c r="S56" i="281" s="1"/>
  <c r="S66" i="281" s="1"/>
  <c r="S21" i="272"/>
  <c r="S22" i="272" s="1"/>
  <c r="S4" i="272"/>
  <c r="T3" i="272"/>
  <c r="T3" i="266"/>
  <c r="T9" i="272"/>
  <c r="T12" i="272" s="1"/>
  <c r="T13" i="272" s="1"/>
  <c r="T106" i="281" s="1"/>
  <c r="T107" i="281" s="1"/>
  <c r="T108" i="281" s="1"/>
  <c r="T111" i="281" s="1"/>
  <c r="T112" i="281" s="1"/>
  <c r="T115" i="281" s="1"/>
  <c r="U8" i="272"/>
  <c r="U3" i="281" s="1"/>
  <c r="G8" i="49"/>
  <c r="E8" i="49"/>
  <c r="P43" i="266" l="1"/>
  <c r="P44" i="266" s="1"/>
  <c r="P72" i="281"/>
  <c r="Q36" i="266"/>
  <c r="Q37" i="266" s="1"/>
  <c r="Q40" i="266" s="1"/>
  <c r="Q41" i="266" s="1"/>
  <c r="Q122" i="281" s="1"/>
  <c r="K65" i="281"/>
  <c r="K126" i="281"/>
  <c r="K127" i="281" s="1"/>
  <c r="R63" i="281"/>
  <c r="R124" i="281"/>
  <c r="R62" i="281"/>
  <c r="R123" i="281"/>
  <c r="O40" i="277"/>
  <c r="R30" i="266"/>
  <c r="R36" i="266" s="1"/>
  <c r="R37" i="266" s="1"/>
  <c r="R40" i="266" s="1"/>
  <c r="S2" i="266"/>
  <c r="S31" i="281"/>
  <c r="S32" i="281" s="1"/>
  <c r="S36" i="281" s="1"/>
  <c r="S2" i="281"/>
  <c r="S51" i="281"/>
  <c r="S14" i="281"/>
  <c r="S16" i="281" s="1"/>
  <c r="T30" i="281"/>
  <c r="T4" i="281"/>
  <c r="S15" i="266"/>
  <c r="S16" i="266" s="1"/>
  <c r="S27" i="266" s="1"/>
  <c r="S10" i="281"/>
  <c r="S11" i="281" s="1"/>
  <c r="S19" i="266"/>
  <c r="S20" i="266" s="1"/>
  <c r="S28" i="266" s="1"/>
  <c r="S82" i="281"/>
  <c r="K40" i="281"/>
  <c r="K64" i="281"/>
  <c r="T37" i="277"/>
  <c r="T4" i="266"/>
  <c r="T17" i="277"/>
  <c r="T26" i="277"/>
  <c r="S2" i="272"/>
  <c r="S29" i="272"/>
  <c r="S30" i="272" s="1"/>
  <c r="S23" i="266" s="1"/>
  <c r="S24" i="266" s="1"/>
  <c r="S29" i="266" s="1"/>
  <c r="T17" i="272"/>
  <c r="T18" i="272" s="1"/>
  <c r="T21" i="272"/>
  <c r="T22" i="272" s="1"/>
  <c r="T4" i="272"/>
  <c r="T25" i="272"/>
  <c r="T26" i="272" s="1"/>
  <c r="T55" i="281" s="1"/>
  <c r="T56" i="281" s="1"/>
  <c r="T66" i="281" s="1"/>
  <c r="U3" i="272"/>
  <c r="U3" i="266"/>
  <c r="V8" i="272"/>
  <c r="V3" i="281" s="1"/>
  <c r="U9" i="272"/>
  <c r="U12" i="272" s="1"/>
  <c r="U13" i="272" s="1"/>
  <c r="U106" i="281" s="1"/>
  <c r="U107" i="281" s="1"/>
  <c r="U108" i="281" s="1"/>
  <c r="U111" i="281" s="1"/>
  <c r="U112" i="281" s="1"/>
  <c r="U115" i="281" s="1"/>
  <c r="I112" i="46"/>
  <c r="G112" i="46"/>
  <c r="F112" i="46"/>
  <c r="E112" i="46"/>
  <c r="I100" i="46"/>
  <c r="G100" i="46"/>
  <c r="F100" i="46"/>
  <c r="E100" i="46"/>
  <c r="I111" i="46"/>
  <c r="G111" i="46"/>
  <c r="F111" i="46"/>
  <c r="E111" i="46"/>
  <c r="I91" i="46"/>
  <c r="G91" i="46"/>
  <c r="F91" i="46"/>
  <c r="E91" i="46"/>
  <c r="I83" i="46"/>
  <c r="G83" i="46"/>
  <c r="F83" i="46"/>
  <c r="I82" i="46"/>
  <c r="G82" i="46"/>
  <c r="F82" i="46"/>
  <c r="I81" i="46"/>
  <c r="G81" i="46"/>
  <c r="F81" i="46"/>
  <c r="I80" i="46"/>
  <c r="G80" i="46"/>
  <c r="F80" i="46"/>
  <c r="E83" i="46"/>
  <c r="E82" i="46"/>
  <c r="E81" i="46"/>
  <c r="E80" i="46"/>
  <c r="I76" i="46"/>
  <c r="H76" i="46"/>
  <c r="G76" i="46"/>
  <c r="F76" i="46"/>
  <c r="I75" i="46"/>
  <c r="G75" i="46"/>
  <c r="F75" i="46"/>
  <c r="E76" i="46"/>
  <c r="E75" i="46"/>
  <c r="I72" i="46"/>
  <c r="H72" i="46"/>
  <c r="G72" i="46"/>
  <c r="F72" i="46"/>
  <c r="I71" i="46"/>
  <c r="G71" i="46"/>
  <c r="F71" i="46"/>
  <c r="E72" i="46"/>
  <c r="E71" i="46"/>
  <c r="I68" i="46"/>
  <c r="H68" i="46"/>
  <c r="G68" i="46"/>
  <c r="F68" i="46"/>
  <c r="I67" i="46"/>
  <c r="G67" i="46"/>
  <c r="F67" i="46"/>
  <c r="E68" i="46"/>
  <c r="E67" i="46"/>
  <c r="I64" i="46"/>
  <c r="H64" i="46"/>
  <c r="G64" i="46"/>
  <c r="F64" i="46"/>
  <c r="I63" i="46"/>
  <c r="G63" i="46"/>
  <c r="F63" i="46"/>
  <c r="E64" i="46"/>
  <c r="E63" i="46"/>
  <c r="R39" i="266" l="1"/>
  <c r="R41" i="266" s="1"/>
  <c r="R122" i="281" s="1"/>
  <c r="P40" i="277"/>
  <c r="K67" i="281"/>
  <c r="K73" i="281" s="1"/>
  <c r="K74" i="281" s="1"/>
  <c r="K77" i="281" s="1"/>
  <c r="K78" i="281" s="1"/>
  <c r="S63" i="281"/>
  <c r="S124" i="281"/>
  <c r="S62" i="281"/>
  <c r="S123" i="281"/>
  <c r="T19" i="266"/>
  <c r="T20" i="266" s="1"/>
  <c r="T28" i="266" s="1"/>
  <c r="T82" i="281"/>
  <c r="T2" i="266"/>
  <c r="T51" i="281"/>
  <c r="T31" i="281"/>
  <c r="T32" i="281" s="1"/>
  <c r="T36" i="281" s="1"/>
  <c r="T14" i="281"/>
  <c r="T16" i="281" s="1"/>
  <c r="T2" i="281"/>
  <c r="U30" i="281"/>
  <c r="U4" i="281"/>
  <c r="T15" i="266"/>
  <c r="T16" i="266" s="1"/>
  <c r="T27" i="266" s="1"/>
  <c r="T10" i="281"/>
  <c r="T11" i="281" s="1"/>
  <c r="Q43" i="266"/>
  <c r="Q44" i="266" s="1"/>
  <c r="Q72" i="281"/>
  <c r="S30" i="266"/>
  <c r="S39" i="266" s="1"/>
  <c r="U17" i="277"/>
  <c r="U26" i="277"/>
  <c r="U37" i="277"/>
  <c r="U4" i="266"/>
  <c r="T2" i="272"/>
  <c r="T29" i="272"/>
  <c r="T30" i="272" s="1"/>
  <c r="T23" i="266" s="1"/>
  <c r="T24" i="266" s="1"/>
  <c r="T29" i="266" s="1"/>
  <c r="U17" i="272"/>
  <c r="U18" i="272" s="1"/>
  <c r="U21" i="272"/>
  <c r="U22" i="272" s="1"/>
  <c r="U25" i="272"/>
  <c r="U26" i="272" s="1"/>
  <c r="U55" i="281" s="1"/>
  <c r="U56" i="281" s="1"/>
  <c r="U66" i="281" s="1"/>
  <c r="U4" i="272"/>
  <c r="V3" i="272"/>
  <c r="V3" i="266"/>
  <c r="W8" i="272"/>
  <c r="W3" i="281" s="1"/>
  <c r="V9" i="272"/>
  <c r="V12" i="272" s="1"/>
  <c r="V13" i="272" s="1"/>
  <c r="V106" i="281" s="1"/>
  <c r="V107" i="281" s="1"/>
  <c r="V108" i="281" s="1"/>
  <c r="V111" i="281" s="1"/>
  <c r="V112" i="281" s="1"/>
  <c r="V115" i="281" s="1"/>
  <c r="J16" i="265"/>
  <c r="J9" i="265" s="1"/>
  <c r="I14" i="265"/>
  <c r="G14" i="265"/>
  <c r="F14" i="265"/>
  <c r="E14" i="265"/>
  <c r="I4" i="265"/>
  <c r="H4" i="265"/>
  <c r="G4" i="265"/>
  <c r="F4" i="265"/>
  <c r="I3" i="265"/>
  <c r="H3" i="265"/>
  <c r="G3" i="265"/>
  <c r="F3" i="265"/>
  <c r="E3" i="265"/>
  <c r="I2" i="265"/>
  <c r="G2" i="265"/>
  <c r="F2" i="265"/>
  <c r="E2" i="265"/>
  <c r="A1" i="265"/>
  <c r="K94" i="281" l="1"/>
  <c r="T63" i="281"/>
  <c r="T124" i="281"/>
  <c r="T62" i="281"/>
  <c r="T123" i="281"/>
  <c r="S36" i="266"/>
  <c r="S37" i="266" s="1"/>
  <c r="S40" i="266" s="1"/>
  <c r="S41" i="266" s="1"/>
  <c r="S122" i="281" s="1"/>
  <c r="T30" i="266"/>
  <c r="T36" i="266" s="1"/>
  <c r="T37" i="266" s="1"/>
  <c r="T40" i="266" s="1"/>
  <c r="V30" i="281"/>
  <c r="V4" i="281"/>
  <c r="Q40" i="277"/>
  <c r="R43" i="266"/>
  <c r="R44" i="266" s="1"/>
  <c r="R72" i="281"/>
  <c r="U19" i="266"/>
  <c r="U20" i="266" s="1"/>
  <c r="U28" i="266" s="1"/>
  <c r="U82" i="281"/>
  <c r="K95" i="281"/>
  <c r="K81" i="281"/>
  <c r="K83" i="281" s="1"/>
  <c r="K87" i="281"/>
  <c r="U15" i="266"/>
  <c r="U16" i="266" s="1"/>
  <c r="U27" i="266" s="1"/>
  <c r="U10" i="281"/>
  <c r="U11" i="281" s="1"/>
  <c r="U2" i="266"/>
  <c r="U31" i="281"/>
  <c r="U32" i="281" s="1"/>
  <c r="U36" i="281" s="1"/>
  <c r="U14" i="281"/>
  <c r="U16" i="281" s="1"/>
  <c r="U2" i="281"/>
  <c r="U51" i="281"/>
  <c r="V26" i="277"/>
  <c r="V4" i="266"/>
  <c r="V17" i="277"/>
  <c r="V37" i="277"/>
  <c r="U2" i="272"/>
  <c r="U29" i="272"/>
  <c r="U30" i="272" s="1"/>
  <c r="U23" i="266" s="1"/>
  <c r="U24" i="266" s="1"/>
  <c r="U29" i="266" s="1"/>
  <c r="V17" i="272"/>
  <c r="V18" i="272" s="1"/>
  <c r="V4" i="272"/>
  <c r="V25" i="272"/>
  <c r="V26" i="272" s="1"/>
  <c r="V55" i="281" s="1"/>
  <c r="V56" i="281" s="1"/>
  <c r="V66" i="281" s="1"/>
  <c r="V21" i="272"/>
  <c r="V22" i="272" s="1"/>
  <c r="W3" i="272"/>
  <c r="W3" i="266"/>
  <c r="X8" i="272"/>
  <c r="X3" i="281" s="1"/>
  <c r="W9" i="272"/>
  <c r="W12" i="272" s="1"/>
  <c r="W13" i="272" s="1"/>
  <c r="W106" i="281" s="1"/>
  <c r="W107" i="281" s="1"/>
  <c r="W108" i="281" s="1"/>
  <c r="W111" i="281" s="1"/>
  <c r="W112" i="281" s="1"/>
  <c r="W115" i="281" s="1"/>
  <c r="J55" i="261"/>
  <c r="J47" i="261" s="1"/>
  <c r="I53" i="261"/>
  <c r="G53" i="261"/>
  <c r="F53" i="261"/>
  <c r="E53" i="261"/>
  <c r="I4" i="261"/>
  <c r="H4" i="261"/>
  <c r="G4" i="261"/>
  <c r="F4" i="261"/>
  <c r="I3" i="261"/>
  <c r="H3" i="261"/>
  <c r="G3" i="261"/>
  <c r="F3" i="261"/>
  <c r="E3" i="261"/>
  <c r="I2" i="261"/>
  <c r="G2" i="261"/>
  <c r="F2" i="261"/>
  <c r="E2" i="261"/>
  <c r="A1" i="261"/>
  <c r="J71" i="260"/>
  <c r="J29" i="260" s="1"/>
  <c r="E69" i="260"/>
  <c r="I4" i="260"/>
  <c r="H4" i="260"/>
  <c r="G4" i="260"/>
  <c r="F4" i="260"/>
  <c r="I3" i="260"/>
  <c r="H3" i="260"/>
  <c r="G3" i="260"/>
  <c r="F3" i="260"/>
  <c r="E3" i="260"/>
  <c r="I2" i="260"/>
  <c r="G2" i="260"/>
  <c r="F2" i="260"/>
  <c r="E2" i="260"/>
  <c r="A1" i="260"/>
  <c r="J23" i="259"/>
  <c r="I21" i="259"/>
  <c r="G21" i="259"/>
  <c r="F21" i="259"/>
  <c r="E21" i="259"/>
  <c r="I4" i="259"/>
  <c r="H4" i="259"/>
  <c r="G4" i="259"/>
  <c r="F4" i="259"/>
  <c r="I3" i="259"/>
  <c r="H3" i="259"/>
  <c r="G3" i="259"/>
  <c r="F3" i="259"/>
  <c r="E3" i="259"/>
  <c r="I2" i="259"/>
  <c r="G2" i="259"/>
  <c r="F2" i="259"/>
  <c r="E2" i="259"/>
  <c r="A1" i="259"/>
  <c r="I4" i="258"/>
  <c r="H4" i="258"/>
  <c r="G4" i="258"/>
  <c r="F4" i="258"/>
  <c r="I3" i="258"/>
  <c r="H3" i="258"/>
  <c r="G3" i="258"/>
  <c r="F3" i="258"/>
  <c r="E3" i="258"/>
  <c r="I2" i="258"/>
  <c r="G2" i="258"/>
  <c r="F2" i="258"/>
  <c r="E2" i="258"/>
  <c r="A1" i="258"/>
  <c r="J8" i="44"/>
  <c r="F10" i="44"/>
  <c r="F17" i="44"/>
  <c r="F21" i="44"/>
  <c r="F22" i="44"/>
  <c r="A1" i="257"/>
  <c r="E2" i="257"/>
  <c r="F2" i="257"/>
  <c r="G2" i="257"/>
  <c r="I2" i="257"/>
  <c r="E3" i="257"/>
  <c r="F3" i="257"/>
  <c r="G3" i="257"/>
  <c r="H3" i="257"/>
  <c r="I3" i="257"/>
  <c r="F4" i="257"/>
  <c r="G4" i="257"/>
  <c r="H4" i="257"/>
  <c r="I4" i="257"/>
  <c r="E9" i="257"/>
  <c r="F9" i="257"/>
  <c r="G9" i="257"/>
  <c r="I9" i="257"/>
  <c r="J11" i="257"/>
  <c r="H19" i="257"/>
  <c r="E20" i="257"/>
  <c r="G20" i="257"/>
  <c r="J20" i="257"/>
  <c r="K20" i="257"/>
  <c r="L20" i="257"/>
  <c r="M20" i="257"/>
  <c r="N20" i="257"/>
  <c r="O20" i="257"/>
  <c r="P20" i="257"/>
  <c r="Q20" i="257"/>
  <c r="R20" i="257"/>
  <c r="S20" i="257"/>
  <c r="T20" i="257"/>
  <c r="U20" i="257"/>
  <c r="V20" i="257"/>
  <c r="W20" i="257"/>
  <c r="X20" i="257"/>
  <c r="Y20" i="257"/>
  <c r="Z20" i="257"/>
  <c r="AA20" i="257"/>
  <c r="AB20" i="257"/>
  <c r="AC20" i="257"/>
  <c r="AD20" i="257"/>
  <c r="AE20" i="257"/>
  <c r="AF20" i="257"/>
  <c r="AG20" i="257"/>
  <c r="AH20" i="257"/>
  <c r="AI20" i="257"/>
  <c r="AJ20" i="257"/>
  <c r="AK20" i="257"/>
  <c r="AL20" i="257"/>
  <c r="AM20" i="257"/>
  <c r="AN20" i="257"/>
  <c r="AO20" i="257"/>
  <c r="AP20" i="257"/>
  <c r="AQ20" i="257"/>
  <c r="AR20" i="257"/>
  <c r="AS20" i="257"/>
  <c r="AT20" i="257"/>
  <c r="AU20" i="257"/>
  <c r="AV20" i="257"/>
  <c r="AW20" i="257"/>
  <c r="AX20" i="257"/>
  <c r="AY20" i="257"/>
  <c r="AZ20" i="257"/>
  <c r="BA20" i="257"/>
  <c r="BB20" i="257"/>
  <c r="BC20" i="257"/>
  <c r="BD20" i="257"/>
  <c r="BE20" i="257"/>
  <c r="BF20" i="257"/>
  <c r="BG20" i="257"/>
  <c r="BH20" i="257"/>
  <c r="BI20" i="257"/>
  <c r="BJ20" i="257"/>
  <c r="BK20" i="257"/>
  <c r="BL20" i="257"/>
  <c r="BM20" i="257"/>
  <c r="BN20" i="257"/>
  <c r="BO20" i="257"/>
  <c r="BP20" i="257"/>
  <c r="BQ20" i="257"/>
  <c r="BR20" i="257"/>
  <c r="BS20" i="257"/>
  <c r="BT20" i="257"/>
  <c r="BU20" i="257"/>
  <c r="BV20" i="257"/>
  <c r="BW20" i="257"/>
  <c r="BX20" i="257"/>
  <c r="BY20" i="257"/>
  <c r="BZ20" i="257"/>
  <c r="CA20" i="257"/>
  <c r="A1" i="49"/>
  <c r="E2" i="49"/>
  <c r="G2" i="49"/>
  <c r="E3" i="49"/>
  <c r="F4" i="49"/>
  <c r="G4" i="49"/>
  <c r="H4" i="49"/>
  <c r="A1" i="46"/>
  <c r="E2" i="46"/>
  <c r="F2" i="46"/>
  <c r="G2" i="46"/>
  <c r="I2" i="46"/>
  <c r="E3" i="46"/>
  <c r="F3" i="46"/>
  <c r="G3" i="46"/>
  <c r="H3" i="46"/>
  <c r="I3" i="46"/>
  <c r="F4" i="46"/>
  <c r="G4" i="46"/>
  <c r="H4" i="46"/>
  <c r="I4" i="46"/>
  <c r="A1" i="44"/>
  <c r="E2" i="44"/>
  <c r="F2" i="44"/>
  <c r="G2" i="44"/>
  <c r="I2" i="44"/>
  <c r="E3" i="44"/>
  <c r="F3" i="44"/>
  <c r="G3" i="44"/>
  <c r="H3" i="44"/>
  <c r="I3" i="44"/>
  <c r="F4" i="44"/>
  <c r="G4" i="44"/>
  <c r="H4" i="44"/>
  <c r="I4" i="44"/>
  <c r="E10" i="44"/>
  <c r="G10" i="44"/>
  <c r="E17" i="44"/>
  <c r="G17" i="44"/>
  <c r="E21" i="44"/>
  <c r="G21" i="44"/>
  <c r="E22" i="44"/>
  <c r="G22" i="44"/>
  <c r="A1" i="252"/>
  <c r="E2" i="252"/>
  <c r="F2" i="252"/>
  <c r="G2" i="252"/>
  <c r="I2" i="252"/>
  <c r="E3" i="252"/>
  <c r="F3" i="252"/>
  <c r="G3" i="252"/>
  <c r="H3" i="252"/>
  <c r="I3" i="252"/>
  <c r="F4" i="252"/>
  <c r="G4" i="252"/>
  <c r="H4" i="252"/>
  <c r="I4" i="252"/>
  <c r="A1" i="48"/>
  <c r="F4" i="48"/>
  <c r="G4" i="48"/>
  <c r="J3" i="283" l="1"/>
  <c r="J3" i="295"/>
  <c r="K96" i="281"/>
  <c r="T39" i="266"/>
  <c r="T41" i="266" s="1"/>
  <c r="T122" i="281" s="1"/>
  <c r="U63" i="281"/>
  <c r="U124" i="281"/>
  <c r="U62" i="281"/>
  <c r="U123" i="281"/>
  <c r="K88" i="281"/>
  <c r="K89" i="281" s="1"/>
  <c r="L86" i="281" s="1"/>
  <c r="W4" i="281"/>
  <c r="W30" i="281"/>
  <c r="U30" i="266"/>
  <c r="U36" i="266" s="1"/>
  <c r="U37" i="266" s="1"/>
  <c r="U40" i="266" s="1"/>
  <c r="R40" i="277"/>
  <c r="V19" i="266"/>
  <c r="V20" i="266" s="1"/>
  <c r="V28" i="266" s="1"/>
  <c r="V82" i="281"/>
  <c r="V15" i="266"/>
  <c r="V16" i="266" s="1"/>
  <c r="V27" i="266" s="1"/>
  <c r="V10" i="281"/>
  <c r="V11" i="281" s="1"/>
  <c r="S43" i="266"/>
  <c r="S44" i="266" s="1"/>
  <c r="S40" i="277" s="1"/>
  <c r="S72" i="281"/>
  <c r="V2" i="266"/>
  <c r="V51" i="281"/>
  <c r="V14" i="281"/>
  <c r="V16" i="281" s="1"/>
  <c r="V2" i="281"/>
  <c r="V31" i="281"/>
  <c r="V32" i="281" s="1"/>
  <c r="V36" i="281" s="1"/>
  <c r="W26" i="277"/>
  <c r="W17" i="277"/>
  <c r="W37" i="277"/>
  <c r="W4" i="266"/>
  <c r="V2" i="272"/>
  <c r="V29" i="272"/>
  <c r="V30" i="272" s="1"/>
  <c r="V23" i="266" s="1"/>
  <c r="V24" i="266" s="1"/>
  <c r="V29" i="266" s="1"/>
  <c r="W17" i="272"/>
  <c r="W18" i="272" s="1"/>
  <c r="W25" i="272"/>
  <c r="W26" i="272" s="1"/>
  <c r="W55" i="281" s="1"/>
  <c r="W56" i="281" s="1"/>
  <c r="W66" i="281" s="1"/>
  <c r="W4" i="272"/>
  <c r="W21" i="272"/>
  <c r="W22" i="272" s="1"/>
  <c r="J11" i="44"/>
  <c r="J12" i="44" s="1"/>
  <c r="J4" i="295" s="1"/>
  <c r="J3" i="277"/>
  <c r="X3" i="272"/>
  <c r="X3" i="266"/>
  <c r="X9" i="272"/>
  <c r="X12" i="272" s="1"/>
  <c r="X13" i="272" s="1"/>
  <c r="X106" i="281" s="1"/>
  <c r="X107" i="281" s="1"/>
  <c r="X108" i="281" s="1"/>
  <c r="X111" i="281" s="1"/>
  <c r="X112" i="281" s="1"/>
  <c r="X115" i="281" s="1"/>
  <c r="Y8" i="272"/>
  <c r="Y3" i="281" s="1"/>
  <c r="J3" i="46"/>
  <c r="J3" i="265"/>
  <c r="E4" i="44"/>
  <c r="E4" i="265"/>
  <c r="J3" i="49"/>
  <c r="J3" i="252"/>
  <c r="J3" i="259"/>
  <c r="E4" i="259"/>
  <c r="J3" i="258"/>
  <c r="J3" i="261"/>
  <c r="J3" i="44"/>
  <c r="J3" i="260"/>
  <c r="J3" i="257"/>
  <c r="E4" i="260"/>
  <c r="E4" i="261"/>
  <c r="E4" i="46"/>
  <c r="E4" i="258"/>
  <c r="E4" i="49"/>
  <c r="E4" i="252"/>
  <c r="H20" i="257"/>
  <c r="E4" i="257"/>
  <c r="K8" i="44"/>
  <c r="K3" i="295" s="1"/>
  <c r="K3" i="277" l="1"/>
  <c r="K3" i="283"/>
  <c r="J28" i="44"/>
  <c r="J29" i="44" s="1"/>
  <c r="J25" i="260" s="1"/>
  <c r="J4" i="283"/>
  <c r="K99" i="281"/>
  <c r="K100" i="281" s="1"/>
  <c r="K20" i="277" s="1"/>
  <c r="K114" i="281"/>
  <c r="K116" i="281" s="1"/>
  <c r="U39" i="266"/>
  <c r="U41" i="266" s="1"/>
  <c r="U122" i="281" s="1"/>
  <c r="V62" i="281"/>
  <c r="V123" i="281"/>
  <c r="V63" i="281"/>
  <c r="V124" i="281"/>
  <c r="W2" i="266"/>
  <c r="W31" i="281"/>
  <c r="W32" i="281" s="1"/>
  <c r="W36" i="281" s="1"/>
  <c r="W51" i="281"/>
  <c r="W14" i="281"/>
  <c r="W16" i="281" s="1"/>
  <c r="W2" i="281"/>
  <c r="V30" i="266"/>
  <c r="V36" i="266" s="1"/>
  <c r="V37" i="266" s="1"/>
  <c r="V40" i="266" s="1"/>
  <c r="W15" i="266"/>
  <c r="W16" i="266" s="1"/>
  <c r="W27" i="266" s="1"/>
  <c r="W10" i="281"/>
  <c r="W11" i="281" s="1"/>
  <c r="T43" i="266"/>
  <c r="T44" i="266" s="1"/>
  <c r="T72" i="281"/>
  <c r="X30" i="281"/>
  <c r="X4" i="281"/>
  <c r="L46" i="281"/>
  <c r="L47" i="281" s="1"/>
  <c r="L50" i="281" s="1"/>
  <c r="L52" i="281" s="1"/>
  <c r="L35" i="281"/>
  <c r="L37" i="281" s="1"/>
  <c r="L125" i="281" s="1"/>
  <c r="L80" i="281"/>
  <c r="W19" i="266"/>
  <c r="W20" i="266" s="1"/>
  <c r="W28" i="266" s="1"/>
  <c r="W82" i="281"/>
  <c r="X17" i="277"/>
  <c r="X4" i="266"/>
  <c r="X37" i="277"/>
  <c r="X26" i="277"/>
  <c r="W2" i="272"/>
  <c r="W29" i="272"/>
  <c r="W30" i="272" s="1"/>
  <c r="W23" i="266" s="1"/>
  <c r="W24" i="266" s="1"/>
  <c r="W29" i="266" s="1"/>
  <c r="X17" i="272"/>
  <c r="X18" i="272" s="1"/>
  <c r="X25" i="272"/>
  <c r="X26" i="272" s="1"/>
  <c r="X55" i="281" s="1"/>
  <c r="X56" i="281" s="1"/>
  <c r="X66" i="281" s="1"/>
  <c r="X4" i="272"/>
  <c r="X21" i="272"/>
  <c r="X22" i="272" s="1"/>
  <c r="J48" i="44"/>
  <c r="J49" i="44" s="1"/>
  <c r="J23" i="258" s="1"/>
  <c r="J4" i="277"/>
  <c r="Y3" i="272"/>
  <c r="Y3" i="266"/>
  <c r="Y9" i="272"/>
  <c r="Y12" i="272" s="1"/>
  <c r="Y13" i="272" s="1"/>
  <c r="Y106" i="281" s="1"/>
  <c r="Y107" i="281" s="1"/>
  <c r="Y108" i="281" s="1"/>
  <c r="Y111" i="281" s="1"/>
  <c r="Y112" i="281" s="1"/>
  <c r="Y115" i="281" s="1"/>
  <c r="Z8" i="272"/>
  <c r="Z3" i="281" s="1"/>
  <c r="J18" i="44"/>
  <c r="J19" i="44" s="1"/>
  <c r="J23" i="44"/>
  <c r="J24" i="44" s="1"/>
  <c r="J9" i="295" s="1"/>
  <c r="J37" i="44"/>
  <c r="J38" i="44" s="1"/>
  <c r="J33" i="44"/>
  <c r="J34" i="44" s="1"/>
  <c r="J13" i="259" s="1"/>
  <c r="K3" i="265"/>
  <c r="K11" i="44"/>
  <c r="K12" i="44" s="1"/>
  <c r="K4" i="295" s="1"/>
  <c r="K3" i="260"/>
  <c r="K3" i="259"/>
  <c r="K3" i="261"/>
  <c r="K3" i="258"/>
  <c r="L8" i="44"/>
  <c r="L3" i="295" s="1"/>
  <c r="K3" i="252"/>
  <c r="K3" i="257"/>
  <c r="K3" i="44"/>
  <c r="K3" i="49"/>
  <c r="K3" i="46"/>
  <c r="J4" i="265"/>
  <c r="J55" i="295" l="1"/>
  <c r="J31" i="261"/>
  <c r="J2" i="283"/>
  <c r="J2" i="295"/>
  <c r="J8" i="260"/>
  <c r="J11" i="260" s="1"/>
  <c r="J19" i="260" s="1"/>
  <c r="J21" i="260" s="1"/>
  <c r="J24" i="260" s="1"/>
  <c r="J26" i="260" s="1"/>
  <c r="J28" i="260" s="1"/>
  <c r="J30" i="260" s="1"/>
  <c r="K28" i="44"/>
  <c r="K29" i="44" s="1"/>
  <c r="K8" i="260" s="1"/>
  <c r="K11" i="260" s="1"/>
  <c r="K19" i="260" s="1"/>
  <c r="K21" i="260" s="1"/>
  <c r="K24" i="260" s="1"/>
  <c r="K4" i="283"/>
  <c r="J26" i="252"/>
  <c r="J17" i="283"/>
  <c r="J8" i="283"/>
  <c r="J11" i="283" s="1"/>
  <c r="L3" i="277"/>
  <c r="L3" i="283"/>
  <c r="K29" i="277"/>
  <c r="W63" i="281"/>
  <c r="W124" i="281"/>
  <c r="L65" i="281"/>
  <c r="L126" i="281"/>
  <c r="L127" i="281" s="1"/>
  <c r="W62" i="281"/>
  <c r="W123" i="281"/>
  <c r="X15" i="266"/>
  <c r="X16" i="266" s="1"/>
  <c r="X27" i="266" s="1"/>
  <c r="X10" i="281"/>
  <c r="X11" i="281" s="1"/>
  <c r="X19" i="266"/>
  <c r="X20" i="266" s="1"/>
  <c r="X28" i="266" s="1"/>
  <c r="X82" i="281"/>
  <c r="V39" i="266"/>
  <c r="V41" i="266" s="1"/>
  <c r="V122" i="281" s="1"/>
  <c r="Y4" i="281"/>
  <c r="Y30" i="281"/>
  <c r="X2" i="266"/>
  <c r="X31" i="281"/>
  <c r="X32" i="281" s="1"/>
  <c r="X36" i="281" s="1"/>
  <c r="X14" i="281"/>
  <c r="X16" i="281" s="1"/>
  <c r="X51" i="281"/>
  <c r="X2" i="281"/>
  <c r="W30" i="266"/>
  <c r="W36" i="266" s="1"/>
  <c r="W37" i="266" s="1"/>
  <c r="W40" i="266" s="1"/>
  <c r="U43" i="266"/>
  <c r="U44" i="266" s="1"/>
  <c r="U72" i="281"/>
  <c r="L64" i="281"/>
  <c r="L40" i="281"/>
  <c r="T40" i="277"/>
  <c r="Y26" i="277"/>
  <c r="Y17" i="277"/>
  <c r="Y37" i="277"/>
  <c r="Y4" i="266"/>
  <c r="X2" i="272"/>
  <c r="X29" i="272"/>
  <c r="X30" i="272" s="1"/>
  <c r="X23" i="266" s="1"/>
  <c r="X24" i="266" s="1"/>
  <c r="X29" i="266" s="1"/>
  <c r="Y17" i="272"/>
  <c r="Y18" i="272" s="1"/>
  <c r="Y4" i="272"/>
  <c r="Y21" i="272"/>
  <c r="Y22" i="272" s="1"/>
  <c r="Y25" i="272"/>
  <c r="Y26" i="272" s="1"/>
  <c r="Y55" i="281" s="1"/>
  <c r="Y56" i="281" s="1"/>
  <c r="Y66" i="281" s="1"/>
  <c r="J10" i="258"/>
  <c r="J99" i="46"/>
  <c r="J15" i="258"/>
  <c r="J61" i="260"/>
  <c r="J2" i="277"/>
  <c r="J90" i="46"/>
  <c r="K48" i="44"/>
  <c r="K49" i="44" s="1"/>
  <c r="K90" i="46" s="1"/>
  <c r="K4" i="277"/>
  <c r="Z3" i="272"/>
  <c r="Z3" i="266"/>
  <c r="AA8" i="272"/>
  <c r="AA3" i="281" s="1"/>
  <c r="Z9" i="272"/>
  <c r="Z12" i="272" s="1"/>
  <c r="Z13" i="272" s="1"/>
  <c r="Z106" i="281" s="1"/>
  <c r="Z107" i="281" s="1"/>
  <c r="Z108" i="281" s="1"/>
  <c r="Z111" i="281" s="1"/>
  <c r="Z112" i="281" s="1"/>
  <c r="Z115" i="281" s="1"/>
  <c r="J52" i="46"/>
  <c r="J53" i="46" s="1"/>
  <c r="J72" i="46" s="1"/>
  <c r="J47" i="46"/>
  <c r="J48" i="46" s="1"/>
  <c r="J68" i="46" s="1"/>
  <c r="J57" i="46"/>
  <c r="J58" i="46" s="1"/>
  <c r="J76" i="46" s="1"/>
  <c r="J42" i="46"/>
  <c r="J43" i="46" s="1"/>
  <c r="J64" i="46" s="1"/>
  <c r="J17" i="46"/>
  <c r="J18" i="46" s="1"/>
  <c r="J27" i="46"/>
  <c r="J28" i="46" s="1"/>
  <c r="J22" i="46"/>
  <c r="J23" i="46" s="1"/>
  <c r="J12" i="46"/>
  <c r="J13" i="46" s="1"/>
  <c r="K23" i="44"/>
  <c r="K24" i="44" s="1"/>
  <c r="K9" i="295" s="1"/>
  <c r="K37" i="44"/>
  <c r="K38" i="44" s="1"/>
  <c r="K33" i="44"/>
  <c r="K34" i="44" s="1"/>
  <c r="K13" i="259" s="1"/>
  <c r="K18" i="44"/>
  <c r="K19" i="44" s="1"/>
  <c r="J44" i="265"/>
  <c r="J69" i="260"/>
  <c r="L3" i="265"/>
  <c r="L11" i="44"/>
  <c r="L12" i="44" s="1"/>
  <c r="L4" i="295" s="1"/>
  <c r="J48" i="261"/>
  <c r="J49" i="261" s="1"/>
  <c r="J10" i="265"/>
  <c r="J11" i="265" s="1"/>
  <c r="J14" i="265"/>
  <c r="J89" i="261"/>
  <c r="J81" i="261"/>
  <c r="J2" i="265"/>
  <c r="J16" i="258"/>
  <c r="J24" i="258"/>
  <c r="J25" i="258" s="1"/>
  <c r="J32" i="258" s="1"/>
  <c r="L3" i="258"/>
  <c r="L3" i="261"/>
  <c r="L3" i="260"/>
  <c r="L3" i="259"/>
  <c r="J2" i="261"/>
  <c r="J2" i="260"/>
  <c r="J2" i="259"/>
  <c r="J4" i="258"/>
  <c r="J4" i="259"/>
  <c r="J4" i="260"/>
  <c r="J4" i="261"/>
  <c r="J9" i="257"/>
  <c r="J14" i="257" s="1"/>
  <c r="K11" i="257" s="1"/>
  <c r="J53" i="261"/>
  <c r="J21" i="259"/>
  <c r="J2" i="44"/>
  <c r="J2" i="258"/>
  <c r="J4" i="44"/>
  <c r="J4" i="257"/>
  <c r="J4" i="49"/>
  <c r="J4" i="252"/>
  <c r="J4" i="46"/>
  <c r="J2" i="49"/>
  <c r="J2" i="257"/>
  <c r="J2" i="252"/>
  <c r="J2" i="46"/>
  <c r="L3" i="257"/>
  <c r="L3" i="49"/>
  <c r="L3" i="46"/>
  <c r="L3" i="252"/>
  <c r="L3" i="44"/>
  <c r="M8" i="44"/>
  <c r="M3" i="295" s="1"/>
  <c r="K55" i="295" l="1"/>
  <c r="K31" i="261"/>
  <c r="K2" i="283"/>
  <c r="K2" i="295"/>
  <c r="K25" i="260"/>
  <c r="K26" i="260" s="1"/>
  <c r="K28" i="260" s="1"/>
  <c r="J77" i="260"/>
  <c r="J41" i="260"/>
  <c r="M3" i="277"/>
  <c r="M3" i="283"/>
  <c r="L28" i="44"/>
  <c r="L29" i="44" s="1"/>
  <c r="L25" i="260" s="1"/>
  <c r="L4" i="283"/>
  <c r="K26" i="252"/>
  <c r="K17" i="283"/>
  <c r="K8" i="283"/>
  <c r="K11" i="283" s="1"/>
  <c r="J27" i="265"/>
  <c r="J31" i="260"/>
  <c r="L67" i="281"/>
  <c r="L73" i="281" s="1"/>
  <c r="L74" i="281" s="1"/>
  <c r="L94" i="281" s="1"/>
  <c r="X63" i="281"/>
  <c r="X124" i="281"/>
  <c r="X62" i="281"/>
  <c r="X123" i="281"/>
  <c r="U40" i="277"/>
  <c r="V43" i="266"/>
  <c r="V44" i="266" s="1"/>
  <c r="V72" i="281"/>
  <c r="Y15" i="266"/>
  <c r="Y16" i="266" s="1"/>
  <c r="Y27" i="266" s="1"/>
  <c r="Y10" i="281"/>
  <c r="Y11" i="281" s="1"/>
  <c r="Y2" i="266"/>
  <c r="Y51" i="281"/>
  <c r="Y2" i="281"/>
  <c r="Y14" i="281"/>
  <c r="Y16" i="281" s="1"/>
  <c r="Y31" i="281"/>
  <c r="Y32" i="281" s="1"/>
  <c r="Y36" i="281" s="1"/>
  <c r="W39" i="266"/>
  <c r="W41" i="266" s="1"/>
  <c r="W122" i="281" s="1"/>
  <c r="Z30" i="281"/>
  <c r="Z4" i="281"/>
  <c r="X30" i="266"/>
  <c r="X36" i="266" s="1"/>
  <c r="X37" i="266" s="1"/>
  <c r="X40" i="266" s="1"/>
  <c r="Y19" i="266"/>
  <c r="Y20" i="266" s="1"/>
  <c r="Y28" i="266" s="1"/>
  <c r="Y82" i="281"/>
  <c r="Z17" i="277"/>
  <c r="Z4" i="266"/>
  <c r="Z37" i="277"/>
  <c r="Z26" i="277"/>
  <c r="Y2" i="272"/>
  <c r="Y29" i="272"/>
  <c r="Y30" i="272" s="1"/>
  <c r="Y23" i="266" s="1"/>
  <c r="Y24" i="266" s="1"/>
  <c r="Y29" i="266" s="1"/>
  <c r="Z17" i="272"/>
  <c r="Z18" i="272" s="1"/>
  <c r="Z4" i="272"/>
  <c r="Z25" i="272"/>
  <c r="Z26" i="272" s="1"/>
  <c r="Z55" i="281" s="1"/>
  <c r="Z56" i="281" s="1"/>
  <c r="Z66" i="281" s="1"/>
  <c r="Z21" i="272"/>
  <c r="Z22" i="272" s="1"/>
  <c r="J17" i="258"/>
  <c r="J31" i="258" s="1"/>
  <c r="K10" i="258"/>
  <c r="K15" i="258"/>
  <c r="K23" i="258"/>
  <c r="K99" i="46"/>
  <c r="J50" i="261"/>
  <c r="J58" i="49" s="1"/>
  <c r="J12" i="277"/>
  <c r="K61" i="260"/>
  <c r="K2" i="277"/>
  <c r="L48" i="44"/>
  <c r="L49" i="44" s="1"/>
  <c r="L15" i="258" s="1"/>
  <c r="L4" i="277"/>
  <c r="AA3" i="272"/>
  <c r="AA3" i="266"/>
  <c r="AB8" i="272"/>
  <c r="AB3" i="281" s="1"/>
  <c r="AA9" i="272"/>
  <c r="AA12" i="272" s="1"/>
  <c r="AA13" i="272" s="1"/>
  <c r="AA106" i="281" s="1"/>
  <c r="AA107" i="281" s="1"/>
  <c r="AA108" i="281" s="1"/>
  <c r="AA111" i="281" s="1"/>
  <c r="AA112" i="281" s="1"/>
  <c r="AA115" i="281" s="1"/>
  <c r="J71" i="46"/>
  <c r="J73" i="46" s="1"/>
  <c r="J33" i="46"/>
  <c r="J34" i="46"/>
  <c r="J75" i="46"/>
  <c r="J77" i="46" s="1"/>
  <c r="K22" i="46"/>
  <c r="K23" i="46" s="1"/>
  <c r="K57" i="46"/>
  <c r="K58" i="46" s="1"/>
  <c r="K76" i="46" s="1"/>
  <c r="K42" i="46"/>
  <c r="K43" i="46" s="1"/>
  <c r="K64" i="46" s="1"/>
  <c r="K12" i="46"/>
  <c r="K13" i="46" s="1"/>
  <c r="K52" i="46"/>
  <c r="K53" i="46" s="1"/>
  <c r="K72" i="46" s="1"/>
  <c r="K47" i="46"/>
  <c r="K48" i="46" s="1"/>
  <c r="K68" i="46" s="1"/>
  <c r="K27" i="46"/>
  <c r="K28" i="46" s="1"/>
  <c r="K17" i="46"/>
  <c r="K18" i="46" s="1"/>
  <c r="J63" i="46"/>
  <c r="J65" i="46" s="1"/>
  <c r="J31" i="46"/>
  <c r="J67" i="46"/>
  <c r="J69" i="46" s="1"/>
  <c r="J32" i="46"/>
  <c r="L37" i="44"/>
  <c r="L38" i="44" s="1"/>
  <c r="L48" i="261" s="1"/>
  <c r="L33" i="44"/>
  <c r="L34" i="44" s="1"/>
  <c r="L13" i="259" s="1"/>
  <c r="L18" i="44"/>
  <c r="L19" i="44" s="1"/>
  <c r="L23" i="44"/>
  <c r="L24" i="44" s="1"/>
  <c r="L9" i="295" s="1"/>
  <c r="K44" i="265"/>
  <c r="K69" i="260"/>
  <c r="J57" i="261"/>
  <c r="J58" i="261" s="1"/>
  <c r="M3" i="265"/>
  <c r="M11" i="44"/>
  <c r="M12" i="44" s="1"/>
  <c r="M4" i="295" s="1"/>
  <c r="K48" i="261"/>
  <c r="K10" i="265"/>
  <c r="J26" i="265"/>
  <c r="J18" i="265"/>
  <c r="J19" i="265" s="1"/>
  <c r="K16" i="265" s="1"/>
  <c r="K9" i="265" s="1"/>
  <c r="K81" i="261"/>
  <c r="K89" i="261"/>
  <c r="K16" i="258"/>
  <c r="K24" i="258"/>
  <c r="K4" i="44"/>
  <c r="K4" i="265"/>
  <c r="K4" i="49"/>
  <c r="K14" i="265"/>
  <c r="K2" i="261"/>
  <c r="K2" i="265"/>
  <c r="K4" i="252"/>
  <c r="K2" i="46"/>
  <c r="K2" i="252"/>
  <c r="K2" i="49"/>
  <c r="K2" i="257"/>
  <c r="K9" i="257"/>
  <c r="K14" i="257" s="1"/>
  <c r="L11" i="257" s="1"/>
  <c r="K2" i="258"/>
  <c r="K2" i="259"/>
  <c r="K2" i="44"/>
  <c r="K2" i="260"/>
  <c r="M3" i="258"/>
  <c r="M3" i="260"/>
  <c r="M3" i="261"/>
  <c r="M3" i="259"/>
  <c r="K4" i="258"/>
  <c r="K4" i="261"/>
  <c r="K4" i="260"/>
  <c r="K4" i="259"/>
  <c r="K53" i="261"/>
  <c r="K21" i="259"/>
  <c r="K4" i="46"/>
  <c r="K4" i="257"/>
  <c r="M3" i="49"/>
  <c r="M3" i="257"/>
  <c r="M3" i="252"/>
  <c r="M3" i="46"/>
  <c r="N8" i="44"/>
  <c r="N3" i="295" s="1"/>
  <c r="M3" i="44"/>
  <c r="L4" i="265"/>
  <c r="L55" i="295" l="1"/>
  <c r="L31" i="261"/>
  <c r="L2" i="283"/>
  <c r="L2" i="295"/>
  <c r="N3" i="277"/>
  <c r="N3" i="283"/>
  <c r="L26" i="252"/>
  <c r="L8" i="283"/>
  <c r="L11" i="283" s="1"/>
  <c r="L17" i="283"/>
  <c r="L8" i="260"/>
  <c r="L11" i="260" s="1"/>
  <c r="L19" i="260" s="1"/>
  <c r="L21" i="260" s="1"/>
  <c r="L24" i="260" s="1"/>
  <c r="L26" i="260" s="1"/>
  <c r="L28" i="260" s="1"/>
  <c r="M28" i="44"/>
  <c r="M29" i="44" s="1"/>
  <c r="M8" i="260" s="1"/>
  <c r="M11" i="260" s="1"/>
  <c r="M19" i="260" s="1"/>
  <c r="M21" i="260" s="1"/>
  <c r="M24" i="260" s="1"/>
  <c r="M4" i="283"/>
  <c r="L77" i="281"/>
  <c r="L78" i="281" s="1"/>
  <c r="L81" i="281" s="1"/>
  <c r="L83" i="281" s="1"/>
  <c r="J13" i="49"/>
  <c r="J45" i="49"/>
  <c r="Y62" i="281"/>
  <c r="Y123" i="281"/>
  <c r="Y63" i="281"/>
  <c r="Y124" i="281"/>
  <c r="Y30" i="266"/>
  <c r="Y36" i="266" s="1"/>
  <c r="Y37" i="266" s="1"/>
  <c r="Y40" i="266" s="1"/>
  <c r="Z2" i="266"/>
  <c r="Z31" i="281"/>
  <c r="Z32" i="281" s="1"/>
  <c r="Z36" i="281" s="1"/>
  <c r="Z14" i="281"/>
  <c r="Z16" i="281" s="1"/>
  <c r="Z2" i="281"/>
  <c r="Z51" i="281"/>
  <c r="X39" i="266"/>
  <c r="X41" i="266" s="1"/>
  <c r="X122" i="281" s="1"/>
  <c r="W43" i="266"/>
  <c r="W44" i="266" s="1"/>
  <c r="W72" i="281"/>
  <c r="AA30" i="281"/>
  <c r="AA4" i="281"/>
  <c r="Z15" i="266"/>
  <c r="Z16" i="266" s="1"/>
  <c r="Z27" i="266" s="1"/>
  <c r="Z10" i="281"/>
  <c r="Z11" i="281" s="1"/>
  <c r="Z19" i="266"/>
  <c r="Z20" i="266" s="1"/>
  <c r="Z28" i="266" s="1"/>
  <c r="Z82" i="281"/>
  <c r="V40" i="277"/>
  <c r="AA17" i="277"/>
  <c r="AA37" i="277"/>
  <c r="AA26" i="277"/>
  <c r="AA4" i="266"/>
  <c r="Z2" i="272"/>
  <c r="Z29" i="272"/>
  <c r="Z30" i="272" s="1"/>
  <c r="Z23" i="266" s="1"/>
  <c r="Z24" i="266" s="1"/>
  <c r="Z29" i="266" s="1"/>
  <c r="AA17" i="272"/>
  <c r="AA18" i="272" s="1"/>
  <c r="AA21" i="272"/>
  <c r="AA22" i="272" s="1"/>
  <c r="AA25" i="272"/>
  <c r="AA26" i="272" s="1"/>
  <c r="AA55" i="281" s="1"/>
  <c r="AA56" i="281" s="1"/>
  <c r="AA66" i="281" s="1"/>
  <c r="AA4" i="272"/>
  <c r="K25" i="258"/>
  <c r="K32" i="258" s="1"/>
  <c r="K17" i="258"/>
  <c r="K31" i="258" s="1"/>
  <c r="L90" i="46"/>
  <c r="L23" i="258"/>
  <c r="L99" i="46"/>
  <c r="L10" i="258"/>
  <c r="L61" i="260"/>
  <c r="L2" i="277"/>
  <c r="M48" i="44"/>
  <c r="M49" i="44" s="1"/>
  <c r="M23" i="258" s="1"/>
  <c r="M4" i="277"/>
  <c r="AB3" i="272"/>
  <c r="AB3" i="266"/>
  <c r="AC8" i="272"/>
  <c r="AC3" i="281" s="1"/>
  <c r="AB9" i="272"/>
  <c r="AB12" i="272" s="1"/>
  <c r="AB13" i="272" s="1"/>
  <c r="AB106" i="281" s="1"/>
  <c r="AB107" i="281" s="1"/>
  <c r="AB108" i="281" s="1"/>
  <c r="AB111" i="281" s="1"/>
  <c r="AB112" i="281" s="1"/>
  <c r="AB115" i="281" s="1"/>
  <c r="J83" i="46"/>
  <c r="L2" i="44"/>
  <c r="L57" i="46"/>
  <c r="L58" i="46" s="1"/>
  <c r="L76" i="46" s="1"/>
  <c r="L17" i="46"/>
  <c r="L18" i="46" s="1"/>
  <c r="L52" i="46"/>
  <c r="L53" i="46" s="1"/>
  <c r="L72" i="46" s="1"/>
  <c r="L47" i="46"/>
  <c r="L48" i="46" s="1"/>
  <c r="L68" i="46" s="1"/>
  <c r="L42" i="46"/>
  <c r="L43" i="46" s="1"/>
  <c r="L64" i="46" s="1"/>
  <c r="L27" i="46"/>
  <c r="L28" i="46" s="1"/>
  <c r="L12" i="46"/>
  <c r="L13" i="46" s="1"/>
  <c r="L22" i="46"/>
  <c r="L23" i="46" s="1"/>
  <c r="K67" i="46"/>
  <c r="K69" i="46" s="1"/>
  <c r="K81" i="46" s="1"/>
  <c r="K32" i="46"/>
  <c r="K75" i="46"/>
  <c r="K77" i="46" s="1"/>
  <c r="K83" i="46" s="1"/>
  <c r="K34" i="46"/>
  <c r="J81" i="46"/>
  <c r="K31" i="46"/>
  <c r="K63" i="46"/>
  <c r="K65" i="46" s="1"/>
  <c r="K80" i="46" s="1"/>
  <c r="J35" i="46"/>
  <c r="J82" i="46"/>
  <c r="J80" i="46"/>
  <c r="K33" i="46"/>
  <c r="K71" i="46"/>
  <c r="K73" i="46" s="1"/>
  <c r="K82" i="46" s="1"/>
  <c r="M37" i="44"/>
  <c r="M38" i="44" s="1"/>
  <c r="M33" i="44"/>
  <c r="M34" i="44" s="1"/>
  <c r="M13" i="259" s="1"/>
  <c r="M23" i="44"/>
  <c r="M24" i="44" s="1"/>
  <c r="M9" i="295" s="1"/>
  <c r="M18" i="44"/>
  <c r="M19" i="44" s="1"/>
  <c r="L10" i="265"/>
  <c r="L44" i="265"/>
  <c r="L69" i="260"/>
  <c r="N3" i="265"/>
  <c r="N11" i="44"/>
  <c r="N12" i="44" s="1"/>
  <c r="N4" i="295" s="1"/>
  <c r="K11" i="265"/>
  <c r="K18" i="265" s="1"/>
  <c r="K19" i="265" s="1"/>
  <c r="L16" i="265" s="1"/>
  <c r="L9" i="265" s="1"/>
  <c r="L14" i="265"/>
  <c r="L81" i="261"/>
  <c r="L89" i="261"/>
  <c r="K55" i="261"/>
  <c r="K47" i="261" s="1"/>
  <c r="K49" i="261" s="1"/>
  <c r="K12" i="277" s="1"/>
  <c r="J31" i="49"/>
  <c r="L2" i="257"/>
  <c r="L2" i="258"/>
  <c r="L2" i="252"/>
  <c r="L2" i="46"/>
  <c r="L2" i="259"/>
  <c r="L24" i="258"/>
  <c r="L2" i="49"/>
  <c r="L2" i="260"/>
  <c r="L16" i="258"/>
  <c r="L17" i="258" s="1"/>
  <c r="L31" i="258" s="1"/>
  <c r="L2" i="261"/>
  <c r="L2" i="265"/>
  <c r="L4" i="258"/>
  <c r="L4" i="261"/>
  <c r="L4" i="260"/>
  <c r="L4" i="259"/>
  <c r="L9" i="257"/>
  <c r="L14" i="257" s="1"/>
  <c r="M11" i="257" s="1"/>
  <c r="L53" i="261"/>
  <c r="L21" i="259"/>
  <c r="N3" i="258"/>
  <c r="N3" i="261"/>
  <c r="N3" i="260"/>
  <c r="N3" i="259"/>
  <c r="M4" i="265"/>
  <c r="L4" i="44"/>
  <c r="L4" i="257"/>
  <c r="L4" i="46"/>
  <c r="L4" i="252"/>
  <c r="L4" i="49"/>
  <c r="N3" i="257"/>
  <c r="N3" i="252"/>
  <c r="N3" i="46"/>
  <c r="N3" i="49"/>
  <c r="N3" i="44"/>
  <c r="O8" i="44"/>
  <c r="O3" i="295" s="1"/>
  <c r="M55" i="295" l="1"/>
  <c r="M31" i="261"/>
  <c r="M2" i="283"/>
  <c r="M2" i="295"/>
  <c r="M25" i="260"/>
  <c r="M26" i="260" s="1"/>
  <c r="M28" i="260" s="1"/>
  <c r="N28" i="44"/>
  <c r="N29" i="44" s="1"/>
  <c r="N25" i="260" s="1"/>
  <c r="N4" i="283"/>
  <c r="O3" i="277"/>
  <c r="O3" i="283"/>
  <c r="M26" i="252"/>
  <c r="M17" i="283"/>
  <c r="M8" i="283"/>
  <c r="M11" i="283" s="1"/>
  <c r="L87" i="281"/>
  <c r="L95" i="281"/>
  <c r="L96" i="281" s="1"/>
  <c r="Y39" i="266"/>
  <c r="Y41" i="266" s="1"/>
  <c r="Y122" i="281" s="1"/>
  <c r="Z62" i="281"/>
  <c r="Z123" i="281"/>
  <c r="Z63" i="281"/>
  <c r="Z124" i="281"/>
  <c r="Z30" i="266"/>
  <c r="Z36" i="266" s="1"/>
  <c r="Z37" i="266" s="1"/>
  <c r="Z40" i="266" s="1"/>
  <c r="L88" i="281"/>
  <c r="AB30" i="281"/>
  <c r="AB4" i="281"/>
  <c r="AA15" i="266"/>
  <c r="AA16" i="266" s="1"/>
  <c r="AA27" i="266" s="1"/>
  <c r="AA10" i="281"/>
  <c r="AA11" i="281" s="1"/>
  <c r="X43" i="266"/>
  <c r="X44" i="266" s="1"/>
  <c r="X72" i="281"/>
  <c r="AA2" i="266"/>
  <c r="AA51" i="281"/>
  <c r="AA2" i="281"/>
  <c r="AA31" i="281"/>
  <c r="AA32" i="281" s="1"/>
  <c r="AA36" i="281" s="1"/>
  <c r="AA14" i="281"/>
  <c r="AA16" i="281" s="1"/>
  <c r="W40" i="277"/>
  <c r="AA19" i="266"/>
  <c r="AA20" i="266" s="1"/>
  <c r="AA28" i="266" s="1"/>
  <c r="AA82" i="281"/>
  <c r="AB17" i="277"/>
  <c r="AB26" i="277"/>
  <c r="AB37" i="277"/>
  <c r="AB4" i="266"/>
  <c r="AA2" i="272"/>
  <c r="AA29" i="272"/>
  <c r="AA30" i="272" s="1"/>
  <c r="AA23" i="266" s="1"/>
  <c r="AA24" i="266" s="1"/>
  <c r="AA29" i="266" s="1"/>
  <c r="AB17" i="272"/>
  <c r="AB18" i="272" s="1"/>
  <c r="AB21" i="272"/>
  <c r="AB22" i="272" s="1"/>
  <c r="AB4" i="272"/>
  <c r="AB25" i="272"/>
  <c r="AB26" i="272" s="1"/>
  <c r="AB55" i="281" s="1"/>
  <c r="AB56" i="281" s="1"/>
  <c r="AB66" i="281" s="1"/>
  <c r="M10" i="258"/>
  <c r="L25" i="258"/>
  <c r="L32" i="258" s="1"/>
  <c r="M99" i="46"/>
  <c r="M15" i="258"/>
  <c r="M90" i="46"/>
  <c r="N48" i="44"/>
  <c r="N49" i="44" s="1"/>
  <c r="N90" i="46" s="1"/>
  <c r="N4" i="277"/>
  <c r="M61" i="260"/>
  <c r="M2" i="277"/>
  <c r="AC3" i="272"/>
  <c r="AC3" i="266"/>
  <c r="AC9" i="272"/>
  <c r="AC12" i="272" s="1"/>
  <c r="AC13" i="272" s="1"/>
  <c r="AC106" i="281" s="1"/>
  <c r="AC107" i="281" s="1"/>
  <c r="AC108" i="281" s="1"/>
  <c r="AC111" i="281" s="1"/>
  <c r="AC112" i="281" s="1"/>
  <c r="AC115" i="281" s="1"/>
  <c r="AD8" i="272"/>
  <c r="AD3" i="281" s="1"/>
  <c r="J84" i="46"/>
  <c r="J91" i="46" s="1"/>
  <c r="J92" i="46" s="1"/>
  <c r="J111" i="46" s="1"/>
  <c r="K84" i="46"/>
  <c r="K91" i="46" s="1"/>
  <c r="K92" i="46" s="1"/>
  <c r="K111" i="46" s="1"/>
  <c r="L75" i="46"/>
  <c r="L77" i="46" s="1"/>
  <c r="L34" i="46"/>
  <c r="M47" i="46"/>
  <c r="M48" i="46" s="1"/>
  <c r="M68" i="46" s="1"/>
  <c r="M42" i="46"/>
  <c r="M43" i="46" s="1"/>
  <c r="M64" i="46" s="1"/>
  <c r="M52" i="46"/>
  <c r="M53" i="46" s="1"/>
  <c r="M72" i="46" s="1"/>
  <c r="M57" i="46"/>
  <c r="M58" i="46" s="1"/>
  <c r="M76" i="46" s="1"/>
  <c r="M27" i="46"/>
  <c r="M28" i="46" s="1"/>
  <c r="M22" i="46"/>
  <c r="M23" i="46" s="1"/>
  <c r="M12" i="46"/>
  <c r="M13" i="46" s="1"/>
  <c r="M17" i="46"/>
  <c r="M18" i="46" s="1"/>
  <c r="K35" i="46"/>
  <c r="K9" i="258" s="1"/>
  <c r="K11" i="258" s="1"/>
  <c r="K30" i="258" s="1"/>
  <c r="K33" i="258" s="1"/>
  <c r="K25" i="265" s="1"/>
  <c r="L33" i="46"/>
  <c r="L71" i="46"/>
  <c r="L73" i="46" s="1"/>
  <c r="L63" i="46"/>
  <c r="L65" i="46" s="1"/>
  <c r="L31" i="46"/>
  <c r="J9" i="258"/>
  <c r="J11" i="258" s="1"/>
  <c r="J30" i="258" s="1"/>
  <c r="J33" i="258" s="1"/>
  <c r="L67" i="46"/>
  <c r="L69" i="46" s="1"/>
  <c r="L32" i="46"/>
  <c r="L11" i="265"/>
  <c r="L26" i="265" s="1"/>
  <c r="N18" i="44"/>
  <c r="N19" i="44" s="1"/>
  <c r="N37" i="44"/>
  <c r="N38" i="44" s="1"/>
  <c r="N33" i="44"/>
  <c r="N34" i="44" s="1"/>
  <c r="N13" i="259" s="1"/>
  <c r="N23" i="44"/>
  <c r="N24" i="44" s="1"/>
  <c r="N9" i="295" s="1"/>
  <c r="M44" i="265"/>
  <c r="M69" i="260"/>
  <c r="K26" i="265"/>
  <c r="O3" i="265"/>
  <c r="O11" i="44"/>
  <c r="O12" i="44" s="1"/>
  <c r="O4" i="295" s="1"/>
  <c r="M48" i="261"/>
  <c r="M10" i="265"/>
  <c r="M14" i="265"/>
  <c r="M89" i="261"/>
  <c r="M81" i="261"/>
  <c r="K50" i="261"/>
  <c r="K58" i="49" s="1"/>
  <c r="K57" i="261"/>
  <c r="K58" i="261" s="1"/>
  <c r="N4" i="265"/>
  <c r="M24" i="258"/>
  <c r="M25" i="258" s="1"/>
  <c r="M32" i="258" s="1"/>
  <c r="M16" i="258"/>
  <c r="M2" i="252"/>
  <c r="M2" i="265"/>
  <c r="M9" i="257"/>
  <c r="M14" i="257" s="1"/>
  <c r="N11" i="257" s="1"/>
  <c r="M53" i="261"/>
  <c r="M21" i="259"/>
  <c r="M4" i="258"/>
  <c r="M4" i="261"/>
  <c r="M4" i="259"/>
  <c r="M4" i="260"/>
  <c r="M2" i="257"/>
  <c r="M2" i="261"/>
  <c r="M2" i="259"/>
  <c r="M2" i="260"/>
  <c r="O3" i="258"/>
  <c r="O3" i="261"/>
  <c r="O3" i="260"/>
  <c r="O3" i="259"/>
  <c r="M2" i="258"/>
  <c r="M2" i="44"/>
  <c r="M2" i="49"/>
  <c r="M4" i="252"/>
  <c r="M2" i="46"/>
  <c r="M4" i="46"/>
  <c r="M4" i="49"/>
  <c r="M4" i="257"/>
  <c r="M4" i="44"/>
  <c r="O3" i="46"/>
  <c r="O3" i="257"/>
  <c r="O3" i="49"/>
  <c r="O3" i="252"/>
  <c r="O3" i="44"/>
  <c r="P8" i="44"/>
  <c r="P3" i="295" s="1"/>
  <c r="N55" i="295" l="1"/>
  <c r="N31" i="261"/>
  <c r="N2" i="283"/>
  <c r="N2" i="295"/>
  <c r="N8" i="260"/>
  <c r="N11" i="260" s="1"/>
  <c r="N19" i="260" s="1"/>
  <c r="N21" i="260" s="1"/>
  <c r="N24" i="260" s="1"/>
  <c r="N26" i="260" s="1"/>
  <c r="N28" i="260" s="1"/>
  <c r="O28" i="44"/>
  <c r="O29" i="44" s="1"/>
  <c r="O8" i="260" s="1"/>
  <c r="O11" i="260" s="1"/>
  <c r="O19" i="260" s="1"/>
  <c r="O21" i="260" s="1"/>
  <c r="O24" i="260" s="1"/>
  <c r="O4" i="283"/>
  <c r="N26" i="252"/>
  <c r="N8" i="283"/>
  <c r="N11" i="283" s="1"/>
  <c r="N17" i="283"/>
  <c r="P3" i="277"/>
  <c r="P3" i="283"/>
  <c r="L89" i="281"/>
  <c r="M86" i="281" s="1"/>
  <c r="M80" i="281" s="1"/>
  <c r="L99" i="281"/>
  <c r="L100" i="281" s="1"/>
  <c r="L20" i="277" s="1"/>
  <c r="L114" i="281"/>
  <c r="L116" i="281" s="1"/>
  <c r="Z39" i="266"/>
  <c r="Z41" i="266" s="1"/>
  <c r="AA62" i="281"/>
  <c r="AA123" i="281"/>
  <c r="AA63" i="281"/>
  <c r="AA124" i="281"/>
  <c r="AA30" i="266"/>
  <c r="AA36" i="266" s="1"/>
  <c r="AA37" i="266" s="1"/>
  <c r="AA40" i="266" s="1"/>
  <c r="AB15" i="266"/>
  <c r="AB16" i="266" s="1"/>
  <c r="AB27" i="266" s="1"/>
  <c r="AB10" i="281"/>
  <c r="AB11" i="281" s="1"/>
  <c r="AC30" i="281"/>
  <c r="AC4" i="281"/>
  <c r="AB2" i="266"/>
  <c r="AB51" i="281"/>
  <c r="AB31" i="281"/>
  <c r="AB32" i="281" s="1"/>
  <c r="AB36" i="281" s="1"/>
  <c r="AB14" i="281"/>
  <c r="AB16" i="281" s="1"/>
  <c r="AB2" i="281"/>
  <c r="Y43" i="266"/>
  <c r="Y44" i="266" s="1"/>
  <c r="Y72" i="281"/>
  <c r="X40" i="277"/>
  <c r="AB19" i="266"/>
  <c r="AB20" i="266" s="1"/>
  <c r="AB28" i="266" s="1"/>
  <c r="AB82" i="281"/>
  <c r="AC17" i="277"/>
  <c r="AC26" i="277"/>
  <c r="AC37" i="277"/>
  <c r="AC4" i="266"/>
  <c r="AB2" i="272"/>
  <c r="AB29" i="272"/>
  <c r="AB30" i="272" s="1"/>
  <c r="AB23" i="266" s="1"/>
  <c r="AB24" i="266" s="1"/>
  <c r="AB29" i="266" s="1"/>
  <c r="AC17" i="272"/>
  <c r="AC18" i="272" s="1"/>
  <c r="AC4" i="272"/>
  <c r="AC25" i="272"/>
  <c r="AC26" i="272" s="1"/>
  <c r="AC55" i="281" s="1"/>
  <c r="AC56" i="281" s="1"/>
  <c r="AC66" i="281" s="1"/>
  <c r="AC21" i="272"/>
  <c r="AC22" i="272" s="1"/>
  <c r="N23" i="258"/>
  <c r="N15" i="258"/>
  <c r="N99" i="46"/>
  <c r="N10" i="258"/>
  <c r="M17" i="258"/>
  <c r="M31" i="258" s="1"/>
  <c r="N61" i="260"/>
  <c r="N2" i="277"/>
  <c r="O48" i="44"/>
  <c r="O49" i="44" s="1"/>
  <c r="O15" i="258" s="1"/>
  <c r="O4" i="277"/>
  <c r="AD3" i="272"/>
  <c r="AD3" i="266"/>
  <c r="AE8" i="272"/>
  <c r="AE3" i="281" s="1"/>
  <c r="AD9" i="272"/>
  <c r="AD12" i="272" s="1"/>
  <c r="AD13" i="272" s="1"/>
  <c r="AD106" i="281" s="1"/>
  <c r="AD107" i="281" s="1"/>
  <c r="AD108" i="281" s="1"/>
  <c r="AD111" i="281" s="1"/>
  <c r="AD112" i="281" s="1"/>
  <c r="AD115" i="281" s="1"/>
  <c r="K34" i="258"/>
  <c r="K9" i="49" s="1"/>
  <c r="L35" i="46"/>
  <c r="L9" i="258" s="1"/>
  <c r="L11" i="258" s="1"/>
  <c r="L30" i="258" s="1"/>
  <c r="L33" i="258" s="1"/>
  <c r="L25" i="265" s="1"/>
  <c r="J100" i="46"/>
  <c r="J101" i="46" s="1"/>
  <c r="J112" i="46" s="1"/>
  <c r="J114" i="46" s="1"/>
  <c r="J24" i="265" s="1"/>
  <c r="K100" i="46"/>
  <c r="K101" i="46" s="1"/>
  <c r="K112" i="46" s="1"/>
  <c r="K114" i="46" s="1"/>
  <c r="M75" i="46"/>
  <c r="M77" i="46" s="1"/>
  <c r="M83" i="46" s="1"/>
  <c r="M34" i="46"/>
  <c r="L80" i="46"/>
  <c r="N17" i="46"/>
  <c r="N18" i="46" s="1"/>
  <c r="N27" i="46"/>
  <c r="N28" i="46" s="1"/>
  <c r="N52" i="46"/>
  <c r="N53" i="46" s="1"/>
  <c r="N72" i="46" s="1"/>
  <c r="N47" i="46"/>
  <c r="N48" i="46" s="1"/>
  <c r="N68" i="46" s="1"/>
  <c r="N42" i="46"/>
  <c r="N43" i="46" s="1"/>
  <c r="N64" i="46" s="1"/>
  <c r="N22" i="46"/>
  <c r="N23" i="46" s="1"/>
  <c r="N57" i="46"/>
  <c r="N58" i="46" s="1"/>
  <c r="N76" i="46" s="1"/>
  <c r="N12" i="46"/>
  <c r="N13" i="46" s="1"/>
  <c r="L81" i="46"/>
  <c r="M67" i="46"/>
  <c r="M69" i="46" s="1"/>
  <c r="M81" i="46" s="1"/>
  <c r="M32" i="46"/>
  <c r="J25" i="265"/>
  <c r="J34" i="258"/>
  <c r="J9" i="49" s="1"/>
  <c r="M31" i="46"/>
  <c r="M63" i="46"/>
  <c r="M65" i="46" s="1"/>
  <c r="M80" i="46" s="1"/>
  <c r="L82" i="46"/>
  <c r="M71" i="46"/>
  <c r="M73" i="46" s="1"/>
  <c r="M82" i="46" s="1"/>
  <c r="M33" i="46"/>
  <c r="L83" i="46"/>
  <c r="L18" i="265"/>
  <c r="L19" i="265" s="1"/>
  <c r="M16" i="265" s="1"/>
  <c r="M9" i="265" s="1"/>
  <c r="M11" i="265" s="1"/>
  <c r="L55" i="261"/>
  <c r="L47" i="261" s="1"/>
  <c r="L49" i="261" s="1"/>
  <c r="L12" i="277" s="1"/>
  <c r="K31" i="49"/>
  <c r="N48" i="261"/>
  <c r="N10" i="265"/>
  <c r="O23" i="44"/>
  <c r="O24" i="44" s="1"/>
  <c r="O9" i="295" s="1"/>
  <c r="O33" i="44"/>
  <c r="O34" i="44" s="1"/>
  <c r="O13" i="259" s="1"/>
  <c r="O37" i="44"/>
  <c r="O38" i="44" s="1"/>
  <c r="O18" i="44"/>
  <c r="O19" i="44" s="1"/>
  <c r="N44" i="265"/>
  <c r="N69" i="260"/>
  <c r="P3" i="265"/>
  <c r="P11" i="44"/>
  <c r="P12" i="44" s="1"/>
  <c r="P4" i="295" s="1"/>
  <c r="N14" i="265"/>
  <c r="N81" i="261"/>
  <c r="N89" i="261"/>
  <c r="N4" i="258"/>
  <c r="N4" i="252"/>
  <c r="N4" i="44"/>
  <c r="N4" i="257"/>
  <c r="N4" i="49"/>
  <c r="N4" i="260"/>
  <c r="N4" i="46"/>
  <c r="N4" i="261"/>
  <c r="N4" i="259"/>
  <c r="N2" i="265"/>
  <c r="N24" i="258"/>
  <c r="N16" i="258"/>
  <c r="P3" i="258"/>
  <c r="P3" i="261"/>
  <c r="P3" i="259"/>
  <c r="P3" i="260"/>
  <c r="N2" i="260"/>
  <c r="N2" i="259"/>
  <c r="N2" i="261"/>
  <c r="N9" i="257"/>
  <c r="N14" i="257" s="1"/>
  <c r="O11" i="257" s="1"/>
  <c r="N53" i="261"/>
  <c r="N21" i="259"/>
  <c r="N2" i="258"/>
  <c r="N2" i="44"/>
  <c r="N2" i="257"/>
  <c r="N2" i="252"/>
  <c r="N2" i="46"/>
  <c r="N2" i="49"/>
  <c r="P3" i="257"/>
  <c r="P3" i="49"/>
  <c r="P3" i="252"/>
  <c r="P3" i="46"/>
  <c r="Q8" i="44"/>
  <c r="Q3" i="295" s="1"/>
  <c r="P3" i="44"/>
  <c r="O4" i="265"/>
  <c r="O55" i="295" l="1"/>
  <c r="O31" i="261"/>
  <c r="O2" i="283"/>
  <c r="O2" i="295"/>
  <c r="O25" i="260"/>
  <c r="O26" i="260" s="1"/>
  <c r="O28" i="260" s="1"/>
  <c r="M46" i="281"/>
  <c r="M47" i="281" s="1"/>
  <c r="M50" i="281" s="1"/>
  <c r="M52" i="281" s="1"/>
  <c r="M126" i="281" s="1"/>
  <c r="M35" i="281"/>
  <c r="M37" i="281" s="1"/>
  <c r="M125" i="281" s="1"/>
  <c r="Q3" i="277"/>
  <c r="Q3" i="283"/>
  <c r="P28" i="44"/>
  <c r="P29" i="44" s="1"/>
  <c r="P8" i="260" s="1"/>
  <c r="P11" i="260" s="1"/>
  <c r="P4" i="283"/>
  <c r="O26" i="252"/>
  <c r="O17" i="283"/>
  <c r="O8" i="283"/>
  <c r="L29" i="277"/>
  <c r="AB30" i="266"/>
  <c r="AB36" i="266" s="1"/>
  <c r="AB37" i="266" s="1"/>
  <c r="AB40" i="266" s="1"/>
  <c r="AA39" i="266"/>
  <c r="AA41" i="266" s="1"/>
  <c r="AA122" i="281" s="1"/>
  <c r="Z122" i="281"/>
  <c r="Z43" i="266"/>
  <c r="Z44" i="266" s="1"/>
  <c r="Z72" i="281"/>
  <c r="AB62" i="281"/>
  <c r="AB123" i="281"/>
  <c r="AB63" i="281"/>
  <c r="AB124" i="281"/>
  <c r="Y40" i="277"/>
  <c r="AC15" i="266"/>
  <c r="AC16" i="266" s="1"/>
  <c r="AC27" i="266" s="1"/>
  <c r="AC10" i="281"/>
  <c r="AC11" i="281" s="1"/>
  <c r="AC19" i="266"/>
  <c r="AC20" i="266" s="1"/>
  <c r="AC28" i="266" s="1"/>
  <c r="AC82" i="281"/>
  <c r="AD4" i="281"/>
  <c r="AD30" i="281"/>
  <c r="AC2" i="266"/>
  <c r="AC31" i="281"/>
  <c r="AC32" i="281" s="1"/>
  <c r="AC36" i="281" s="1"/>
  <c r="AC14" i="281"/>
  <c r="AC16" i="281" s="1"/>
  <c r="AC2" i="281"/>
  <c r="AC51" i="281"/>
  <c r="AD17" i="277"/>
  <c r="AD37" i="277"/>
  <c r="AD26" i="277"/>
  <c r="AD4" i="266"/>
  <c r="AC2" i="272"/>
  <c r="AC29" i="272"/>
  <c r="AC30" i="272" s="1"/>
  <c r="AC23" i="266" s="1"/>
  <c r="AC24" i="266" s="1"/>
  <c r="AC29" i="266" s="1"/>
  <c r="AD17" i="272"/>
  <c r="AD18" i="272" s="1"/>
  <c r="AD21" i="272"/>
  <c r="AD22" i="272" s="1"/>
  <c r="AD25" i="272"/>
  <c r="AD26" i="272" s="1"/>
  <c r="AD55" i="281" s="1"/>
  <c r="AD56" i="281" s="1"/>
  <c r="AD66" i="281" s="1"/>
  <c r="AD4" i="272"/>
  <c r="N17" i="258"/>
  <c r="N31" i="258" s="1"/>
  <c r="N25" i="258"/>
  <c r="N32" i="258" s="1"/>
  <c r="O23" i="258"/>
  <c r="O90" i="46"/>
  <c r="O10" i="258"/>
  <c r="O99" i="46"/>
  <c r="P48" i="44"/>
  <c r="P49" i="44" s="1"/>
  <c r="P15" i="258" s="1"/>
  <c r="P4" i="277"/>
  <c r="O61" i="260"/>
  <c r="O2" i="277"/>
  <c r="AE3" i="272"/>
  <c r="AE3" i="266"/>
  <c r="AF8" i="272"/>
  <c r="AF3" i="281" s="1"/>
  <c r="AE9" i="272"/>
  <c r="AE12" i="272" s="1"/>
  <c r="AE13" i="272" s="1"/>
  <c r="AE106" i="281" s="1"/>
  <c r="AE107" i="281" s="1"/>
  <c r="AE108" i="281" s="1"/>
  <c r="AE111" i="281" s="1"/>
  <c r="AE112" i="281" s="1"/>
  <c r="AE115" i="281" s="1"/>
  <c r="J28" i="265"/>
  <c r="J31" i="265" s="1"/>
  <c r="J32" i="265" s="1"/>
  <c r="J48" i="265" s="1"/>
  <c r="L34" i="258"/>
  <c r="L9" i="49" s="1"/>
  <c r="J8" i="49"/>
  <c r="J10" i="49" s="1"/>
  <c r="M35" i="46"/>
  <c r="M9" i="258" s="1"/>
  <c r="M11" i="258" s="1"/>
  <c r="M30" i="258" s="1"/>
  <c r="M33" i="258" s="1"/>
  <c r="M25" i="265" s="1"/>
  <c r="N63" i="46"/>
  <c r="N65" i="46" s="1"/>
  <c r="N80" i="46" s="1"/>
  <c r="N31" i="46"/>
  <c r="N33" i="46"/>
  <c r="N71" i="46"/>
  <c r="N73" i="46" s="1"/>
  <c r="L84" i="46"/>
  <c r="O57" i="46"/>
  <c r="O58" i="46" s="1"/>
  <c r="O76" i="46" s="1"/>
  <c r="O52" i="46"/>
  <c r="O53" i="46" s="1"/>
  <c r="O72" i="46" s="1"/>
  <c r="O12" i="46"/>
  <c r="O13" i="46" s="1"/>
  <c r="O47" i="46"/>
  <c r="O48" i="46" s="1"/>
  <c r="O68" i="46" s="1"/>
  <c r="O42" i="46"/>
  <c r="O43" i="46" s="1"/>
  <c r="O64" i="46" s="1"/>
  <c r="O27" i="46"/>
  <c r="O28" i="46" s="1"/>
  <c r="O22" i="46"/>
  <c r="O23" i="46" s="1"/>
  <c r="O17" i="46"/>
  <c r="O18" i="46" s="1"/>
  <c r="N67" i="46"/>
  <c r="N69" i="46" s="1"/>
  <c r="N81" i="46" s="1"/>
  <c r="N32" i="46"/>
  <c r="K24" i="265"/>
  <c r="K8" i="49"/>
  <c r="K10" i="49" s="1"/>
  <c r="M84" i="46"/>
  <c r="N75" i="46"/>
  <c r="N77" i="46" s="1"/>
  <c r="N34" i="46"/>
  <c r="L50" i="261"/>
  <c r="L58" i="49" s="1"/>
  <c r="L57" i="261"/>
  <c r="L58" i="261" s="1"/>
  <c r="P33" i="44"/>
  <c r="P34" i="44" s="1"/>
  <c r="P13" i="259" s="1"/>
  <c r="P37" i="44"/>
  <c r="P38" i="44" s="1"/>
  <c r="P23" i="44"/>
  <c r="P24" i="44" s="1"/>
  <c r="P9" i="295" s="1"/>
  <c r="P18" i="44"/>
  <c r="P19" i="44" s="1"/>
  <c r="O44" i="265"/>
  <c r="O69" i="260"/>
  <c r="Q3" i="265"/>
  <c r="Q11" i="44"/>
  <c r="Q12" i="44" s="1"/>
  <c r="Q4" i="295" s="1"/>
  <c r="O48" i="261"/>
  <c r="O10" i="265"/>
  <c r="M18" i="265"/>
  <c r="M19" i="265" s="1"/>
  <c r="N16" i="265" s="1"/>
  <c r="N9" i="265" s="1"/>
  <c r="N11" i="265" s="1"/>
  <c r="M26" i="265"/>
  <c r="O14" i="265"/>
  <c r="O81" i="261"/>
  <c r="O89" i="261"/>
  <c r="O2" i="265"/>
  <c r="O24" i="258"/>
  <c r="O16" i="258"/>
  <c r="O17" i="258" s="1"/>
  <c r="O31" i="258" s="1"/>
  <c r="O4" i="258"/>
  <c r="O4" i="261"/>
  <c r="O4" i="260"/>
  <c r="O4" i="259"/>
  <c r="O2" i="261"/>
  <c r="O2" i="260"/>
  <c r="O2" i="259"/>
  <c r="O53" i="261"/>
  <c r="O21" i="259"/>
  <c r="Q3" i="258"/>
  <c r="Q3" i="261"/>
  <c r="Q3" i="259"/>
  <c r="Q3" i="260"/>
  <c r="O2" i="258"/>
  <c r="O9" i="257"/>
  <c r="O14" i="257" s="1"/>
  <c r="P11" i="257" s="1"/>
  <c r="O2" i="44"/>
  <c r="O2" i="49"/>
  <c r="O2" i="46"/>
  <c r="O2" i="257"/>
  <c r="O2" i="252"/>
  <c r="O4" i="44"/>
  <c r="O4" i="257"/>
  <c r="O4" i="49"/>
  <c r="O4" i="252"/>
  <c r="O4" i="46"/>
  <c r="Q3" i="257"/>
  <c r="Q3" i="49"/>
  <c r="Q3" i="252"/>
  <c r="Q3" i="46"/>
  <c r="R8" i="44"/>
  <c r="R3" i="295" s="1"/>
  <c r="Q3" i="44"/>
  <c r="P4" i="265"/>
  <c r="P55" i="295" l="1"/>
  <c r="P31" i="261"/>
  <c r="P2" i="283"/>
  <c r="P2" i="295"/>
  <c r="M65" i="281"/>
  <c r="M40" i="281"/>
  <c r="M64" i="281"/>
  <c r="M127" i="281"/>
  <c r="Q28" i="44"/>
  <c r="Q29" i="44" s="1"/>
  <c r="Q8" i="260" s="1"/>
  <c r="Q11" i="260" s="1"/>
  <c r="Q19" i="260" s="1"/>
  <c r="Q21" i="260" s="1"/>
  <c r="Q24" i="260" s="1"/>
  <c r="Q4" i="283"/>
  <c r="P26" i="252"/>
  <c r="P8" i="283"/>
  <c r="P17" i="283"/>
  <c r="R3" i="277"/>
  <c r="R3" i="283"/>
  <c r="P25" i="260"/>
  <c r="P19" i="260"/>
  <c r="P21" i="260" s="1"/>
  <c r="P24" i="260" s="1"/>
  <c r="AB39" i="266"/>
  <c r="AB41" i="266" s="1"/>
  <c r="AB122" i="281" s="1"/>
  <c r="Z40" i="277"/>
  <c r="AC62" i="281"/>
  <c r="AC123" i="281"/>
  <c r="AC63" i="281"/>
  <c r="AC124" i="281"/>
  <c r="AC30" i="266"/>
  <c r="AC39" i="266" s="1"/>
  <c r="AE4" i="281"/>
  <c r="AE30" i="281"/>
  <c r="AA43" i="266"/>
  <c r="AA44" i="266" s="1"/>
  <c r="AA72" i="281"/>
  <c r="AD15" i="266"/>
  <c r="AD16" i="266" s="1"/>
  <c r="AD27" i="266" s="1"/>
  <c r="AD10" i="281"/>
  <c r="AD11" i="281" s="1"/>
  <c r="AD2" i="266"/>
  <c r="AD51" i="281"/>
  <c r="AD14" i="281"/>
  <c r="AD16" i="281" s="1"/>
  <c r="AD2" i="281"/>
  <c r="AD31" i="281"/>
  <c r="AD32" i="281" s="1"/>
  <c r="AD36" i="281" s="1"/>
  <c r="AD19" i="266"/>
  <c r="AD20" i="266" s="1"/>
  <c r="AD28" i="266" s="1"/>
  <c r="AD82" i="281"/>
  <c r="AE4" i="266"/>
  <c r="AE17" i="277"/>
  <c r="AE26" i="277"/>
  <c r="AE37" i="277"/>
  <c r="AD2" i="272"/>
  <c r="AD29" i="272"/>
  <c r="AD30" i="272" s="1"/>
  <c r="AD23" i="266" s="1"/>
  <c r="AD24" i="266" s="1"/>
  <c r="AD29" i="266" s="1"/>
  <c r="AE17" i="272"/>
  <c r="AE18" i="272" s="1"/>
  <c r="AE4" i="272"/>
  <c r="AE21" i="272"/>
  <c r="AE22" i="272" s="1"/>
  <c r="AE25" i="272"/>
  <c r="AE26" i="272" s="1"/>
  <c r="AE55" i="281" s="1"/>
  <c r="AE56" i="281" s="1"/>
  <c r="AE66" i="281" s="1"/>
  <c r="O25" i="258"/>
  <c r="O32" i="258" s="1"/>
  <c r="P99" i="46"/>
  <c r="P90" i="46"/>
  <c r="P10" i="258"/>
  <c r="P23" i="258"/>
  <c r="P61" i="260"/>
  <c r="P2" i="277"/>
  <c r="Q48" i="44"/>
  <c r="Q49" i="44" s="1"/>
  <c r="Q23" i="258" s="1"/>
  <c r="Q4" i="277"/>
  <c r="AF3" i="272"/>
  <c r="AF3" i="266"/>
  <c r="AF9" i="272"/>
  <c r="AF12" i="272" s="1"/>
  <c r="AF13" i="272" s="1"/>
  <c r="AF106" i="281" s="1"/>
  <c r="AF107" i="281" s="1"/>
  <c r="AF108" i="281" s="1"/>
  <c r="AF111" i="281" s="1"/>
  <c r="AF112" i="281" s="1"/>
  <c r="AF115" i="281" s="1"/>
  <c r="AG8" i="272"/>
  <c r="AG3" i="281" s="1"/>
  <c r="J33" i="265"/>
  <c r="J41" i="49" s="1"/>
  <c r="M34" i="258"/>
  <c r="M9" i="49" s="1"/>
  <c r="N83" i="46"/>
  <c r="O33" i="46"/>
  <c r="O71" i="46"/>
  <c r="O73" i="46" s="1"/>
  <c r="O82" i="46" s="1"/>
  <c r="N82" i="46"/>
  <c r="M91" i="46"/>
  <c r="M92" i="46" s="1"/>
  <c r="M111" i="46" s="1"/>
  <c r="M100" i="46"/>
  <c r="M101" i="46" s="1"/>
  <c r="M112" i="46" s="1"/>
  <c r="O63" i="46"/>
  <c r="O65" i="46" s="1"/>
  <c r="O31" i="46"/>
  <c r="J40" i="49"/>
  <c r="J41" i="277" s="1"/>
  <c r="L91" i="46"/>
  <c r="L92" i="46" s="1"/>
  <c r="L111" i="46" s="1"/>
  <c r="L100" i="46"/>
  <c r="L101" i="46" s="1"/>
  <c r="L112" i="46" s="1"/>
  <c r="P42" i="46"/>
  <c r="P43" i="46" s="1"/>
  <c r="P64" i="46" s="1"/>
  <c r="P27" i="46"/>
  <c r="P28" i="46" s="1"/>
  <c r="P47" i="46"/>
  <c r="P48" i="46" s="1"/>
  <c r="P68" i="46" s="1"/>
  <c r="P22" i="46"/>
  <c r="P23" i="46" s="1"/>
  <c r="P12" i="46"/>
  <c r="P13" i="46" s="1"/>
  <c r="P17" i="46"/>
  <c r="P18" i="46" s="1"/>
  <c r="P52" i="46"/>
  <c r="P53" i="46" s="1"/>
  <c r="P72" i="46" s="1"/>
  <c r="P57" i="46"/>
  <c r="P58" i="46" s="1"/>
  <c r="P76" i="46" s="1"/>
  <c r="N35" i="46"/>
  <c r="O75" i="46"/>
  <c r="O77" i="46" s="1"/>
  <c r="O83" i="46" s="1"/>
  <c r="O34" i="46"/>
  <c r="K40" i="49"/>
  <c r="O67" i="46"/>
  <c r="O69" i="46" s="1"/>
  <c r="O32" i="46"/>
  <c r="M55" i="261"/>
  <c r="M47" i="261" s="1"/>
  <c r="M49" i="261" s="1"/>
  <c r="M12" i="277" s="1"/>
  <c r="L31" i="49"/>
  <c r="Q37" i="44"/>
  <c r="Q38" i="44" s="1"/>
  <c r="Q33" i="44"/>
  <c r="Q34" i="44" s="1"/>
  <c r="Q13" i="259" s="1"/>
  <c r="Q23" i="44"/>
  <c r="Q24" i="44" s="1"/>
  <c r="Q9" i="295" s="1"/>
  <c r="Q18" i="44"/>
  <c r="Q19" i="44" s="1"/>
  <c r="P44" i="265"/>
  <c r="P69" i="260"/>
  <c r="R3" i="265"/>
  <c r="R11" i="44"/>
  <c r="R12" i="44" s="1"/>
  <c r="R4" i="295" s="1"/>
  <c r="P48" i="261"/>
  <c r="P10" i="265"/>
  <c r="N18" i="265"/>
  <c r="N26" i="265"/>
  <c r="P14" i="265"/>
  <c r="P89" i="261"/>
  <c r="P81" i="261"/>
  <c r="P2" i="265"/>
  <c r="P24" i="258"/>
  <c r="P16" i="258"/>
  <c r="P17" i="258" s="1"/>
  <c r="P31" i="258" s="1"/>
  <c r="P2" i="261"/>
  <c r="P2" i="260"/>
  <c r="P2" i="259"/>
  <c r="R3" i="258"/>
  <c r="R3" i="260"/>
  <c r="R3" i="261"/>
  <c r="R3" i="259"/>
  <c r="P53" i="261"/>
  <c r="P21" i="259"/>
  <c r="P4" i="258"/>
  <c r="P4" i="261"/>
  <c r="P4" i="260"/>
  <c r="P4" i="259"/>
  <c r="P2" i="258"/>
  <c r="P4" i="44"/>
  <c r="P4" i="257"/>
  <c r="P4" i="49"/>
  <c r="P4" i="46"/>
  <c r="P4" i="252"/>
  <c r="P9" i="257"/>
  <c r="P14" i="257" s="1"/>
  <c r="Q11" i="257" s="1"/>
  <c r="P2" i="44"/>
  <c r="P2" i="257"/>
  <c r="P2" i="49"/>
  <c r="P2" i="46"/>
  <c r="P2" i="252"/>
  <c r="Q4" i="265"/>
  <c r="R3" i="257"/>
  <c r="R3" i="46"/>
  <c r="R3" i="49"/>
  <c r="R3" i="252"/>
  <c r="S8" i="44"/>
  <c r="S3" i="295" s="1"/>
  <c r="R3" i="44"/>
  <c r="Q55" i="295" l="1"/>
  <c r="Q31" i="261"/>
  <c r="Q2" i="283"/>
  <c r="Q2" i="295"/>
  <c r="M67" i="281"/>
  <c r="M73" i="281" s="1"/>
  <c r="M74" i="281" s="1"/>
  <c r="M94" i="281" s="1"/>
  <c r="Q25" i="260"/>
  <c r="Q26" i="260" s="1"/>
  <c r="Q28" i="260" s="1"/>
  <c r="P26" i="260"/>
  <c r="P28" i="260" s="1"/>
  <c r="R28" i="44"/>
  <c r="R29" i="44" s="1"/>
  <c r="R25" i="260" s="1"/>
  <c r="R4" i="283"/>
  <c r="S3" i="277"/>
  <c r="S3" i="283"/>
  <c r="Q26" i="252"/>
  <c r="Q17" i="283"/>
  <c r="Q8" i="283"/>
  <c r="AC36" i="266"/>
  <c r="AC37" i="266" s="1"/>
  <c r="AC40" i="266" s="1"/>
  <c r="AC41" i="266" s="1"/>
  <c r="AD62" i="281"/>
  <c r="AD123" i="281"/>
  <c r="AD63" i="281"/>
  <c r="AD124" i="281"/>
  <c r="AA40" i="277"/>
  <c r="AD30" i="266"/>
  <c r="AD39" i="266" s="1"/>
  <c r="AB43" i="266"/>
  <c r="AB44" i="266" s="1"/>
  <c r="AB72" i="281"/>
  <c r="AE15" i="266"/>
  <c r="AE16" i="266" s="1"/>
  <c r="AE27" i="266" s="1"/>
  <c r="AE10" i="281"/>
  <c r="AE11" i="281" s="1"/>
  <c r="AF30" i="281"/>
  <c r="AF4" i="281"/>
  <c r="AE2" i="266"/>
  <c r="AE31" i="281"/>
  <c r="AE32" i="281" s="1"/>
  <c r="AE36" i="281" s="1"/>
  <c r="AE51" i="281"/>
  <c r="AE14" i="281"/>
  <c r="AE16" i="281" s="1"/>
  <c r="AE2" i="281"/>
  <c r="AE19" i="266"/>
  <c r="AE20" i="266" s="1"/>
  <c r="AE28" i="266" s="1"/>
  <c r="AE82" i="281"/>
  <c r="AF17" i="277"/>
  <c r="AF37" i="277"/>
  <c r="AF26" i="277"/>
  <c r="AF4" i="266"/>
  <c r="AE2" i="272"/>
  <c r="AE29" i="272"/>
  <c r="AE30" i="272" s="1"/>
  <c r="AE23" i="266" s="1"/>
  <c r="AE24" i="266" s="1"/>
  <c r="AE29" i="266" s="1"/>
  <c r="AF17" i="272"/>
  <c r="AF18" i="272" s="1"/>
  <c r="AF25" i="272"/>
  <c r="AF26" i="272" s="1"/>
  <c r="AF55" i="281" s="1"/>
  <c r="AF56" i="281" s="1"/>
  <c r="AF66" i="281" s="1"/>
  <c r="AF21" i="272"/>
  <c r="AF22" i="272" s="1"/>
  <c r="AF4" i="272"/>
  <c r="Q10" i="258"/>
  <c r="Q15" i="258"/>
  <c r="Q99" i="46"/>
  <c r="Q90" i="46"/>
  <c r="K41" i="277"/>
  <c r="P25" i="258"/>
  <c r="P32" i="258" s="1"/>
  <c r="R48" i="44"/>
  <c r="R49" i="44" s="1"/>
  <c r="R23" i="258" s="1"/>
  <c r="R4" i="277"/>
  <c r="Q61" i="260"/>
  <c r="Q2" i="277"/>
  <c r="AG3" i="272"/>
  <c r="AG3" i="266"/>
  <c r="AG9" i="272"/>
  <c r="AG12" i="272" s="1"/>
  <c r="AG13" i="272" s="1"/>
  <c r="AG106" i="281" s="1"/>
  <c r="AG107" i="281" s="1"/>
  <c r="AG108" i="281" s="1"/>
  <c r="AG111" i="281" s="1"/>
  <c r="AG112" i="281" s="1"/>
  <c r="AG115" i="281" s="1"/>
  <c r="AH8" i="272"/>
  <c r="AH3" i="281" s="1"/>
  <c r="J43" i="49"/>
  <c r="N84" i="46"/>
  <c r="N91" i="46" s="1"/>
  <c r="N92" i="46" s="1"/>
  <c r="N111" i="46" s="1"/>
  <c r="L114" i="46"/>
  <c r="L8" i="49" s="1"/>
  <c r="L10" i="49" s="1"/>
  <c r="O35" i="46"/>
  <c r="O9" i="258" s="1"/>
  <c r="O11" i="258" s="1"/>
  <c r="O30" i="258" s="1"/>
  <c r="O33" i="258" s="1"/>
  <c r="O25" i="265" s="1"/>
  <c r="P34" i="46"/>
  <c r="P75" i="46"/>
  <c r="P77" i="46" s="1"/>
  <c r="P83" i="46" s="1"/>
  <c r="O80" i="46"/>
  <c r="N9" i="258"/>
  <c r="N11" i="258" s="1"/>
  <c r="N30" i="258" s="1"/>
  <c r="N33" i="258" s="1"/>
  <c r="O81" i="46"/>
  <c r="P67" i="46"/>
  <c r="P69" i="46" s="1"/>
  <c r="P81" i="46" s="1"/>
  <c r="P32" i="46"/>
  <c r="M114" i="46"/>
  <c r="P33" i="46"/>
  <c r="P71" i="46"/>
  <c r="P73" i="46" s="1"/>
  <c r="P82" i="46" s="1"/>
  <c r="Q12" i="46"/>
  <c r="Q13" i="46" s="1"/>
  <c r="Q22" i="46"/>
  <c r="Q23" i="46" s="1"/>
  <c r="Q57" i="46"/>
  <c r="Q58" i="46" s="1"/>
  <c r="Q76" i="46" s="1"/>
  <c r="Q27" i="46"/>
  <c r="Q28" i="46" s="1"/>
  <c r="Q17" i="46"/>
  <c r="Q18" i="46" s="1"/>
  <c r="Q42" i="46"/>
  <c r="Q43" i="46" s="1"/>
  <c r="Q64" i="46" s="1"/>
  <c r="Q47" i="46"/>
  <c r="Q48" i="46" s="1"/>
  <c r="Q68" i="46" s="1"/>
  <c r="Q52" i="46"/>
  <c r="Q53" i="46" s="1"/>
  <c r="Q72" i="46" s="1"/>
  <c r="P63" i="46"/>
  <c r="P65" i="46" s="1"/>
  <c r="P80" i="46" s="1"/>
  <c r="P31" i="46"/>
  <c r="M50" i="261"/>
  <c r="M58" i="49" s="1"/>
  <c r="M57" i="261"/>
  <c r="M58" i="261" s="1"/>
  <c r="R18" i="44"/>
  <c r="R19" i="44" s="1"/>
  <c r="R23" i="44"/>
  <c r="R24" i="44" s="1"/>
  <c r="R9" i="295" s="1"/>
  <c r="R37" i="44"/>
  <c r="R38" i="44" s="1"/>
  <c r="R33" i="44"/>
  <c r="R34" i="44" s="1"/>
  <c r="R13" i="259" s="1"/>
  <c r="Q44" i="265"/>
  <c r="Q69" i="260"/>
  <c r="S3" i="265"/>
  <c r="S11" i="44"/>
  <c r="S12" i="44" s="1"/>
  <c r="S4" i="295" s="1"/>
  <c r="Q48" i="261"/>
  <c r="Q10" i="265"/>
  <c r="Q14" i="265"/>
  <c r="Q89" i="261"/>
  <c r="Q81" i="261"/>
  <c r="Q2" i="265"/>
  <c r="Q16" i="258"/>
  <c r="Q24" i="258"/>
  <c r="Q25" i="258" s="1"/>
  <c r="Q32" i="258" s="1"/>
  <c r="Q4" i="258"/>
  <c r="Q4" i="261"/>
  <c r="Q4" i="260"/>
  <c r="Q4" i="259"/>
  <c r="S3" i="258"/>
  <c r="S3" i="261"/>
  <c r="S3" i="260"/>
  <c r="S3" i="259"/>
  <c r="Q53" i="261"/>
  <c r="Q21" i="259"/>
  <c r="Q2" i="261"/>
  <c r="Q2" i="260"/>
  <c r="Q2" i="259"/>
  <c r="Q2" i="258"/>
  <c r="Q4" i="44"/>
  <c r="Q4" i="46"/>
  <c r="Q4" i="257"/>
  <c r="Q4" i="49"/>
  <c r="Q4" i="252"/>
  <c r="Q9" i="257"/>
  <c r="Q14" i="257" s="1"/>
  <c r="R11" i="257" s="1"/>
  <c r="R4" i="265"/>
  <c r="S3" i="49"/>
  <c r="S3" i="46"/>
  <c r="S3" i="252"/>
  <c r="S3" i="257"/>
  <c r="T8" i="44"/>
  <c r="T3" i="295" s="1"/>
  <c r="S3" i="44"/>
  <c r="Q2" i="44"/>
  <c r="Q2" i="257"/>
  <c r="Q2" i="252"/>
  <c r="Q2" i="46"/>
  <c r="Q2" i="49"/>
  <c r="R55" i="295" l="1"/>
  <c r="R31" i="261"/>
  <c r="R2" i="283"/>
  <c r="R2" i="295"/>
  <c r="M77" i="281"/>
  <c r="M78" i="281" s="1"/>
  <c r="M81" i="281" s="1"/>
  <c r="M83" i="281" s="1"/>
  <c r="M88" i="281" s="1"/>
  <c r="R8" i="260"/>
  <c r="R11" i="260" s="1"/>
  <c r="R19" i="260" s="1"/>
  <c r="R21" i="260" s="1"/>
  <c r="R24" i="260" s="1"/>
  <c r="R26" i="260" s="1"/>
  <c r="R28" i="260" s="1"/>
  <c r="T3" i="277"/>
  <c r="T3" i="283"/>
  <c r="S28" i="44"/>
  <c r="S29" i="44" s="1"/>
  <c r="S8" i="260" s="1"/>
  <c r="S11" i="260" s="1"/>
  <c r="S19" i="260" s="1"/>
  <c r="S21" i="260" s="1"/>
  <c r="S24" i="260" s="1"/>
  <c r="S4" i="283"/>
  <c r="J39" i="283"/>
  <c r="J32" i="283"/>
  <c r="J16" i="283"/>
  <c r="J18" i="283" s="1"/>
  <c r="J37" i="260" s="1"/>
  <c r="J38" i="260" s="1"/>
  <c r="J9" i="283"/>
  <c r="R26" i="252"/>
  <c r="R8" i="283"/>
  <c r="R17" i="283"/>
  <c r="AC122" i="281"/>
  <c r="AC72" i="281"/>
  <c r="AC43" i="266"/>
  <c r="AC44" i="266" s="1"/>
  <c r="AD36" i="266"/>
  <c r="AD37" i="266" s="1"/>
  <c r="AD40" i="266" s="1"/>
  <c r="AD41" i="266" s="1"/>
  <c r="AD122" i="281" s="1"/>
  <c r="AE63" i="281"/>
  <c r="AE124" i="281"/>
  <c r="AE62" i="281"/>
  <c r="AE123" i="281"/>
  <c r="AG4" i="281"/>
  <c r="AG30" i="281"/>
  <c r="AF15" i="266"/>
  <c r="AF16" i="266" s="1"/>
  <c r="AF27" i="266" s="1"/>
  <c r="AF10" i="281"/>
  <c r="AF11" i="281" s="1"/>
  <c r="AF19" i="266"/>
  <c r="AF20" i="266" s="1"/>
  <c r="AF28" i="266" s="1"/>
  <c r="AF82" i="281"/>
  <c r="AF2" i="266"/>
  <c r="AF31" i="281"/>
  <c r="AF32" i="281" s="1"/>
  <c r="AF36" i="281" s="1"/>
  <c r="AF14" i="281"/>
  <c r="AF16" i="281" s="1"/>
  <c r="AF51" i="281"/>
  <c r="AF2" i="281"/>
  <c r="AE30" i="266"/>
  <c r="AE39" i="266" s="1"/>
  <c r="AB40" i="277"/>
  <c r="R99" i="46"/>
  <c r="AG4" i="266"/>
  <c r="AG26" i="277"/>
  <c r="AG17" i="277"/>
  <c r="AG37" i="277"/>
  <c r="AF2" i="272"/>
  <c r="AF29" i="272"/>
  <c r="AF30" i="272" s="1"/>
  <c r="AF23" i="266" s="1"/>
  <c r="AF24" i="266" s="1"/>
  <c r="AF29" i="266" s="1"/>
  <c r="AG17" i="272"/>
  <c r="AG18" i="272" s="1"/>
  <c r="AG25" i="272"/>
  <c r="AG26" i="272" s="1"/>
  <c r="AG55" i="281" s="1"/>
  <c r="AG56" i="281" s="1"/>
  <c r="AG66" i="281" s="1"/>
  <c r="AG21" i="272"/>
  <c r="AG22" i="272" s="1"/>
  <c r="AG4" i="272"/>
  <c r="Q17" i="258"/>
  <c r="Q31" i="258" s="1"/>
  <c r="R90" i="46"/>
  <c r="R10" i="258"/>
  <c r="R15" i="258"/>
  <c r="R61" i="260"/>
  <c r="R2" i="277"/>
  <c r="S48" i="44"/>
  <c r="S49" i="44" s="1"/>
  <c r="S23" i="258" s="1"/>
  <c r="S4" i="277"/>
  <c r="AH3" i="272"/>
  <c r="AH3" i="266"/>
  <c r="AI8" i="272"/>
  <c r="AI3" i="281" s="1"/>
  <c r="AH9" i="272"/>
  <c r="AH12" i="272" s="1"/>
  <c r="AH13" i="272" s="1"/>
  <c r="AH106" i="281" s="1"/>
  <c r="AH107" i="281" s="1"/>
  <c r="AH108" i="281" s="1"/>
  <c r="AH111" i="281" s="1"/>
  <c r="AH112" i="281" s="1"/>
  <c r="AH115" i="281" s="1"/>
  <c r="L24" i="265"/>
  <c r="N100" i="46"/>
  <c r="N101" i="46" s="1"/>
  <c r="N112" i="46" s="1"/>
  <c r="N114" i="46" s="1"/>
  <c r="O84" i="46"/>
  <c r="O91" i="46" s="1"/>
  <c r="O92" i="46" s="1"/>
  <c r="O111" i="46" s="1"/>
  <c r="O34" i="258"/>
  <c r="O9" i="49" s="1"/>
  <c r="Q67" i="46"/>
  <c r="Q69" i="46" s="1"/>
  <c r="Q81" i="46" s="1"/>
  <c r="Q32" i="46"/>
  <c r="P84" i="46"/>
  <c r="Q33" i="46"/>
  <c r="Q71" i="46"/>
  <c r="Q73" i="46" s="1"/>
  <c r="Q63" i="46"/>
  <c r="Q65" i="46" s="1"/>
  <c r="Q80" i="46" s="1"/>
  <c r="Q31" i="46"/>
  <c r="L40" i="49"/>
  <c r="L41" i="277" s="1"/>
  <c r="M24" i="265"/>
  <c r="M8" i="49"/>
  <c r="M10" i="49" s="1"/>
  <c r="N25" i="265"/>
  <c r="N34" i="258"/>
  <c r="N9" i="49" s="1"/>
  <c r="R52" i="46"/>
  <c r="R53" i="46" s="1"/>
  <c r="R72" i="46" s="1"/>
  <c r="R47" i="46"/>
  <c r="R48" i="46" s="1"/>
  <c r="R68" i="46" s="1"/>
  <c r="R57" i="46"/>
  <c r="R58" i="46" s="1"/>
  <c r="R76" i="46" s="1"/>
  <c r="R22" i="46"/>
  <c r="R23" i="46" s="1"/>
  <c r="R17" i="46"/>
  <c r="R18" i="46" s="1"/>
  <c r="R27" i="46"/>
  <c r="R28" i="46" s="1"/>
  <c r="R42" i="46"/>
  <c r="R43" i="46" s="1"/>
  <c r="R64" i="46" s="1"/>
  <c r="R12" i="46"/>
  <c r="R13" i="46" s="1"/>
  <c r="Q75" i="46"/>
  <c r="Q77" i="46" s="1"/>
  <c r="Q83" i="46" s="1"/>
  <c r="Q34" i="46"/>
  <c r="P35" i="46"/>
  <c r="N55" i="261"/>
  <c r="N47" i="261" s="1"/>
  <c r="N49" i="261" s="1"/>
  <c r="N12" i="277" s="1"/>
  <c r="M31" i="49"/>
  <c r="S23" i="44"/>
  <c r="S24" i="44" s="1"/>
  <c r="S9" i="295" s="1"/>
  <c r="S18" i="44"/>
  <c r="S19" i="44" s="1"/>
  <c r="S33" i="44"/>
  <c r="S34" i="44" s="1"/>
  <c r="S13" i="259" s="1"/>
  <c r="S37" i="44"/>
  <c r="S38" i="44" s="1"/>
  <c r="R44" i="265"/>
  <c r="R69" i="260"/>
  <c r="T3" i="265"/>
  <c r="T11" i="44"/>
  <c r="T12" i="44" s="1"/>
  <c r="T4" i="295" s="1"/>
  <c r="R48" i="261"/>
  <c r="R10" i="265"/>
  <c r="R14" i="265"/>
  <c r="R89" i="261"/>
  <c r="R81" i="261"/>
  <c r="R2" i="265"/>
  <c r="R16" i="258"/>
  <c r="R24" i="258"/>
  <c r="R25" i="258" s="1"/>
  <c r="R32" i="258" s="1"/>
  <c r="R53" i="261"/>
  <c r="R21" i="259"/>
  <c r="T3" i="258"/>
  <c r="T3" i="261"/>
  <c r="T3" i="260"/>
  <c r="T3" i="259"/>
  <c r="R4" i="258"/>
  <c r="R4" i="260"/>
  <c r="R4" i="259"/>
  <c r="R4" i="261"/>
  <c r="R2" i="261"/>
  <c r="R2" i="260"/>
  <c r="R2" i="259"/>
  <c r="R2" i="258"/>
  <c r="R9" i="257"/>
  <c r="R14" i="257" s="1"/>
  <c r="S11" i="257" s="1"/>
  <c r="R4" i="44"/>
  <c r="R4" i="257"/>
  <c r="R4" i="49"/>
  <c r="R4" i="252"/>
  <c r="R4" i="46"/>
  <c r="T3" i="257"/>
  <c r="T3" i="46"/>
  <c r="T3" i="252"/>
  <c r="T3" i="49"/>
  <c r="U8" i="44"/>
  <c r="U3" i="295" s="1"/>
  <c r="T3" i="44"/>
  <c r="S4" i="265"/>
  <c r="R2" i="44"/>
  <c r="R2" i="257"/>
  <c r="R2" i="46"/>
  <c r="R2" i="49"/>
  <c r="R2" i="252"/>
  <c r="S55" i="295" l="1"/>
  <c r="S31" i="261"/>
  <c r="S2" i="283"/>
  <c r="S2" i="295"/>
  <c r="M87" i="281"/>
  <c r="M89" i="281" s="1"/>
  <c r="N86" i="281" s="1"/>
  <c r="N46" i="281" s="1"/>
  <c r="N47" i="281" s="1"/>
  <c r="N50" i="281" s="1"/>
  <c r="N52" i="281" s="1"/>
  <c r="N65" i="281" s="1"/>
  <c r="M95" i="281"/>
  <c r="M96" i="281" s="1"/>
  <c r="M99" i="281" s="1"/>
  <c r="M100" i="281" s="1"/>
  <c r="M20" i="277" s="1"/>
  <c r="J40" i="260"/>
  <c r="J42" i="260" s="1"/>
  <c r="J45" i="260" s="1"/>
  <c r="S25" i="260"/>
  <c r="S26" i="260" s="1"/>
  <c r="S28" i="260" s="1"/>
  <c r="U3" i="277"/>
  <c r="U3" i="283"/>
  <c r="S26" i="252"/>
  <c r="S17" i="283"/>
  <c r="S8" i="283"/>
  <c r="T28" i="44"/>
  <c r="T29" i="44" s="1"/>
  <c r="T25" i="260" s="1"/>
  <c r="T4" i="283"/>
  <c r="AC40" i="277"/>
  <c r="AF62" i="281"/>
  <c r="AF123" i="281"/>
  <c r="AF63" i="281"/>
  <c r="AF124" i="281"/>
  <c r="AE36" i="266"/>
  <c r="AE37" i="266" s="1"/>
  <c r="AE40" i="266" s="1"/>
  <c r="AE41" i="266" s="1"/>
  <c r="AE122" i="281" s="1"/>
  <c r="AD43" i="266"/>
  <c r="AD44" i="266" s="1"/>
  <c r="AD72" i="281"/>
  <c r="AH30" i="281"/>
  <c r="AH4" i="281"/>
  <c r="AG19" i="266"/>
  <c r="AG20" i="266" s="1"/>
  <c r="AG28" i="266" s="1"/>
  <c r="AG82" i="281"/>
  <c r="AG2" i="266"/>
  <c r="AG51" i="281"/>
  <c r="AG2" i="281"/>
  <c r="AG31" i="281"/>
  <c r="AG32" i="281" s="1"/>
  <c r="AG36" i="281" s="1"/>
  <c r="AG14" i="281"/>
  <c r="AG16" i="281" s="1"/>
  <c r="AG15" i="266"/>
  <c r="AG16" i="266" s="1"/>
  <c r="AG27" i="266" s="1"/>
  <c r="AG10" i="281"/>
  <c r="AG11" i="281" s="1"/>
  <c r="AF30" i="266"/>
  <c r="AF39" i="266" s="1"/>
  <c r="AH26" i="277"/>
  <c r="AH17" i="277"/>
  <c r="AH37" i="277"/>
  <c r="AH4" i="266"/>
  <c r="AG2" i="272"/>
  <c r="AG29" i="272"/>
  <c r="AG30" i="272" s="1"/>
  <c r="AG23" i="266" s="1"/>
  <c r="AG24" i="266" s="1"/>
  <c r="AG29" i="266" s="1"/>
  <c r="AH17" i="272"/>
  <c r="AH18" i="272" s="1"/>
  <c r="AH21" i="272"/>
  <c r="AH22" i="272" s="1"/>
  <c r="AH4" i="272"/>
  <c r="AH25" i="272"/>
  <c r="AH26" i="272" s="1"/>
  <c r="AH55" i="281" s="1"/>
  <c r="AH56" i="281" s="1"/>
  <c r="AH66" i="281" s="1"/>
  <c r="R17" i="258"/>
  <c r="R31" i="258" s="1"/>
  <c r="S99" i="46"/>
  <c r="S10" i="258"/>
  <c r="S90" i="46"/>
  <c r="S61" i="260"/>
  <c r="S2" i="277"/>
  <c r="S15" i="258"/>
  <c r="T48" i="44"/>
  <c r="T49" i="44" s="1"/>
  <c r="T99" i="46" s="1"/>
  <c r="T4" i="277"/>
  <c r="AI3" i="272"/>
  <c r="AI3" i="266"/>
  <c r="AJ8" i="272"/>
  <c r="AJ3" i="281" s="1"/>
  <c r="AI9" i="272"/>
  <c r="AI12" i="272" s="1"/>
  <c r="AI13" i="272" s="1"/>
  <c r="AI106" i="281" s="1"/>
  <c r="AI107" i="281" s="1"/>
  <c r="AI108" i="281" s="1"/>
  <c r="AI111" i="281" s="1"/>
  <c r="AI112" i="281" s="1"/>
  <c r="AI115" i="281" s="1"/>
  <c r="O100" i="46"/>
  <c r="O101" i="46" s="1"/>
  <c r="O112" i="46" s="1"/>
  <c r="O114" i="46" s="1"/>
  <c r="R33" i="46"/>
  <c r="R71" i="46"/>
  <c r="R73" i="46" s="1"/>
  <c r="R82" i="46" s="1"/>
  <c r="R67" i="46"/>
  <c r="R69" i="46" s="1"/>
  <c r="R81" i="46" s="1"/>
  <c r="R32" i="46"/>
  <c r="Q82" i="46"/>
  <c r="Q84" i="46" s="1"/>
  <c r="S22" i="46"/>
  <c r="S23" i="46" s="1"/>
  <c r="S57" i="46"/>
  <c r="S58" i="46" s="1"/>
  <c r="S76" i="46" s="1"/>
  <c r="S42" i="46"/>
  <c r="S43" i="46" s="1"/>
  <c r="S64" i="46" s="1"/>
  <c r="S17" i="46"/>
  <c r="S18" i="46" s="1"/>
  <c r="S12" i="46"/>
  <c r="S13" i="46" s="1"/>
  <c r="S52" i="46"/>
  <c r="S53" i="46" s="1"/>
  <c r="S72" i="46" s="1"/>
  <c r="S47" i="46"/>
  <c r="S48" i="46" s="1"/>
  <c r="S68" i="46" s="1"/>
  <c r="S27" i="46"/>
  <c r="S28" i="46" s="1"/>
  <c r="R63" i="46"/>
  <c r="R65" i="46" s="1"/>
  <c r="R80" i="46" s="1"/>
  <c r="R31" i="46"/>
  <c r="P91" i="46"/>
  <c r="P92" i="46" s="1"/>
  <c r="P111" i="46" s="1"/>
  <c r="P100" i="46"/>
  <c r="P101" i="46" s="1"/>
  <c r="P112" i="46" s="1"/>
  <c r="N8" i="49"/>
  <c r="N10" i="49" s="1"/>
  <c r="N24" i="265"/>
  <c r="M40" i="49"/>
  <c r="M41" i="277" s="1"/>
  <c r="P9" i="258"/>
  <c r="P11" i="258" s="1"/>
  <c r="P30" i="258" s="1"/>
  <c r="P33" i="258" s="1"/>
  <c r="Q35" i="46"/>
  <c r="Q9" i="258" s="1"/>
  <c r="Q11" i="258" s="1"/>
  <c r="Q30" i="258" s="1"/>
  <c r="Q33" i="258" s="1"/>
  <c r="Q25" i="265" s="1"/>
  <c r="R75" i="46"/>
  <c r="R77" i="46" s="1"/>
  <c r="R83" i="46" s="1"/>
  <c r="R34" i="46"/>
  <c r="N50" i="261"/>
  <c r="N58" i="49" s="1"/>
  <c r="N57" i="261"/>
  <c r="T37" i="44"/>
  <c r="T38" i="44" s="1"/>
  <c r="T33" i="44"/>
  <c r="T34" i="44" s="1"/>
  <c r="T13" i="259" s="1"/>
  <c r="T18" i="44"/>
  <c r="T19" i="44" s="1"/>
  <c r="T23" i="44"/>
  <c r="T24" i="44" s="1"/>
  <c r="T9" i="295" s="1"/>
  <c r="S44" i="265"/>
  <c r="S69" i="260"/>
  <c r="U3" i="265"/>
  <c r="U11" i="44"/>
  <c r="U12" i="44" s="1"/>
  <c r="U4" i="295" s="1"/>
  <c r="S48" i="261"/>
  <c r="S10" i="265"/>
  <c r="S14" i="265"/>
  <c r="S89" i="261"/>
  <c r="S81" i="261"/>
  <c r="S2" i="265"/>
  <c r="S16" i="258"/>
  <c r="S24" i="258"/>
  <c r="S25" i="258" s="1"/>
  <c r="S32" i="258" s="1"/>
  <c r="U3" i="258"/>
  <c r="U3" i="261"/>
  <c r="U3" i="259"/>
  <c r="U3" i="260"/>
  <c r="S4" i="258"/>
  <c r="S4" i="260"/>
  <c r="S4" i="261"/>
  <c r="S4" i="259"/>
  <c r="S53" i="261"/>
  <c r="S21" i="259"/>
  <c r="S2" i="261"/>
  <c r="S2" i="259"/>
  <c r="S2" i="260"/>
  <c r="S2" i="258"/>
  <c r="S9" i="257"/>
  <c r="S14" i="257" s="1"/>
  <c r="T11" i="257" s="1"/>
  <c r="T4" i="265"/>
  <c r="U3" i="257"/>
  <c r="U3" i="49"/>
  <c r="U3" i="252"/>
  <c r="U3" i="46"/>
  <c r="V8" i="44"/>
  <c r="V3" i="295" s="1"/>
  <c r="U3" i="44"/>
  <c r="S4" i="44"/>
  <c r="S4" i="257"/>
  <c r="S4" i="49"/>
  <c r="S4" i="252"/>
  <c r="S4" i="46"/>
  <c r="S2" i="44"/>
  <c r="S2" i="257"/>
  <c r="S2" i="49"/>
  <c r="S2" i="46"/>
  <c r="S2" i="252"/>
  <c r="T55" i="295" l="1"/>
  <c r="T31" i="261"/>
  <c r="T2" i="283"/>
  <c r="T2" i="295"/>
  <c r="M114" i="281"/>
  <c r="M116" i="281" s="1"/>
  <c r="M29" i="277"/>
  <c r="U28" i="44"/>
  <c r="U29" i="44" s="1"/>
  <c r="U25" i="260" s="1"/>
  <c r="U4" i="283"/>
  <c r="T8" i="260"/>
  <c r="T11" i="260" s="1"/>
  <c r="T19" i="260" s="1"/>
  <c r="T21" i="260" s="1"/>
  <c r="T24" i="260" s="1"/>
  <c r="T26" i="260" s="1"/>
  <c r="T28" i="260" s="1"/>
  <c r="V3" i="277"/>
  <c r="V3" i="283"/>
  <c r="T26" i="252"/>
  <c r="T8" i="283"/>
  <c r="T17" i="283"/>
  <c r="N126" i="281"/>
  <c r="N80" i="281"/>
  <c r="N35" i="281"/>
  <c r="N37" i="281" s="1"/>
  <c r="N40" i="281" s="1"/>
  <c r="AG62" i="281"/>
  <c r="AG123" i="281"/>
  <c r="AG63" i="281"/>
  <c r="AG124" i="281"/>
  <c r="AG30" i="266"/>
  <c r="AG36" i="266" s="1"/>
  <c r="AG37" i="266" s="1"/>
  <c r="AG40" i="266" s="1"/>
  <c r="AD40" i="277"/>
  <c r="AF36" i="266"/>
  <c r="AF37" i="266" s="1"/>
  <c r="AF40" i="266" s="1"/>
  <c r="AF41" i="266" s="1"/>
  <c r="AF122" i="281" s="1"/>
  <c r="AI30" i="281"/>
  <c r="AI4" i="281"/>
  <c r="AE43" i="266"/>
  <c r="AE44" i="266" s="1"/>
  <c r="AE72" i="281"/>
  <c r="AH19" i="266"/>
  <c r="AH20" i="266" s="1"/>
  <c r="AH28" i="266" s="1"/>
  <c r="AH82" i="281"/>
  <c r="AH15" i="266"/>
  <c r="AH16" i="266" s="1"/>
  <c r="AH27" i="266" s="1"/>
  <c r="AH10" i="281"/>
  <c r="AH11" i="281" s="1"/>
  <c r="AH2" i="266"/>
  <c r="AH31" i="281"/>
  <c r="AH32" i="281" s="1"/>
  <c r="AH36" i="281" s="1"/>
  <c r="AH14" i="281"/>
  <c r="AH16" i="281" s="1"/>
  <c r="AH51" i="281"/>
  <c r="AH2" i="281"/>
  <c r="AI37" i="277"/>
  <c r="AI26" i="277"/>
  <c r="AI4" i="266"/>
  <c r="AI17" i="277"/>
  <c r="AH2" i="272"/>
  <c r="AH29" i="272"/>
  <c r="AH30" i="272" s="1"/>
  <c r="AH23" i="266" s="1"/>
  <c r="AH24" i="266" s="1"/>
  <c r="AH29" i="266" s="1"/>
  <c r="AI17" i="272"/>
  <c r="AI18" i="272" s="1"/>
  <c r="AI25" i="272"/>
  <c r="AI26" i="272" s="1"/>
  <c r="AI55" i="281" s="1"/>
  <c r="AI56" i="281" s="1"/>
  <c r="AI66" i="281" s="1"/>
  <c r="AI4" i="272"/>
  <c r="AI21" i="272"/>
  <c r="AI22" i="272" s="1"/>
  <c r="T90" i="46"/>
  <c r="T10" i="258"/>
  <c r="T23" i="258"/>
  <c r="S17" i="258"/>
  <c r="S31" i="258" s="1"/>
  <c r="T15" i="258"/>
  <c r="T61" i="260"/>
  <c r="T2" i="277"/>
  <c r="U48" i="44"/>
  <c r="U49" i="44" s="1"/>
  <c r="U23" i="258" s="1"/>
  <c r="U4" i="277"/>
  <c r="AJ3" i="272"/>
  <c r="AJ3" i="266"/>
  <c r="AJ9" i="272"/>
  <c r="AJ12" i="272" s="1"/>
  <c r="AJ13" i="272" s="1"/>
  <c r="AJ106" i="281" s="1"/>
  <c r="AJ107" i="281" s="1"/>
  <c r="AJ108" i="281" s="1"/>
  <c r="AJ111" i="281" s="1"/>
  <c r="AJ112" i="281" s="1"/>
  <c r="AJ115" i="281" s="1"/>
  <c r="AK8" i="272"/>
  <c r="AK3" i="281" s="1"/>
  <c r="Q34" i="258"/>
  <c r="Q9" i="49" s="1"/>
  <c r="N40" i="49"/>
  <c r="N41" i="277" s="1"/>
  <c r="Q91" i="46"/>
  <c r="Q92" i="46" s="1"/>
  <c r="Q111" i="46" s="1"/>
  <c r="Q100" i="46"/>
  <c r="Q101" i="46" s="1"/>
  <c r="Q112" i="46" s="1"/>
  <c r="R84" i="46"/>
  <c r="S71" i="46"/>
  <c r="S73" i="46" s="1"/>
  <c r="S82" i="46" s="1"/>
  <c r="S33" i="46"/>
  <c r="P25" i="265"/>
  <c r="P34" i="258"/>
  <c r="P9" i="49" s="1"/>
  <c r="S75" i="46"/>
  <c r="S77" i="46" s="1"/>
  <c r="S83" i="46" s="1"/>
  <c r="S34" i="46"/>
  <c r="R35" i="46"/>
  <c r="R9" i="258" s="1"/>
  <c r="R11" i="258" s="1"/>
  <c r="R30" i="258" s="1"/>
  <c r="R33" i="258" s="1"/>
  <c r="R25" i="265" s="1"/>
  <c r="T57" i="46"/>
  <c r="T58" i="46" s="1"/>
  <c r="T76" i="46" s="1"/>
  <c r="T17" i="46"/>
  <c r="T18" i="46" s="1"/>
  <c r="T52" i="46"/>
  <c r="T53" i="46" s="1"/>
  <c r="T72" i="46" s="1"/>
  <c r="T47" i="46"/>
  <c r="T48" i="46" s="1"/>
  <c r="T68" i="46" s="1"/>
  <c r="T42" i="46"/>
  <c r="T43" i="46" s="1"/>
  <c r="T64" i="46" s="1"/>
  <c r="T27" i="46"/>
  <c r="T28" i="46" s="1"/>
  <c r="T12" i="46"/>
  <c r="T13" i="46" s="1"/>
  <c r="T22" i="46"/>
  <c r="T23" i="46" s="1"/>
  <c r="O8" i="49"/>
  <c r="O10" i="49" s="1"/>
  <c r="O24" i="265"/>
  <c r="P114" i="46"/>
  <c r="S63" i="46"/>
  <c r="S65" i="46" s="1"/>
  <c r="S80" i="46" s="1"/>
  <c r="S31" i="46"/>
  <c r="S67" i="46"/>
  <c r="S69" i="46" s="1"/>
  <c r="S81" i="46" s="1"/>
  <c r="S32" i="46"/>
  <c r="U37" i="44"/>
  <c r="U38" i="44" s="1"/>
  <c r="U33" i="44"/>
  <c r="U34" i="44" s="1"/>
  <c r="U13" i="259" s="1"/>
  <c r="U23" i="44"/>
  <c r="U24" i="44" s="1"/>
  <c r="U9" i="295" s="1"/>
  <c r="U18" i="44"/>
  <c r="U19" i="44" s="1"/>
  <c r="T44" i="265"/>
  <c r="T69" i="260"/>
  <c r="V3" i="265"/>
  <c r="V11" i="44"/>
  <c r="V12" i="44" s="1"/>
  <c r="V4" i="295" s="1"/>
  <c r="T48" i="261"/>
  <c r="T10" i="265"/>
  <c r="T14" i="265"/>
  <c r="T81" i="261"/>
  <c r="T89" i="261"/>
  <c r="T2" i="265"/>
  <c r="T16" i="258"/>
  <c r="T24" i="258"/>
  <c r="V3" i="258"/>
  <c r="V3" i="260"/>
  <c r="V3" i="259"/>
  <c r="V3" i="261"/>
  <c r="T4" i="258"/>
  <c r="T4" i="261"/>
  <c r="T4" i="260"/>
  <c r="T4" i="259"/>
  <c r="T53" i="261"/>
  <c r="T21" i="259"/>
  <c r="T2" i="261"/>
  <c r="T2" i="260"/>
  <c r="T2" i="259"/>
  <c r="T2" i="258"/>
  <c r="U4" i="265"/>
  <c r="T9" i="257"/>
  <c r="T14" i="257" s="1"/>
  <c r="U11" i="257" s="1"/>
  <c r="V3" i="257"/>
  <c r="V3" i="49"/>
  <c r="V3" i="252"/>
  <c r="V3" i="46"/>
  <c r="W8" i="44"/>
  <c r="W3" i="295" s="1"/>
  <c r="V3" i="44"/>
  <c r="T2" i="44"/>
  <c r="T2" i="49"/>
  <c r="T2" i="46"/>
  <c r="T2" i="257"/>
  <c r="T2" i="252"/>
  <c r="T4" i="44"/>
  <c r="T4" i="257"/>
  <c r="T4" i="46"/>
  <c r="T4" i="252"/>
  <c r="T4" i="49"/>
  <c r="O40" i="49" l="1"/>
  <c r="O41" i="277" s="1"/>
  <c r="U55" i="295"/>
  <c r="U31" i="261"/>
  <c r="U2" i="283"/>
  <c r="U2" i="295"/>
  <c r="U8" i="260"/>
  <c r="U11" i="260" s="1"/>
  <c r="U19" i="260" s="1"/>
  <c r="U21" i="260" s="1"/>
  <c r="U24" i="260" s="1"/>
  <c r="U26" i="260" s="1"/>
  <c r="U28" i="260" s="1"/>
  <c r="V28" i="44"/>
  <c r="V29" i="44" s="1"/>
  <c r="V25" i="260" s="1"/>
  <c r="V4" i="283"/>
  <c r="W3" i="277"/>
  <c r="W3" i="283"/>
  <c r="U26" i="252"/>
  <c r="U17" i="283"/>
  <c r="U8" i="283"/>
  <c r="N125" i="281"/>
  <c r="N127" i="281" s="1"/>
  <c r="N64" i="281"/>
  <c r="N67" i="281" s="1"/>
  <c r="N73" i="281" s="1"/>
  <c r="N74" i="281" s="1"/>
  <c r="N77" i="281" s="1"/>
  <c r="N78" i="281" s="1"/>
  <c r="N87" i="281" s="1"/>
  <c r="AG39" i="266"/>
  <c r="AG41" i="266" s="1"/>
  <c r="AG122" i="281" s="1"/>
  <c r="AH63" i="281"/>
  <c r="AH124" i="281"/>
  <c r="AH62" i="281"/>
  <c r="AH123" i="281"/>
  <c r="AE40" i="277"/>
  <c r="AH30" i="266"/>
  <c r="AH36" i="266" s="1"/>
  <c r="AH37" i="266" s="1"/>
  <c r="AH40" i="266" s="1"/>
  <c r="AI15" i="266"/>
  <c r="AI16" i="266" s="1"/>
  <c r="AI27" i="266" s="1"/>
  <c r="AI10" i="281"/>
  <c r="AI11" i="281" s="1"/>
  <c r="AJ30" i="281"/>
  <c r="AJ4" i="281"/>
  <c r="AI19" i="266"/>
  <c r="AI20" i="266" s="1"/>
  <c r="AI28" i="266" s="1"/>
  <c r="AI82" i="281"/>
  <c r="AF43" i="266"/>
  <c r="AF44" i="266" s="1"/>
  <c r="AF72" i="281"/>
  <c r="AI2" i="266"/>
  <c r="AI31" i="281"/>
  <c r="AI32" i="281" s="1"/>
  <c r="AI36" i="281" s="1"/>
  <c r="AI51" i="281"/>
  <c r="AI14" i="281"/>
  <c r="AI16" i="281" s="1"/>
  <c r="AI2" i="281"/>
  <c r="AJ37" i="277"/>
  <c r="AJ26" i="277"/>
  <c r="AJ17" i="277"/>
  <c r="AJ4" i="266"/>
  <c r="AI2" i="272"/>
  <c r="AI29" i="272"/>
  <c r="AI30" i="272" s="1"/>
  <c r="AI23" i="266" s="1"/>
  <c r="AI24" i="266" s="1"/>
  <c r="AI29" i="266" s="1"/>
  <c r="AJ17" i="272"/>
  <c r="AJ18" i="272" s="1"/>
  <c r="AJ4" i="272"/>
  <c r="AJ21" i="272"/>
  <c r="AJ22" i="272" s="1"/>
  <c r="AJ25" i="272"/>
  <c r="AJ26" i="272" s="1"/>
  <c r="AJ55" i="281" s="1"/>
  <c r="AJ56" i="281" s="1"/>
  <c r="AJ66" i="281" s="1"/>
  <c r="T25" i="258"/>
  <c r="T32" i="258" s="1"/>
  <c r="U90" i="46"/>
  <c r="U15" i="258"/>
  <c r="T17" i="258"/>
  <c r="T31" i="258" s="1"/>
  <c r="U10" i="258"/>
  <c r="V48" i="44"/>
  <c r="V49" i="44" s="1"/>
  <c r="V99" i="46" s="1"/>
  <c r="V4" i="277"/>
  <c r="U99" i="46"/>
  <c r="U61" i="260"/>
  <c r="U2" i="277"/>
  <c r="AK3" i="272"/>
  <c r="AK3" i="266"/>
  <c r="AL8" i="272"/>
  <c r="AL3" i="281" s="1"/>
  <c r="AK9" i="272"/>
  <c r="AK12" i="272" s="1"/>
  <c r="AK13" i="272" s="1"/>
  <c r="AK106" i="281" s="1"/>
  <c r="AK107" i="281" s="1"/>
  <c r="AK108" i="281" s="1"/>
  <c r="AK111" i="281" s="1"/>
  <c r="AK112" i="281" s="1"/>
  <c r="AK115" i="281" s="1"/>
  <c r="R34" i="258"/>
  <c r="R9" i="49" s="1"/>
  <c r="Q114" i="46"/>
  <c r="Q24" i="265" s="1"/>
  <c r="S84" i="46"/>
  <c r="S91" i="46" s="1"/>
  <c r="S92" i="46" s="1"/>
  <c r="S111" i="46" s="1"/>
  <c r="S35" i="46"/>
  <c r="S9" i="258" s="1"/>
  <c r="S11" i="258" s="1"/>
  <c r="S30" i="258" s="1"/>
  <c r="S33" i="258" s="1"/>
  <c r="S25" i="265" s="1"/>
  <c r="T75" i="46"/>
  <c r="T77" i="46" s="1"/>
  <c r="T83" i="46" s="1"/>
  <c r="T34" i="46"/>
  <c r="R91" i="46"/>
  <c r="R92" i="46" s="1"/>
  <c r="R111" i="46" s="1"/>
  <c r="R100" i="46"/>
  <c r="R101" i="46" s="1"/>
  <c r="R112" i="46" s="1"/>
  <c r="U47" i="46"/>
  <c r="U48" i="46" s="1"/>
  <c r="U68" i="46" s="1"/>
  <c r="U42" i="46"/>
  <c r="U43" i="46" s="1"/>
  <c r="U64" i="46" s="1"/>
  <c r="U52" i="46"/>
  <c r="U53" i="46" s="1"/>
  <c r="U72" i="46" s="1"/>
  <c r="U12" i="46"/>
  <c r="U13" i="46" s="1"/>
  <c r="U27" i="46"/>
  <c r="U28" i="46" s="1"/>
  <c r="U57" i="46"/>
  <c r="U58" i="46" s="1"/>
  <c r="U76" i="46" s="1"/>
  <c r="U22" i="46"/>
  <c r="U23" i="46" s="1"/>
  <c r="U17" i="46"/>
  <c r="U18" i="46" s="1"/>
  <c r="T63" i="46"/>
  <c r="T65" i="46" s="1"/>
  <c r="T80" i="46" s="1"/>
  <c r="T31" i="46"/>
  <c r="P24" i="265"/>
  <c r="P8" i="49"/>
  <c r="P10" i="49" s="1"/>
  <c r="T67" i="46"/>
  <c r="T69" i="46" s="1"/>
  <c r="T81" i="46" s="1"/>
  <c r="T32" i="46"/>
  <c r="T33" i="46"/>
  <c r="T71" i="46"/>
  <c r="T73" i="46" s="1"/>
  <c r="T82" i="46" s="1"/>
  <c r="V18" i="44"/>
  <c r="V19" i="44" s="1"/>
  <c r="V37" i="44"/>
  <c r="V38" i="44" s="1"/>
  <c r="V33" i="44"/>
  <c r="V34" i="44" s="1"/>
  <c r="V13" i="259" s="1"/>
  <c r="V23" i="44"/>
  <c r="V24" i="44" s="1"/>
  <c r="V9" i="295" s="1"/>
  <c r="U44" i="265"/>
  <c r="U69" i="260"/>
  <c r="W3" i="265"/>
  <c r="W11" i="44"/>
  <c r="W12" i="44" s="1"/>
  <c r="W4" i="295" s="1"/>
  <c r="U48" i="261"/>
  <c r="U10" i="265"/>
  <c r="U14" i="265"/>
  <c r="U89" i="261"/>
  <c r="U81" i="261"/>
  <c r="U2" i="265"/>
  <c r="U24" i="258"/>
  <c r="U25" i="258" s="1"/>
  <c r="U32" i="258" s="1"/>
  <c r="U16" i="258"/>
  <c r="U4" i="258"/>
  <c r="U4" i="260"/>
  <c r="U4" i="259"/>
  <c r="U4" i="261"/>
  <c r="W3" i="258"/>
  <c r="W3" i="261"/>
  <c r="W3" i="260"/>
  <c r="W3" i="259"/>
  <c r="U53" i="261"/>
  <c r="U21" i="259"/>
  <c r="U2" i="260"/>
  <c r="U2" i="259"/>
  <c r="U2" i="261"/>
  <c r="U2" i="258"/>
  <c r="W3" i="257"/>
  <c r="W3" i="46"/>
  <c r="W3" i="252"/>
  <c r="W3" i="49"/>
  <c r="W3" i="44"/>
  <c r="X8" i="44"/>
  <c r="X3" i="295" s="1"/>
  <c r="U4" i="44"/>
  <c r="U4" i="257"/>
  <c r="U4" i="252"/>
  <c r="U4" i="46"/>
  <c r="U4" i="49"/>
  <c r="U9" i="257"/>
  <c r="U14" i="257" s="1"/>
  <c r="V11" i="257" s="1"/>
  <c r="U2" i="44"/>
  <c r="U2" i="257"/>
  <c r="U2" i="49"/>
  <c r="U2" i="252"/>
  <c r="U2" i="46"/>
  <c r="V4" i="265"/>
  <c r="P40" i="49" l="1"/>
  <c r="P41" i="277" s="1"/>
  <c r="V55" i="295"/>
  <c r="V31" i="261"/>
  <c r="V2" i="283"/>
  <c r="V2" i="295"/>
  <c r="V8" i="260"/>
  <c r="V11" i="260" s="1"/>
  <c r="V19" i="260" s="1"/>
  <c r="V21" i="260" s="1"/>
  <c r="V24" i="260" s="1"/>
  <c r="V26" i="260" s="1"/>
  <c r="V28" i="260" s="1"/>
  <c r="X3" i="277"/>
  <c r="X3" i="283"/>
  <c r="V26" i="252"/>
  <c r="V17" i="283"/>
  <c r="V8" i="283"/>
  <c r="W28" i="44"/>
  <c r="W29" i="44" s="1"/>
  <c r="W4" i="283"/>
  <c r="N95" i="281"/>
  <c r="N94" i="281"/>
  <c r="N81" i="281"/>
  <c r="N83" i="281" s="1"/>
  <c r="N88" i="281" s="1"/>
  <c r="N89" i="281" s="1"/>
  <c r="O86" i="281" s="1"/>
  <c r="O46" i="281" s="1"/>
  <c r="O47" i="281" s="1"/>
  <c r="O50" i="281" s="1"/>
  <c r="O52" i="281" s="1"/>
  <c r="AH39" i="266"/>
  <c r="AH41" i="266" s="1"/>
  <c r="AH122" i="281" s="1"/>
  <c r="AI62" i="281"/>
  <c r="AI123" i="281"/>
  <c r="AI63" i="281"/>
  <c r="AI124" i="281"/>
  <c r="AJ2" i="266"/>
  <c r="AJ51" i="281"/>
  <c r="AJ31" i="281"/>
  <c r="AJ32" i="281" s="1"/>
  <c r="AJ36" i="281" s="1"/>
  <c r="AJ14" i="281"/>
  <c r="AJ16" i="281" s="1"/>
  <c r="AJ2" i="281"/>
  <c r="AI30" i="266"/>
  <c r="AI36" i="266" s="1"/>
  <c r="AI37" i="266" s="1"/>
  <c r="AI40" i="266" s="1"/>
  <c r="AJ19" i="266"/>
  <c r="AJ20" i="266" s="1"/>
  <c r="AJ28" i="266" s="1"/>
  <c r="AJ82" i="281"/>
  <c r="AJ15" i="266"/>
  <c r="AJ16" i="266" s="1"/>
  <c r="AJ27" i="266" s="1"/>
  <c r="AJ10" i="281"/>
  <c r="AJ11" i="281" s="1"/>
  <c r="AF40" i="277"/>
  <c r="AK30" i="281"/>
  <c r="AK4" i="281"/>
  <c r="AG43" i="266"/>
  <c r="AG44" i="266" s="1"/>
  <c r="AG72" i="281"/>
  <c r="AK26" i="277"/>
  <c r="AK17" i="277"/>
  <c r="AK4" i="266"/>
  <c r="AK37" i="277"/>
  <c r="AJ2" i="272"/>
  <c r="AJ29" i="272"/>
  <c r="AJ30" i="272" s="1"/>
  <c r="AJ23" i="266" s="1"/>
  <c r="AJ24" i="266" s="1"/>
  <c r="AJ29" i="266" s="1"/>
  <c r="AK17" i="272"/>
  <c r="AK18" i="272" s="1"/>
  <c r="AK25" i="272"/>
  <c r="AK26" i="272" s="1"/>
  <c r="AK55" i="281" s="1"/>
  <c r="AK56" i="281" s="1"/>
  <c r="AK66" i="281" s="1"/>
  <c r="AK21" i="272"/>
  <c r="AK22" i="272" s="1"/>
  <c r="AK4" i="272"/>
  <c r="U17" i="258"/>
  <c r="U31" i="258" s="1"/>
  <c r="V90" i="46"/>
  <c r="V10" i="258"/>
  <c r="V23" i="258"/>
  <c r="V15" i="258"/>
  <c r="V61" i="260"/>
  <c r="V2" i="277"/>
  <c r="W48" i="44"/>
  <c r="W49" i="44" s="1"/>
  <c r="W90" i="46" s="1"/>
  <c r="W4" i="277"/>
  <c r="AL3" i="272"/>
  <c r="AL3" i="266"/>
  <c r="AM8" i="272"/>
  <c r="AM3" i="281" s="1"/>
  <c r="AL9" i="272"/>
  <c r="AL12" i="272" s="1"/>
  <c r="AL13" i="272" s="1"/>
  <c r="AL106" i="281" s="1"/>
  <c r="AL107" i="281" s="1"/>
  <c r="AL108" i="281" s="1"/>
  <c r="AL111" i="281" s="1"/>
  <c r="AL112" i="281" s="1"/>
  <c r="AL115" i="281" s="1"/>
  <c r="Q8" i="49"/>
  <c r="Q10" i="49" s="1"/>
  <c r="S34" i="258"/>
  <c r="S9" i="49" s="1"/>
  <c r="R114" i="46"/>
  <c r="R8" i="49" s="1"/>
  <c r="R10" i="49" s="1"/>
  <c r="S100" i="46"/>
  <c r="S101" i="46" s="1"/>
  <c r="S112" i="46" s="1"/>
  <c r="S114" i="46" s="1"/>
  <c r="T84" i="46"/>
  <c r="T100" i="46" s="1"/>
  <c r="T101" i="46" s="1"/>
  <c r="T112" i="46" s="1"/>
  <c r="U71" i="46"/>
  <c r="U73" i="46" s="1"/>
  <c r="U82" i="46" s="1"/>
  <c r="U33" i="46"/>
  <c r="U31" i="46"/>
  <c r="U63" i="46"/>
  <c r="U65" i="46" s="1"/>
  <c r="U80" i="46" s="1"/>
  <c r="U67" i="46"/>
  <c r="U69" i="46" s="1"/>
  <c r="U81" i="46" s="1"/>
  <c r="U32" i="46"/>
  <c r="V17" i="46"/>
  <c r="V18" i="46" s="1"/>
  <c r="V27" i="46"/>
  <c r="V28" i="46" s="1"/>
  <c r="V52" i="46"/>
  <c r="V53" i="46" s="1"/>
  <c r="V72" i="46" s="1"/>
  <c r="V57" i="46"/>
  <c r="V58" i="46" s="1"/>
  <c r="V76" i="46" s="1"/>
  <c r="V47" i="46"/>
  <c r="V48" i="46" s="1"/>
  <c r="V68" i="46" s="1"/>
  <c r="V42" i="46"/>
  <c r="V43" i="46" s="1"/>
  <c r="V64" i="46" s="1"/>
  <c r="V22" i="46"/>
  <c r="V23" i="46" s="1"/>
  <c r="V12" i="46"/>
  <c r="V13" i="46" s="1"/>
  <c r="T35" i="46"/>
  <c r="T9" i="258" s="1"/>
  <c r="T11" i="258" s="1"/>
  <c r="T30" i="258" s="1"/>
  <c r="T33" i="258" s="1"/>
  <c r="T25" i="265" s="1"/>
  <c r="U75" i="46"/>
  <c r="U77" i="46" s="1"/>
  <c r="U83" i="46" s="1"/>
  <c r="U34" i="46"/>
  <c r="W23" i="44"/>
  <c r="W24" i="44" s="1"/>
  <c r="W9" i="295" s="1"/>
  <c r="W37" i="44"/>
  <c r="W38" i="44" s="1"/>
  <c r="W33" i="44"/>
  <c r="W34" i="44" s="1"/>
  <c r="W13" i="259" s="1"/>
  <c r="W18" i="44"/>
  <c r="W19" i="44" s="1"/>
  <c r="V44" i="265"/>
  <c r="V69" i="260"/>
  <c r="X3" i="265"/>
  <c r="X11" i="44"/>
  <c r="X12" i="44" s="1"/>
  <c r="X4" i="295" s="1"/>
  <c r="V48" i="261"/>
  <c r="V10" i="265"/>
  <c r="V14" i="265"/>
  <c r="V81" i="261"/>
  <c r="V89" i="261"/>
  <c r="V2" i="265"/>
  <c r="V24" i="258"/>
  <c r="V16" i="258"/>
  <c r="V2" i="261"/>
  <c r="V2" i="260"/>
  <c r="V2" i="259"/>
  <c r="X3" i="258"/>
  <c r="X3" i="261"/>
  <c r="X3" i="260"/>
  <c r="X3" i="259"/>
  <c r="V4" i="258"/>
  <c r="V4" i="261"/>
  <c r="V4" i="260"/>
  <c r="V4" i="259"/>
  <c r="V53" i="261"/>
  <c r="V21" i="259"/>
  <c r="V2" i="258"/>
  <c r="W4" i="265"/>
  <c r="X3" i="257"/>
  <c r="X3" i="49"/>
  <c r="X3" i="46"/>
  <c r="X3" i="252"/>
  <c r="X3" i="44"/>
  <c r="Y8" i="44"/>
  <c r="Y3" i="295" s="1"/>
  <c r="V2" i="44"/>
  <c r="V2" i="257"/>
  <c r="V2" i="46"/>
  <c r="V2" i="49"/>
  <c r="V2" i="252"/>
  <c r="V4" i="44"/>
  <c r="V4" i="49"/>
  <c r="V4" i="46"/>
  <c r="V4" i="257"/>
  <c r="V4" i="252"/>
  <c r="V9" i="257"/>
  <c r="V14" i="257" s="1"/>
  <c r="W11" i="257" s="1"/>
  <c r="R40" i="49" l="1"/>
  <c r="R41" i="277" s="1"/>
  <c r="Q40" i="49"/>
  <c r="Q41" i="277" s="1"/>
  <c r="W55" i="295"/>
  <c r="W31" i="261"/>
  <c r="W2" i="283"/>
  <c r="W2" i="295"/>
  <c r="W26" i="252"/>
  <c r="W17" i="283"/>
  <c r="W8" i="283"/>
  <c r="Y3" i="277"/>
  <c r="Y3" i="283"/>
  <c r="W25" i="260"/>
  <c r="W8" i="260"/>
  <c r="W11" i="260" s="1"/>
  <c r="W19" i="260" s="1"/>
  <c r="W21" i="260" s="1"/>
  <c r="W24" i="260" s="1"/>
  <c r="X28" i="44"/>
  <c r="X29" i="44" s="1"/>
  <c r="X25" i="260" s="1"/>
  <c r="X4" i="283"/>
  <c r="N96" i="281"/>
  <c r="AI39" i="266"/>
  <c r="AI41" i="266" s="1"/>
  <c r="AI122" i="281" s="1"/>
  <c r="AJ30" i="266"/>
  <c r="AJ39" i="266" s="1"/>
  <c r="O65" i="281"/>
  <c r="O126" i="281"/>
  <c r="AJ62" i="281"/>
  <c r="AJ123" i="281"/>
  <c r="AJ63" i="281"/>
  <c r="AJ124" i="281"/>
  <c r="O35" i="281"/>
  <c r="O37" i="281" s="1"/>
  <c r="O80" i="281"/>
  <c r="AK15" i="266"/>
  <c r="AK16" i="266" s="1"/>
  <c r="AK27" i="266" s="1"/>
  <c r="AK10" i="281"/>
  <c r="AK11" i="281" s="1"/>
  <c r="AK19" i="266"/>
  <c r="AK20" i="266" s="1"/>
  <c r="AK28" i="266" s="1"/>
  <c r="AK82" i="281"/>
  <c r="AK2" i="266"/>
  <c r="AK31" i="281"/>
  <c r="AK32" i="281" s="1"/>
  <c r="AK36" i="281" s="1"/>
  <c r="AK14" i="281"/>
  <c r="AK16" i="281" s="1"/>
  <c r="AK2" i="281"/>
  <c r="AK51" i="281"/>
  <c r="AG40" i="277"/>
  <c r="AL30" i="281"/>
  <c r="AL4" i="281"/>
  <c r="AH43" i="266"/>
  <c r="AH44" i="266" s="1"/>
  <c r="AH72" i="281"/>
  <c r="AL26" i="277"/>
  <c r="AL4" i="266"/>
  <c r="AL17" i="277"/>
  <c r="AL37" i="277"/>
  <c r="AK2" i="272"/>
  <c r="AK29" i="272"/>
  <c r="AK30" i="272" s="1"/>
  <c r="AK23" i="266" s="1"/>
  <c r="AK24" i="266" s="1"/>
  <c r="AK29" i="266" s="1"/>
  <c r="AL17" i="272"/>
  <c r="AL18" i="272" s="1"/>
  <c r="AL4" i="272"/>
  <c r="AL21" i="272"/>
  <c r="AL22" i="272" s="1"/>
  <c r="AL25" i="272"/>
  <c r="AL26" i="272" s="1"/>
  <c r="AL55" i="281" s="1"/>
  <c r="AL56" i="281" s="1"/>
  <c r="AL66" i="281" s="1"/>
  <c r="W99" i="46"/>
  <c r="W23" i="258"/>
  <c r="V17" i="258"/>
  <c r="V31" i="258" s="1"/>
  <c r="W15" i="258"/>
  <c r="V25" i="258"/>
  <c r="V32" i="258" s="1"/>
  <c r="W10" i="258"/>
  <c r="X48" i="44"/>
  <c r="X49" i="44" s="1"/>
  <c r="X90" i="46" s="1"/>
  <c r="X4" i="277"/>
  <c r="W61" i="260"/>
  <c r="W2" i="277"/>
  <c r="AM3" i="272"/>
  <c r="AM3" i="266"/>
  <c r="AN8" i="272"/>
  <c r="AN3" i="281" s="1"/>
  <c r="AM9" i="272"/>
  <c r="AM12" i="272" s="1"/>
  <c r="AM13" i="272" s="1"/>
  <c r="AM106" i="281" s="1"/>
  <c r="AM107" i="281" s="1"/>
  <c r="AM108" i="281" s="1"/>
  <c r="AM111" i="281" s="1"/>
  <c r="AM112" i="281" s="1"/>
  <c r="AM115" i="281" s="1"/>
  <c r="T91" i="46"/>
  <c r="T92" i="46" s="1"/>
  <c r="T111" i="46" s="1"/>
  <c r="T114" i="46" s="1"/>
  <c r="T8" i="49" s="1"/>
  <c r="R24" i="265"/>
  <c r="S8" i="49"/>
  <c r="S10" i="49" s="1"/>
  <c r="S24" i="265"/>
  <c r="V34" i="46"/>
  <c r="V75" i="46"/>
  <c r="V77" i="46" s="1"/>
  <c r="V83" i="46" s="1"/>
  <c r="V32" i="46"/>
  <c r="V67" i="46"/>
  <c r="V69" i="46" s="1"/>
  <c r="V81" i="46" s="1"/>
  <c r="V31" i="46"/>
  <c r="V63" i="46"/>
  <c r="V65" i="46" s="1"/>
  <c r="V80" i="46" s="1"/>
  <c r="U84" i="46"/>
  <c r="T34" i="258"/>
  <c r="T9" i="49" s="1"/>
  <c r="V33" i="46"/>
  <c r="V71" i="46"/>
  <c r="V73" i="46" s="1"/>
  <c r="V82" i="46" s="1"/>
  <c r="U35" i="46"/>
  <c r="U9" i="258" s="1"/>
  <c r="U11" i="258" s="1"/>
  <c r="U30" i="258" s="1"/>
  <c r="U33" i="258" s="1"/>
  <c r="U25" i="265" s="1"/>
  <c r="W57" i="46"/>
  <c r="W58" i="46" s="1"/>
  <c r="W76" i="46" s="1"/>
  <c r="W52" i="46"/>
  <c r="W53" i="46" s="1"/>
  <c r="W72" i="46" s="1"/>
  <c r="W12" i="46"/>
  <c r="W13" i="46" s="1"/>
  <c r="W47" i="46"/>
  <c r="W48" i="46" s="1"/>
  <c r="W68" i="46" s="1"/>
  <c r="W42" i="46"/>
  <c r="W43" i="46" s="1"/>
  <c r="W64" i="46" s="1"/>
  <c r="W27" i="46"/>
  <c r="W28" i="46" s="1"/>
  <c r="W22" i="46"/>
  <c r="W23" i="46" s="1"/>
  <c r="W17" i="46"/>
  <c r="W18" i="46" s="1"/>
  <c r="X33" i="44"/>
  <c r="X34" i="44" s="1"/>
  <c r="X13" i="259" s="1"/>
  <c r="X37" i="44"/>
  <c r="X38" i="44" s="1"/>
  <c r="X23" i="44"/>
  <c r="X24" i="44" s="1"/>
  <c r="X9" i="295" s="1"/>
  <c r="X18" i="44"/>
  <c r="X19" i="44" s="1"/>
  <c r="W44" i="265"/>
  <c r="W69" i="260"/>
  <c r="Y3" i="265"/>
  <c r="Y11" i="44"/>
  <c r="Y12" i="44" s="1"/>
  <c r="Y4" i="295" s="1"/>
  <c r="W48" i="261"/>
  <c r="W10" i="265"/>
  <c r="W14" i="265"/>
  <c r="W89" i="261"/>
  <c r="W81" i="261"/>
  <c r="W2" i="265"/>
  <c r="W24" i="258"/>
  <c r="W16" i="258"/>
  <c r="Y3" i="258"/>
  <c r="Y3" i="261"/>
  <c r="Y3" i="260"/>
  <c r="Y3" i="259"/>
  <c r="W53" i="261"/>
  <c r="W21" i="259"/>
  <c r="W4" i="258"/>
  <c r="W4" i="260"/>
  <c r="W4" i="261"/>
  <c r="W4" i="259"/>
  <c r="W2" i="261"/>
  <c r="W2" i="260"/>
  <c r="W2" i="259"/>
  <c r="W2" i="258"/>
  <c r="W9" i="257"/>
  <c r="W14" i="257" s="1"/>
  <c r="X11" i="257" s="1"/>
  <c r="W2" i="44"/>
  <c r="W2" i="257"/>
  <c r="W2" i="252"/>
  <c r="W2" i="46"/>
  <c r="W2" i="49"/>
  <c r="W4" i="44"/>
  <c r="W4" i="49"/>
  <c r="W4" i="252"/>
  <c r="W4" i="257"/>
  <c r="W4" i="46"/>
  <c r="Y3" i="257"/>
  <c r="Y3" i="49"/>
  <c r="Y3" i="252"/>
  <c r="Y3" i="46"/>
  <c r="Y3" i="44"/>
  <c r="Z8" i="44"/>
  <c r="Z3" i="295" s="1"/>
  <c r="X4" i="265"/>
  <c r="S40" i="49" l="1"/>
  <c r="S41" i="277" s="1"/>
  <c r="X55" i="295"/>
  <c r="X31" i="261"/>
  <c r="X2" i="283"/>
  <c r="X2" i="295"/>
  <c r="W26" i="260"/>
  <c r="W28" i="260" s="1"/>
  <c r="X8" i="260"/>
  <c r="X11" i="260" s="1"/>
  <c r="X19" i="260" s="1"/>
  <c r="X21" i="260" s="1"/>
  <c r="X24" i="260" s="1"/>
  <c r="X26" i="260" s="1"/>
  <c r="X28" i="260" s="1"/>
  <c r="Y28" i="44"/>
  <c r="Y29" i="44" s="1"/>
  <c r="Y25" i="260" s="1"/>
  <c r="Y4" i="283"/>
  <c r="Z3" i="277"/>
  <c r="Z3" i="283"/>
  <c r="X26" i="252"/>
  <c r="X17" i="283"/>
  <c r="X8" i="283"/>
  <c r="N99" i="281"/>
  <c r="N100" i="281" s="1"/>
  <c r="N29" i="277" s="1"/>
  <c r="N114" i="281"/>
  <c r="N116" i="281" s="1"/>
  <c r="AJ36" i="266"/>
  <c r="AJ37" i="266" s="1"/>
  <c r="AJ40" i="266" s="1"/>
  <c r="AJ41" i="266" s="1"/>
  <c r="AJ122" i="281" s="1"/>
  <c r="AK63" i="281"/>
  <c r="AK124" i="281"/>
  <c r="O64" i="281"/>
  <c r="O67" i="281" s="1"/>
  <c r="O73" i="281" s="1"/>
  <c r="O74" i="281" s="1"/>
  <c r="O94" i="281" s="1"/>
  <c r="O125" i="281"/>
  <c r="O127" i="281" s="1"/>
  <c r="AK62" i="281"/>
  <c r="AK123" i="281"/>
  <c r="O40" i="281"/>
  <c r="AK30" i="266"/>
  <c r="AK36" i="266" s="1"/>
  <c r="AK37" i="266" s="1"/>
  <c r="AK40" i="266" s="1"/>
  <c r="AL2" i="266"/>
  <c r="AL51" i="281"/>
  <c r="AL14" i="281"/>
  <c r="AL16" i="281" s="1"/>
  <c r="AL2" i="281"/>
  <c r="AL31" i="281"/>
  <c r="AL32" i="281" s="1"/>
  <c r="AL36" i="281" s="1"/>
  <c r="AI43" i="266"/>
  <c r="AI44" i="266" s="1"/>
  <c r="AI72" i="281"/>
  <c r="AM4" i="281"/>
  <c r="AM30" i="281"/>
  <c r="AL19" i="266"/>
  <c r="AL20" i="266" s="1"/>
  <c r="AL28" i="266" s="1"/>
  <c r="AL82" i="281"/>
  <c r="AH40" i="277"/>
  <c r="AL15" i="266"/>
  <c r="AL16" i="266" s="1"/>
  <c r="AL27" i="266" s="1"/>
  <c r="AL10" i="281"/>
  <c r="AL11" i="281" s="1"/>
  <c r="AM17" i="277"/>
  <c r="AM37" i="277"/>
  <c r="AM4" i="266"/>
  <c r="AM26" i="277"/>
  <c r="AL2" i="272"/>
  <c r="AL29" i="272"/>
  <c r="AL30" i="272" s="1"/>
  <c r="AL23" i="266" s="1"/>
  <c r="AL24" i="266" s="1"/>
  <c r="AL29" i="266" s="1"/>
  <c r="AM17" i="272"/>
  <c r="AM18" i="272" s="1"/>
  <c r="AM21" i="272"/>
  <c r="AM22" i="272" s="1"/>
  <c r="AM25" i="272"/>
  <c r="AM26" i="272" s="1"/>
  <c r="AM55" i="281" s="1"/>
  <c r="AM56" i="281" s="1"/>
  <c r="AM66" i="281" s="1"/>
  <c r="AM4" i="272"/>
  <c r="W25" i="258"/>
  <c r="W32" i="258" s="1"/>
  <c r="X23" i="258"/>
  <c r="W17" i="258"/>
  <c r="W31" i="258" s="1"/>
  <c r="X15" i="258"/>
  <c r="X10" i="258"/>
  <c r="X99" i="46"/>
  <c r="Y48" i="44"/>
  <c r="Y49" i="44" s="1"/>
  <c r="Y15" i="258" s="1"/>
  <c r="Y4" i="277"/>
  <c r="X61" i="260"/>
  <c r="X2" i="277"/>
  <c r="AN3" i="272"/>
  <c r="AN3" i="266"/>
  <c r="AN9" i="272"/>
  <c r="AN12" i="272" s="1"/>
  <c r="AN13" i="272" s="1"/>
  <c r="AN106" i="281" s="1"/>
  <c r="AN107" i="281" s="1"/>
  <c r="AN108" i="281" s="1"/>
  <c r="AN111" i="281" s="1"/>
  <c r="AN112" i="281" s="1"/>
  <c r="AN115" i="281" s="1"/>
  <c r="AO8" i="272"/>
  <c r="AO3" i="281" s="1"/>
  <c r="T24" i="265"/>
  <c r="T10" i="49"/>
  <c r="V35" i="46"/>
  <c r="V9" i="258" s="1"/>
  <c r="V11" i="258" s="1"/>
  <c r="V30" i="258" s="1"/>
  <c r="V33" i="258" s="1"/>
  <c r="V25" i="265" s="1"/>
  <c r="W32" i="46"/>
  <c r="W67" i="46"/>
  <c r="W69" i="46" s="1"/>
  <c r="W81" i="46" s="1"/>
  <c r="U34" i="258"/>
  <c r="U9" i="49" s="1"/>
  <c r="W33" i="46"/>
  <c r="W71" i="46"/>
  <c r="W73" i="46" s="1"/>
  <c r="W82" i="46" s="1"/>
  <c r="V84" i="46"/>
  <c r="X42" i="46"/>
  <c r="X43" i="46" s="1"/>
  <c r="X64" i="46" s="1"/>
  <c r="X27" i="46"/>
  <c r="X28" i="46" s="1"/>
  <c r="X47" i="46"/>
  <c r="X48" i="46" s="1"/>
  <c r="X68" i="46" s="1"/>
  <c r="X52" i="46"/>
  <c r="X53" i="46" s="1"/>
  <c r="X72" i="46" s="1"/>
  <c r="X57" i="46"/>
  <c r="X58" i="46" s="1"/>
  <c r="X76" i="46" s="1"/>
  <c r="X22" i="46"/>
  <c r="X23" i="46" s="1"/>
  <c r="X12" i="46"/>
  <c r="X13" i="46" s="1"/>
  <c r="X17" i="46"/>
  <c r="X18" i="46" s="1"/>
  <c r="W75" i="46"/>
  <c r="W77" i="46" s="1"/>
  <c r="W83" i="46" s="1"/>
  <c r="W34" i="46"/>
  <c r="U91" i="46"/>
  <c r="U92" i="46" s="1"/>
  <c r="U111" i="46" s="1"/>
  <c r="U100" i="46"/>
  <c r="U101" i="46" s="1"/>
  <c r="U112" i="46" s="1"/>
  <c r="W63" i="46"/>
  <c r="W65" i="46" s="1"/>
  <c r="W80" i="46" s="1"/>
  <c r="W31" i="46"/>
  <c r="Y37" i="44"/>
  <c r="Y38" i="44" s="1"/>
  <c r="Y23" i="44"/>
  <c r="Y24" i="44" s="1"/>
  <c r="Y9" i="295" s="1"/>
  <c r="Y33" i="44"/>
  <c r="Y34" i="44" s="1"/>
  <c r="Y13" i="259" s="1"/>
  <c r="Y18" i="44"/>
  <c r="Y19" i="44" s="1"/>
  <c r="X44" i="265"/>
  <c r="X69" i="260"/>
  <c r="Z3" i="265"/>
  <c r="Z11" i="44"/>
  <c r="Z12" i="44" s="1"/>
  <c r="Z4" i="295" s="1"/>
  <c r="X48" i="261"/>
  <c r="X10" i="265"/>
  <c r="X14" i="265"/>
  <c r="X89" i="261"/>
  <c r="X81" i="261"/>
  <c r="X2" i="265"/>
  <c r="X24" i="258"/>
  <c r="X16" i="258"/>
  <c r="Z3" i="258"/>
  <c r="Z3" i="261"/>
  <c r="Z3" i="260"/>
  <c r="Z3" i="259"/>
  <c r="X53" i="261"/>
  <c r="X21" i="259"/>
  <c r="X4" i="258"/>
  <c r="X4" i="260"/>
  <c r="X4" i="261"/>
  <c r="X4" i="259"/>
  <c r="X2" i="261"/>
  <c r="X2" i="259"/>
  <c r="X2" i="260"/>
  <c r="X2" i="258"/>
  <c r="Y4" i="265"/>
  <c r="Z3" i="49"/>
  <c r="Z3" i="257"/>
  <c r="Z3" i="252"/>
  <c r="Z3" i="46"/>
  <c r="AA8" i="44"/>
  <c r="AA3" i="295" s="1"/>
  <c r="Z3" i="44"/>
  <c r="X9" i="257"/>
  <c r="X14" i="257" s="1"/>
  <c r="Y11" i="257" s="1"/>
  <c r="X4" i="44"/>
  <c r="X4" i="257"/>
  <c r="X4" i="49"/>
  <c r="X4" i="252"/>
  <c r="X4" i="46"/>
  <c r="X2" i="44"/>
  <c r="X2" i="49"/>
  <c r="X2" i="46"/>
  <c r="X2" i="252"/>
  <c r="X2" i="257"/>
  <c r="T40" i="49" l="1"/>
  <c r="T41" i="277" s="1"/>
  <c r="Y55" i="295"/>
  <c r="Y31" i="261"/>
  <c r="Y2" i="283"/>
  <c r="Y2" i="295"/>
  <c r="Y8" i="260"/>
  <c r="Y11" i="260" s="1"/>
  <c r="Y19" i="260" s="1"/>
  <c r="Y21" i="260" s="1"/>
  <c r="Y24" i="260" s="1"/>
  <c r="Y26" i="260" s="1"/>
  <c r="Y28" i="260" s="1"/>
  <c r="AA3" i="277"/>
  <c r="AA3" i="283"/>
  <c r="Y26" i="252"/>
  <c r="Y17" i="283"/>
  <c r="Y8" i="283"/>
  <c r="Z28" i="44"/>
  <c r="Z29" i="44" s="1"/>
  <c r="Z25" i="260" s="1"/>
  <c r="Z4" i="283"/>
  <c r="N20" i="277"/>
  <c r="O77" i="281"/>
  <c r="O78" i="281" s="1"/>
  <c r="O81" i="281" s="1"/>
  <c r="O83" i="281" s="1"/>
  <c r="O88" i="281" s="1"/>
  <c r="AJ43" i="266"/>
  <c r="AJ44" i="266" s="1"/>
  <c r="AJ72" i="281"/>
  <c r="AK39" i="266"/>
  <c r="AK41" i="266" s="1"/>
  <c r="AK122" i="281" s="1"/>
  <c r="AL62" i="281"/>
  <c r="AL123" i="281"/>
  <c r="AL63" i="281"/>
  <c r="AL124" i="281"/>
  <c r="AI40" i="277"/>
  <c r="AM2" i="266"/>
  <c r="AM31" i="281"/>
  <c r="AM32" i="281" s="1"/>
  <c r="AM36" i="281" s="1"/>
  <c r="AM2" i="281"/>
  <c r="AM51" i="281"/>
  <c r="AM14" i="281"/>
  <c r="AM16" i="281" s="1"/>
  <c r="AL30" i="266"/>
  <c r="AL36" i="266" s="1"/>
  <c r="AL37" i="266" s="1"/>
  <c r="AL40" i="266" s="1"/>
  <c r="AM15" i="266"/>
  <c r="AM16" i="266" s="1"/>
  <c r="AM27" i="266" s="1"/>
  <c r="AM10" i="281"/>
  <c r="AM11" i="281" s="1"/>
  <c r="AN30" i="281"/>
  <c r="AN4" i="281"/>
  <c r="AM19" i="266"/>
  <c r="AM20" i="266" s="1"/>
  <c r="AM28" i="266" s="1"/>
  <c r="AM82" i="281"/>
  <c r="AN26" i="277"/>
  <c r="AN4" i="266"/>
  <c r="AN17" i="277"/>
  <c r="AN37" i="277"/>
  <c r="AM2" i="272"/>
  <c r="AM29" i="272"/>
  <c r="AM30" i="272" s="1"/>
  <c r="AM23" i="266" s="1"/>
  <c r="AM24" i="266" s="1"/>
  <c r="AM29" i="266" s="1"/>
  <c r="AN17" i="272"/>
  <c r="AN18" i="272" s="1"/>
  <c r="AN25" i="272"/>
  <c r="AN26" i="272" s="1"/>
  <c r="AN55" i="281" s="1"/>
  <c r="AN56" i="281" s="1"/>
  <c r="AN66" i="281" s="1"/>
  <c r="AN21" i="272"/>
  <c r="AN22" i="272" s="1"/>
  <c r="AN4" i="272"/>
  <c r="X25" i="258"/>
  <c r="X32" i="258" s="1"/>
  <c r="Y99" i="46"/>
  <c r="X17" i="258"/>
  <c r="X31" i="258" s="1"/>
  <c r="Y23" i="258"/>
  <c r="Y10" i="258"/>
  <c r="Y90" i="46"/>
  <c r="Z48" i="44"/>
  <c r="Z49" i="44" s="1"/>
  <c r="Z99" i="46" s="1"/>
  <c r="Z4" i="277"/>
  <c r="Y61" i="260"/>
  <c r="Y2" i="277"/>
  <c r="V34" i="258"/>
  <c r="V9" i="49" s="1"/>
  <c r="AO3" i="272"/>
  <c r="AO3" i="266"/>
  <c r="AO9" i="272"/>
  <c r="AO12" i="272" s="1"/>
  <c r="AO13" i="272" s="1"/>
  <c r="AO106" i="281" s="1"/>
  <c r="AO107" i="281" s="1"/>
  <c r="AO108" i="281" s="1"/>
  <c r="AO111" i="281" s="1"/>
  <c r="AO112" i="281" s="1"/>
  <c r="AO115" i="281" s="1"/>
  <c r="AP8" i="272"/>
  <c r="AP3" i="281" s="1"/>
  <c r="U114" i="46"/>
  <c r="U24" i="265" s="1"/>
  <c r="X67" i="46"/>
  <c r="X69" i="46" s="1"/>
  <c r="X81" i="46" s="1"/>
  <c r="X32" i="46"/>
  <c r="V91" i="46"/>
  <c r="V92" i="46" s="1"/>
  <c r="V111" i="46" s="1"/>
  <c r="V100" i="46"/>
  <c r="V101" i="46" s="1"/>
  <c r="V112" i="46" s="1"/>
  <c r="Y12" i="46"/>
  <c r="Y13" i="46" s="1"/>
  <c r="Y22" i="46"/>
  <c r="Y23" i="46" s="1"/>
  <c r="Y57" i="46"/>
  <c r="Y58" i="46" s="1"/>
  <c r="Y76" i="46" s="1"/>
  <c r="Y52" i="46"/>
  <c r="Y53" i="46" s="1"/>
  <c r="Y72" i="46" s="1"/>
  <c r="Y47" i="46"/>
  <c r="Y48" i="46" s="1"/>
  <c r="Y68" i="46" s="1"/>
  <c r="Y42" i="46"/>
  <c r="Y43" i="46" s="1"/>
  <c r="Y64" i="46" s="1"/>
  <c r="Y27" i="46"/>
  <c r="Y28" i="46" s="1"/>
  <c r="Y17" i="46"/>
  <c r="Y18" i="46" s="1"/>
  <c r="W35" i="46"/>
  <c r="W9" i="258" s="1"/>
  <c r="W11" i="258" s="1"/>
  <c r="W30" i="258" s="1"/>
  <c r="W33" i="258" s="1"/>
  <c r="W25" i="265" s="1"/>
  <c r="X75" i="46"/>
  <c r="X77" i="46" s="1"/>
  <c r="X83" i="46" s="1"/>
  <c r="X34" i="46"/>
  <c r="W84" i="46"/>
  <c r="X63" i="46"/>
  <c r="X65" i="46" s="1"/>
  <c r="X80" i="46" s="1"/>
  <c r="X31" i="46"/>
  <c r="X33" i="46"/>
  <c r="X71" i="46"/>
  <c r="X73" i="46" s="1"/>
  <c r="X82" i="46" s="1"/>
  <c r="Z18" i="44"/>
  <c r="Z19" i="44" s="1"/>
  <c r="Z37" i="44"/>
  <c r="Z38" i="44" s="1"/>
  <c r="Z33" i="44"/>
  <c r="Z34" i="44" s="1"/>
  <c r="Z13" i="259" s="1"/>
  <c r="Z23" i="44"/>
  <c r="Z24" i="44" s="1"/>
  <c r="Z9" i="295" s="1"/>
  <c r="Y44" i="265"/>
  <c r="Y69" i="260"/>
  <c r="AA3" i="265"/>
  <c r="AA11" i="44"/>
  <c r="AA12" i="44" s="1"/>
  <c r="AA4" i="295" s="1"/>
  <c r="Y48" i="261"/>
  <c r="Y10" i="265"/>
  <c r="Y14" i="265"/>
  <c r="Y89" i="261"/>
  <c r="Y81" i="261"/>
  <c r="Y2" i="265"/>
  <c r="Y16" i="258"/>
  <c r="Y17" i="258" s="1"/>
  <c r="Y31" i="258" s="1"/>
  <c r="Y24" i="258"/>
  <c r="AA3" i="258"/>
  <c r="AA3" i="261"/>
  <c r="AA3" i="260"/>
  <c r="AA3" i="259"/>
  <c r="Y4" i="258"/>
  <c r="Y4" i="261"/>
  <c r="Y4" i="260"/>
  <c r="Y4" i="259"/>
  <c r="Y53" i="261"/>
  <c r="Y21" i="259"/>
  <c r="Y2" i="261"/>
  <c r="Y2" i="260"/>
  <c r="Y2" i="259"/>
  <c r="Y2" i="258"/>
  <c r="Z4" i="265"/>
  <c r="Y9" i="257"/>
  <c r="Y14" i="257" s="1"/>
  <c r="Z11" i="257" s="1"/>
  <c r="AA3" i="257"/>
  <c r="AA3" i="49"/>
  <c r="AA3" i="46"/>
  <c r="AA3" i="252"/>
  <c r="AA3" i="44"/>
  <c r="AB8" i="44"/>
  <c r="AB3" i="295" s="1"/>
  <c r="Y4" i="44"/>
  <c r="Y4" i="257"/>
  <c r="Y4" i="49"/>
  <c r="Y4" i="46"/>
  <c r="Y4" i="252"/>
  <c r="Y2" i="44"/>
  <c r="Y2" i="257"/>
  <c r="Y2" i="49"/>
  <c r="Y2" i="252"/>
  <c r="Y2" i="46"/>
  <c r="Z55" i="295" l="1"/>
  <c r="Z31" i="261"/>
  <c r="Z2" i="283"/>
  <c r="Z2" i="295"/>
  <c r="AA28" i="44"/>
  <c r="AA29" i="44" s="1"/>
  <c r="AA25" i="260" s="1"/>
  <c r="AA4" i="283"/>
  <c r="Z26" i="252"/>
  <c r="Z17" i="283"/>
  <c r="Z8" i="283"/>
  <c r="Z8" i="260"/>
  <c r="Z11" i="260" s="1"/>
  <c r="Z19" i="260" s="1"/>
  <c r="Z21" i="260" s="1"/>
  <c r="Z24" i="260" s="1"/>
  <c r="Z26" i="260" s="1"/>
  <c r="Z28" i="260" s="1"/>
  <c r="AB3" i="277"/>
  <c r="AB3" i="283"/>
  <c r="O95" i="281"/>
  <c r="O96" i="281" s="1"/>
  <c r="O87" i="281"/>
  <c r="O89" i="281" s="1"/>
  <c r="P86" i="281" s="1"/>
  <c r="P46" i="281" s="1"/>
  <c r="P47" i="281" s="1"/>
  <c r="P50" i="281" s="1"/>
  <c r="P52" i="281" s="1"/>
  <c r="AJ40" i="277"/>
  <c r="AM62" i="281"/>
  <c r="AM123" i="281"/>
  <c r="AM63" i="281"/>
  <c r="AM124" i="281"/>
  <c r="AM30" i="266"/>
  <c r="AM39" i="266" s="1"/>
  <c r="AL39" i="266"/>
  <c r="AL41" i="266" s="1"/>
  <c r="AL122" i="281" s="1"/>
  <c r="AO4" i="281"/>
  <c r="AO30" i="281"/>
  <c r="AN15" i="266"/>
  <c r="AN16" i="266" s="1"/>
  <c r="AN27" i="266" s="1"/>
  <c r="AN10" i="281"/>
  <c r="AN11" i="281" s="1"/>
  <c r="AN19" i="266"/>
  <c r="AN20" i="266" s="1"/>
  <c r="AN28" i="266" s="1"/>
  <c r="AN82" i="281"/>
  <c r="AN2" i="266"/>
  <c r="AN31" i="281"/>
  <c r="AN32" i="281" s="1"/>
  <c r="AN36" i="281" s="1"/>
  <c r="AN14" i="281"/>
  <c r="AN16" i="281" s="1"/>
  <c r="AN51" i="281"/>
  <c r="AN2" i="281"/>
  <c r="AK43" i="266"/>
  <c r="AK44" i="266" s="1"/>
  <c r="AK72" i="281"/>
  <c r="AO26" i="277"/>
  <c r="AO4" i="266"/>
  <c r="AO37" i="277"/>
  <c r="AO17" i="277"/>
  <c r="AN2" i="272"/>
  <c r="AN29" i="272"/>
  <c r="AN30" i="272" s="1"/>
  <c r="AN23" i="266" s="1"/>
  <c r="AN24" i="266" s="1"/>
  <c r="AN29" i="266" s="1"/>
  <c r="AO17" i="272"/>
  <c r="AO18" i="272" s="1"/>
  <c r="AO21" i="272"/>
  <c r="AO22" i="272" s="1"/>
  <c r="AO4" i="272"/>
  <c r="AO25" i="272"/>
  <c r="AO26" i="272" s="1"/>
  <c r="AO55" i="281" s="1"/>
  <c r="AO56" i="281" s="1"/>
  <c r="AO66" i="281" s="1"/>
  <c r="Z23" i="258"/>
  <c r="Z10" i="258"/>
  <c r="Z90" i="46"/>
  <c r="Z15" i="258"/>
  <c r="Y25" i="258"/>
  <c r="Y32" i="258" s="1"/>
  <c r="AA48" i="44"/>
  <c r="AA49" i="44" s="1"/>
  <c r="AA10" i="258" s="1"/>
  <c r="AA4" i="277"/>
  <c r="Z61" i="260"/>
  <c r="Z2" i="277"/>
  <c r="AP3" i="272"/>
  <c r="AP3" i="266"/>
  <c r="AQ8" i="272"/>
  <c r="AQ3" i="281" s="1"/>
  <c r="AP9" i="272"/>
  <c r="AP12" i="272" s="1"/>
  <c r="AP13" i="272" s="1"/>
  <c r="AP106" i="281" s="1"/>
  <c r="AP107" i="281" s="1"/>
  <c r="AP108" i="281" s="1"/>
  <c r="AP111" i="281" s="1"/>
  <c r="AP112" i="281" s="1"/>
  <c r="AP115" i="281" s="1"/>
  <c r="V114" i="46"/>
  <c r="V8" i="49" s="1"/>
  <c r="V10" i="49" s="1"/>
  <c r="U8" i="49"/>
  <c r="U10" i="49" s="1"/>
  <c r="X84" i="46"/>
  <c r="X100" i="46" s="1"/>
  <c r="X101" i="46" s="1"/>
  <c r="X112" i="46" s="1"/>
  <c r="W91" i="46"/>
  <c r="W92" i="46" s="1"/>
  <c r="W111" i="46" s="1"/>
  <c r="W100" i="46"/>
  <c r="W101" i="46" s="1"/>
  <c r="W112" i="46" s="1"/>
  <c r="Z52" i="46"/>
  <c r="Z53" i="46" s="1"/>
  <c r="Z72" i="46" s="1"/>
  <c r="Z47" i="46"/>
  <c r="Z48" i="46" s="1"/>
  <c r="Z68" i="46" s="1"/>
  <c r="Z57" i="46"/>
  <c r="Z58" i="46" s="1"/>
  <c r="Z76" i="46" s="1"/>
  <c r="Z42" i="46"/>
  <c r="Z43" i="46" s="1"/>
  <c r="Z64" i="46" s="1"/>
  <c r="Z27" i="46"/>
  <c r="Z28" i="46" s="1"/>
  <c r="Z22" i="46"/>
  <c r="Z23" i="46" s="1"/>
  <c r="Z17" i="46"/>
  <c r="Z18" i="46" s="1"/>
  <c r="Z12" i="46"/>
  <c r="Z13" i="46" s="1"/>
  <c r="W34" i="258"/>
  <c r="W9" i="49" s="1"/>
  <c r="Y33" i="46"/>
  <c r="Y71" i="46"/>
  <c r="Y73" i="46" s="1"/>
  <c r="Y82" i="46" s="1"/>
  <c r="Y63" i="46"/>
  <c r="Y65" i="46" s="1"/>
  <c r="Y80" i="46" s="1"/>
  <c r="Y31" i="46"/>
  <c r="Y67" i="46"/>
  <c r="Y69" i="46" s="1"/>
  <c r="Y81" i="46" s="1"/>
  <c r="Y32" i="46"/>
  <c r="X35" i="46"/>
  <c r="X9" i="258" s="1"/>
  <c r="X11" i="258" s="1"/>
  <c r="X30" i="258" s="1"/>
  <c r="X33" i="258" s="1"/>
  <c r="X25" i="265" s="1"/>
  <c r="Y75" i="46"/>
  <c r="Y77" i="46" s="1"/>
  <c r="Y83" i="46" s="1"/>
  <c r="Y34" i="46"/>
  <c r="AA23" i="44"/>
  <c r="AA24" i="44" s="1"/>
  <c r="AA9" i="295" s="1"/>
  <c r="AA33" i="44"/>
  <c r="AA34" i="44" s="1"/>
  <c r="AA13" i="259" s="1"/>
  <c r="AA18" i="44"/>
  <c r="AA19" i="44" s="1"/>
  <c r="AA37" i="44"/>
  <c r="AA38" i="44" s="1"/>
  <c r="Z44" i="265"/>
  <c r="Z69" i="260"/>
  <c r="AB3" i="265"/>
  <c r="AB11" i="44"/>
  <c r="AB12" i="44" s="1"/>
  <c r="AB4" i="295" s="1"/>
  <c r="Z48" i="261"/>
  <c r="Z10" i="265"/>
  <c r="Z14" i="265"/>
  <c r="Z89" i="261"/>
  <c r="Z81" i="261"/>
  <c r="Z2" i="265"/>
  <c r="Z16" i="258"/>
  <c r="Z24" i="258"/>
  <c r="AB3" i="258"/>
  <c r="AB3" i="261"/>
  <c r="AB3" i="260"/>
  <c r="AB3" i="259"/>
  <c r="Z21" i="259"/>
  <c r="Z53" i="261"/>
  <c r="Z2" i="261"/>
  <c r="Z2" i="260"/>
  <c r="Z2" i="259"/>
  <c r="Z4" i="258"/>
  <c r="Z4" i="261"/>
  <c r="Z4" i="260"/>
  <c r="Z4" i="259"/>
  <c r="Z2" i="258"/>
  <c r="AA4" i="265"/>
  <c r="Z2" i="44"/>
  <c r="Z2" i="257"/>
  <c r="Z2" i="49"/>
  <c r="Z2" i="252"/>
  <c r="Z2" i="46"/>
  <c r="Z9" i="257"/>
  <c r="Z14" i="257" s="1"/>
  <c r="AA11" i="257" s="1"/>
  <c r="Z4" i="44"/>
  <c r="Z4" i="257"/>
  <c r="Z4" i="49"/>
  <c r="Z4" i="46"/>
  <c r="Z4" i="252"/>
  <c r="AB3" i="257"/>
  <c r="AB3" i="46"/>
  <c r="AB3" i="49"/>
  <c r="AB3" i="252"/>
  <c r="AB3" i="44"/>
  <c r="AC8" i="44"/>
  <c r="AC3" i="295" s="1"/>
  <c r="U40" i="49" l="1"/>
  <c r="U41" i="277" s="1"/>
  <c r="V40" i="49"/>
  <c r="V41" i="277" s="1"/>
  <c r="AA55" i="295"/>
  <c r="AA31" i="261"/>
  <c r="AA2" i="283"/>
  <c r="AA2" i="295"/>
  <c r="AA8" i="260"/>
  <c r="AA11" i="260" s="1"/>
  <c r="AA19" i="260" s="1"/>
  <c r="AA21" i="260" s="1"/>
  <c r="AA24" i="260" s="1"/>
  <c r="AA26" i="260" s="1"/>
  <c r="AA28" i="260" s="1"/>
  <c r="AC3" i="277"/>
  <c r="AC3" i="283"/>
  <c r="AB28" i="44"/>
  <c r="AB29" i="44" s="1"/>
  <c r="AB25" i="260" s="1"/>
  <c r="AB4" i="283"/>
  <c r="AA26" i="252"/>
  <c r="AA8" i="283"/>
  <c r="AA17" i="283"/>
  <c r="O99" i="281"/>
  <c r="O100" i="281" s="1"/>
  <c r="O29" i="277" s="1"/>
  <c r="O114" i="281"/>
  <c r="O116" i="281" s="1"/>
  <c r="AM36" i="266"/>
  <c r="AM37" i="266" s="1"/>
  <c r="AM40" i="266" s="1"/>
  <c r="AM41" i="266" s="1"/>
  <c r="AM122" i="281" s="1"/>
  <c r="AK40" i="277"/>
  <c r="P65" i="281"/>
  <c r="P126" i="281"/>
  <c r="AN62" i="281"/>
  <c r="AN123" i="281"/>
  <c r="AN63" i="281"/>
  <c r="AN124" i="281"/>
  <c r="P80" i="281"/>
  <c r="P35" i="281"/>
  <c r="P37" i="281" s="1"/>
  <c r="P125" i="281" s="1"/>
  <c r="AL43" i="266"/>
  <c r="AL44" i="266" s="1"/>
  <c r="AL40" i="277" s="1"/>
  <c r="AL72" i="281"/>
  <c r="AN30" i="266"/>
  <c r="AN39" i="266" s="1"/>
  <c r="AO19" i="266"/>
  <c r="AO20" i="266" s="1"/>
  <c r="AO28" i="266" s="1"/>
  <c r="AO82" i="281"/>
  <c r="AP30" i="281"/>
  <c r="AP4" i="281"/>
  <c r="AO15" i="266"/>
  <c r="AO16" i="266" s="1"/>
  <c r="AO27" i="266" s="1"/>
  <c r="AO10" i="281"/>
  <c r="AO11" i="281" s="1"/>
  <c r="AO2" i="266"/>
  <c r="AO51" i="281"/>
  <c r="AO2" i="281"/>
  <c r="AO14" i="281"/>
  <c r="AO16" i="281" s="1"/>
  <c r="AO31" i="281"/>
  <c r="AO32" i="281" s="1"/>
  <c r="AO36" i="281" s="1"/>
  <c r="AP17" i="277"/>
  <c r="AP4" i="266"/>
  <c r="AP37" i="277"/>
  <c r="AP26" i="277"/>
  <c r="AO2" i="272"/>
  <c r="AO29" i="272"/>
  <c r="AO30" i="272" s="1"/>
  <c r="AO23" i="266" s="1"/>
  <c r="AO24" i="266" s="1"/>
  <c r="AO29" i="266" s="1"/>
  <c r="AP17" i="272"/>
  <c r="AP18" i="272" s="1"/>
  <c r="AP21" i="272"/>
  <c r="AP22" i="272" s="1"/>
  <c r="AP25" i="272"/>
  <c r="AP26" i="272" s="1"/>
  <c r="AP55" i="281" s="1"/>
  <c r="AP56" i="281" s="1"/>
  <c r="AP66" i="281" s="1"/>
  <c r="AP4" i="272"/>
  <c r="Z25" i="258"/>
  <c r="Z32" i="258" s="1"/>
  <c r="Z17" i="258"/>
  <c r="Z31" i="258" s="1"/>
  <c r="AA23" i="258"/>
  <c r="AA99" i="46"/>
  <c r="AA90" i="46"/>
  <c r="AA15" i="258"/>
  <c r="AA61" i="260"/>
  <c r="AA2" i="277"/>
  <c r="AB48" i="44"/>
  <c r="AB49" i="44" s="1"/>
  <c r="AB10" i="258" s="1"/>
  <c r="AB4" i="277"/>
  <c r="AQ3" i="272"/>
  <c r="AQ3" i="266"/>
  <c r="AR8" i="272"/>
  <c r="AR3" i="281" s="1"/>
  <c r="AQ9" i="272"/>
  <c r="AQ12" i="272" s="1"/>
  <c r="AQ13" i="272" s="1"/>
  <c r="AQ106" i="281" s="1"/>
  <c r="AQ107" i="281" s="1"/>
  <c r="AQ108" i="281" s="1"/>
  <c r="AQ111" i="281" s="1"/>
  <c r="AQ112" i="281" s="1"/>
  <c r="AQ115" i="281" s="1"/>
  <c r="X91" i="46"/>
  <c r="X92" i="46" s="1"/>
  <c r="X111" i="46" s="1"/>
  <c r="X114" i="46" s="1"/>
  <c r="X24" i="265" s="1"/>
  <c r="V24" i="265"/>
  <c r="W114" i="46"/>
  <c r="W8" i="49" s="1"/>
  <c r="W10" i="49" s="1"/>
  <c r="Z75" i="46"/>
  <c r="Z77" i="46" s="1"/>
  <c r="Z83" i="46" s="1"/>
  <c r="Z34" i="46"/>
  <c r="AA27" i="46"/>
  <c r="AA28" i="46" s="1"/>
  <c r="AA22" i="46"/>
  <c r="AA23" i="46" s="1"/>
  <c r="AA57" i="46"/>
  <c r="AA58" i="46" s="1"/>
  <c r="AA76" i="46" s="1"/>
  <c r="AA42" i="46"/>
  <c r="AA43" i="46" s="1"/>
  <c r="AA64" i="46" s="1"/>
  <c r="AA52" i="46"/>
  <c r="AA53" i="46" s="1"/>
  <c r="AA72" i="46" s="1"/>
  <c r="AA47" i="46"/>
  <c r="AA48" i="46" s="1"/>
  <c r="AA68" i="46" s="1"/>
  <c r="AA17" i="46"/>
  <c r="AA18" i="46" s="1"/>
  <c r="AA12" i="46"/>
  <c r="AA13" i="46" s="1"/>
  <c r="X34" i="258"/>
  <c r="X9" i="49" s="1"/>
  <c r="Y84" i="46"/>
  <c r="Y35" i="46"/>
  <c r="Y9" i="258" s="1"/>
  <c r="Y11" i="258" s="1"/>
  <c r="Y30" i="258" s="1"/>
  <c r="Y33" i="258" s="1"/>
  <c r="Y25" i="265" s="1"/>
  <c r="Z33" i="46"/>
  <c r="Z71" i="46"/>
  <c r="Z73" i="46" s="1"/>
  <c r="Z82" i="46" s="1"/>
  <c r="Z63" i="46"/>
  <c r="Z65" i="46" s="1"/>
  <c r="Z80" i="46" s="1"/>
  <c r="Z31" i="46"/>
  <c r="Z32" i="46"/>
  <c r="Z67" i="46"/>
  <c r="Z69" i="46" s="1"/>
  <c r="Z81" i="46" s="1"/>
  <c r="AB37" i="44"/>
  <c r="AB38" i="44" s="1"/>
  <c r="AB33" i="44"/>
  <c r="AB34" i="44" s="1"/>
  <c r="AB13" i="259" s="1"/>
  <c r="AB23" i="44"/>
  <c r="AB24" i="44" s="1"/>
  <c r="AB9" i="295" s="1"/>
  <c r="AB18" i="44"/>
  <c r="AB19" i="44" s="1"/>
  <c r="AA44" i="265"/>
  <c r="AA69" i="260"/>
  <c r="AC3" i="265"/>
  <c r="AC11" i="44"/>
  <c r="AC12" i="44" s="1"/>
  <c r="AC4" i="295" s="1"/>
  <c r="AA48" i="261"/>
  <c r="AA10" i="265"/>
  <c r="AA14" i="265"/>
  <c r="AA89" i="261"/>
  <c r="AA81" i="261"/>
  <c r="AA2" i="265"/>
  <c r="AA16" i="258"/>
  <c r="AA24" i="258"/>
  <c r="AA4" i="258"/>
  <c r="AA4" i="259"/>
  <c r="AA4" i="261"/>
  <c r="AA4" i="260"/>
  <c r="AC3" i="258"/>
  <c r="AC3" i="261"/>
  <c r="AC3" i="260"/>
  <c r="AC3" i="259"/>
  <c r="AA2" i="261"/>
  <c r="AA2" i="259"/>
  <c r="AA2" i="260"/>
  <c r="AA53" i="261"/>
  <c r="AA21" i="259"/>
  <c r="AA2" i="258"/>
  <c r="AB4" i="265"/>
  <c r="AA4" i="44"/>
  <c r="AA4" i="49"/>
  <c r="AA4" i="252"/>
  <c r="AA4" i="257"/>
  <c r="AA4" i="46"/>
  <c r="AC3" i="257"/>
  <c r="AC3" i="46"/>
  <c r="AC3" i="252"/>
  <c r="AC3" i="49"/>
  <c r="AD8" i="44"/>
  <c r="AD3" i="295" s="1"/>
  <c r="AC3" i="44"/>
  <c r="AA9" i="257"/>
  <c r="AA14" i="257" s="1"/>
  <c r="AB11" i="257" s="1"/>
  <c r="AA2" i="44"/>
  <c r="AA2" i="257"/>
  <c r="AA2" i="46"/>
  <c r="AA2" i="49"/>
  <c r="AA2" i="252"/>
  <c r="W40" i="49" l="1"/>
  <c r="W41" i="277" s="1"/>
  <c r="AB55" i="295"/>
  <c r="AB31" i="261"/>
  <c r="AB2" i="283"/>
  <c r="AB2" i="295"/>
  <c r="AB8" i="260"/>
  <c r="AB11" i="260" s="1"/>
  <c r="AB19" i="260" s="1"/>
  <c r="AB21" i="260" s="1"/>
  <c r="AB24" i="260" s="1"/>
  <c r="AB26" i="260" s="1"/>
  <c r="AB28" i="260" s="1"/>
  <c r="AB26" i="252"/>
  <c r="AB8" i="283"/>
  <c r="AB17" i="283"/>
  <c r="AC28" i="44"/>
  <c r="AC29" i="44" s="1"/>
  <c r="AC25" i="260" s="1"/>
  <c r="AC4" i="283"/>
  <c r="AD3" i="277"/>
  <c r="AD3" i="283"/>
  <c r="O20" i="277"/>
  <c r="P64" i="281"/>
  <c r="P67" i="281" s="1"/>
  <c r="P73" i="281" s="1"/>
  <c r="P74" i="281" s="1"/>
  <c r="P77" i="281" s="1"/>
  <c r="P78" i="281" s="1"/>
  <c r="P40" i="281"/>
  <c r="P127" i="281"/>
  <c r="AO62" i="281"/>
  <c r="AO123" i="281"/>
  <c r="AO63" i="281"/>
  <c r="AO124" i="281"/>
  <c r="AO30" i="266"/>
  <c r="AO39" i="266" s="1"/>
  <c r="AN36" i="266"/>
  <c r="AN37" i="266" s="1"/>
  <c r="AN40" i="266" s="1"/>
  <c r="AN41" i="266" s="1"/>
  <c r="AN122" i="281" s="1"/>
  <c r="AM43" i="266"/>
  <c r="AM44" i="266" s="1"/>
  <c r="AM72" i="281"/>
  <c r="AP19" i="266"/>
  <c r="AP20" i="266" s="1"/>
  <c r="AP28" i="266" s="1"/>
  <c r="AP82" i="281"/>
  <c r="AP15" i="266"/>
  <c r="AP16" i="266" s="1"/>
  <c r="AP27" i="266" s="1"/>
  <c r="AP10" i="281"/>
  <c r="AP11" i="281" s="1"/>
  <c r="AQ30" i="281"/>
  <c r="AQ4" i="281"/>
  <c r="AP2" i="266"/>
  <c r="AP31" i="281"/>
  <c r="AP32" i="281" s="1"/>
  <c r="AP36" i="281" s="1"/>
  <c r="AP14" i="281"/>
  <c r="AP16" i="281" s="1"/>
  <c r="AP2" i="281"/>
  <c r="AP51" i="281"/>
  <c r="AQ26" i="277"/>
  <c r="AQ37" i="277"/>
  <c r="AQ4" i="266"/>
  <c r="AQ17" i="277"/>
  <c r="AP2" i="272"/>
  <c r="AP29" i="272"/>
  <c r="AP30" i="272" s="1"/>
  <c r="AP23" i="266" s="1"/>
  <c r="AP24" i="266" s="1"/>
  <c r="AP29" i="266" s="1"/>
  <c r="AQ17" i="272"/>
  <c r="AQ18" i="272" s="1"/>
  <c r="AQ4" i="272"/>
  <c r="AQ25" i="272"/>
  <c r="AQ26" i="272" s="1"/>
  <c r="AQ55" i="281" s="1"/>
  <c r="AQ56" i="281" s="1"/>
  <c r="AQ66" i="281" s="1"/>
  <c r="AQ21" i="272"/>
  <c r="AQ22" i="272" s="1"/>
  <c r="AA25" i="258"/>
  <c r="AA32" i="258" s="1"/>
  <c r="AA17" i="258"/>
  <c r="AA31" i="258" s="1"/>
  <c r="AB15" i="258"/>
  <c r="AB99" i="46"/>
  <c r="AB90" i="46"/>
  <c r="AB23" i="258"/>
  <c r="AC48" i="44"/>
  <c r="AC49" i="44" s="1"/>
  <c r="AC23" i="258" s="1"/>
  <c r="AC4" i="277"/>
  <c r="AB61" i="260"/>
  <c r="AB2" i="277"/>
  <c r="AR3" i="272"/>
  <c r="AR3" i="266"/>
  <c r="AS8" i="272"/>
  <c r="AS3" i="281" s="1"/>
  <c r="AR9" i="272"/>
  <c r="AR12" i="272" s="1"/>
  <c r="AR13" i="272" s="1"/>
  <c r="AR106" i="281" s="1"/>
  <c r="AR107" i="281" s="1"/>
  <c r="AR108" i="281" s="1"/>
  <c r="AR111" i="281" s="1"/>
  <c r="AR112" i="281" s="1"/>
  <c r="AR115" i="281" s="1"/>
  <c r="Y34" i="258"/>
  <c r="Y9" i="49" s="1"/>
  <c r="X8" i="49"/>
  <c r="X10" i="49" s="1"/>
  <c r="W24" i="265"/>
  <c r="AA33" i="46"/>
  <c r="AA71" i="46"/>
  <c r="AA73" i="46" s="1"/>
  <c r="AA82" i="46" s="1"/>
  <c r="Z35" i="46"/>
  <c r="Z9" i="258" s="1"/>
  <c r="Z11" i="258" s="1"/>
  <c r="Z30" i="258" s="1"/>
  <c r="Z33" i="258" s="1"/>
  <c r="Z25" i="265" s="1"/>
  <c r="AA75" i="46"/>
  <c r="AA77" i="46" s="1"/>
  <c r="AA83" i="46" s="1"/>
  <c r="AA34" i="46"/>
  <c r="Z84" i="46"/>
  <c r="AA63" i="46"/>
  <c r="AA65" i="46" s="1"/>
  <c r="AA80" i="46" s="1"/>
  <c r="AA31" i="46"/>
  <c r="Y91" i="46"/>
  <c r="Y92" i="46" s="1"/>
  <c r="Y111" i="46" s="1"/>
  <c r="Y100" i="46"/>
  <c r="Y101" i="46" s="1"/>
  <c r="Y112" i="46" s="1"/>
  <c r="AB57" i="46"/>
  <c r="AB58" i="46" s="1"/>
  <c r="AB76" i="46" s="1"/>
  <c r="AB17" i="46"/>
  <c r="AB18" i="46" s="1"/>
  <c r="AB47" i="46"/>
  <c r="AB48" i="46" s="1"/>
  <c r="AB68" i="46" s="1"/>
  <c r="AB42" i="46"/>
  <c r="AB43" i="46" s="1"/>
  <c r="AB64" i="46" s="1"/>
  <c r="AB27" i="46"/>
  <c r="AB28" i="46" s="1"/>
  <c r="AB22" i="46"/>
  <c r="AB23" i="46" s="1"/>
  <c r="AB12" i="46"/>
  <c r="AB13" i="46" s="1"/>
  <c r="AB52" i="46"/>
  <c r="AB53" i="46" s="1"/>
  <c r="AB72" i="46" s="1"/>
  <c r="AA67" i="46"/>
  <c r="AA69" i="46" s="1"/>
  <c r="AA81" i="46" s="1"/>
  <c r="AA32" i="46"/>
  <c r="AC37" i="44"/>
  <c r="AC38" i="44" s="1"/>
  <c r="AC23" i="44"/>
  <c r="AC24" i="44" s="1"/>
  <c r="AC9" i="295" s="1"/>
  <c r="AC18" i="44"/>
  <c r="AC19" i="44" s="1"/>
  <c r="AC33" i="44"/>
  <c r="AC34" i="44" s="1"/>
  <c r="AC13" i="259" s="1"/>
  <c r="AB44" i="265"/>
  <c r="AB69" i="260"/>
  <c r="AD3" i="265"/>
  <c r="AD11" i="44"/>
  <c r="AD12" i="44" s="1"/>
  <c r="AD4" i="295" s="1"/>
  <c r="AB48" i="261"/>
  <c r="AB10" i="265"/>
  <c r="AB14" i="265"/>
  <c r="AB89" i="261"/>
  <c r="AB81" i="261"/>
  <c r="AB2" i="265"/>
  <c r="AB16" i="258"/>
  <c r="AB24" i="258"/>
  <c r="AB53" i="261"/>
  <c r="AB21" i="259"/>
  <c r="AB4" i="258"/>
  <c r="AB4" i="261"/>
  <c r="AB4" i="260"/>
  <c r="AB4" i="259"/>
  <c r="AB2" i="261"/>
  <c r="AB2" i="260"/>
  <c r="AB2" i="259"/>
  <c r="AD3" i="258"/>
  <c r="AD3" i="260"/>
  <c r="AD3" i="261"/>
  <c r="AD3" i="259"/>
  <c r="AB2" i="258"/>
  <c r="AB9" i="257"/>
  <c r="AB14" i="257" s="1"/>
  <c r="AC11" i="257" s="1"/>
  <c r="AC4" i="265"/>
  <c r="AD3" i="257"/>
  <c r="AD3" i="49"/>
  <c r="AD3" i="252"/>
  <c r="AD3" i="46"/>
  <c r="AD3" i="44"/>
  <c r="AE8" i="44"/>
  <c r="AE3" i="295" s="1"/>
  <c r="AB4" i="44"/>
  <c r="AB4" i="49"/>
  <c r="AB4" i="46"/>
  <c r="AB4" i="257"/>
  <c r="AB4" i="252"/>
  <c r="AB2" i="44"/>
  <c r="AB2" i="49"/>
  <c r="AB2" i="46"/>
  <c r="AB2" i="257"/>
  <c r="AB2" i="252"/>
  <c r="X40" i="49" l="1"/>
  <c r="X41" i="277" s="1"/>
  <c r="AC55" i="295"/>
  <c r="AC31" i="261"/>
  <c r="AC2" i="283"/>
  <c r="AC2" i="295"/>
  <c r="AC26" i="252"/>
  <c r="AC17" i="283"/>
  <c r="AC8" i="283"/>
  <c r="AC8" i="260"/>
  <c r="AC11" i="260" s="1"/>
  <c r="AC19" i="260" s="1"/>
  <c r="AC21" i="260" s="1"/>
  <c r="AC24" i="260" s="1"/>
  <c r="AC26" i="260" s="1"/>
  <c r="AC28" i="260" s="1"/>
  <c r="AE3" i="277"/>
  <c r="AE3" i="283"/>
  <c r="AD28" i="44"/>
  <c r="AD29" i="44" s="1"/>
  <c r="AD4" i="283"/>
  <c r="P94" i="281"/>
  <c r="AO36" i="266"/>
  <c r="AO37" i="266" s="1"/>
  <c r="AO40" i="266" s="1"/>
  <c r="AO41" i="266" s="1"/>
  <c r="AO122" i="281" s="1"/>
  <c r="AP62" i="281"/>
  <c r="AP123" i="281"/>
  <c r="AP63" i="281"/>
  <c r="AP124" i="281"/>
  <c r="AP30" i="266"/>
  <c r="AP39" i="266" s="1"/>
  <c r="AQ15" i="266"/>
  <c r="AQ16" i="266" s="1"/>
  <c r="AQ27" i="266" s="1"/>
  <c r="AQ10" i="281"/>
  <c r="AQ11" i="281" s="1"/>
  <c r="AR30" i="281"/>
  <c r="AR4" i="281"/>
  <c r="AQ19" i="266"/>
  <c r="AQ20" i="266" s="1"/>
  <c r="AQ28" i="266" s="1"/>
  <c r="AQ82" i="281"/>
  <c r="AQ2" i="266"/>
  <c r="AQ51" i="281"/>
  <c r="AQ31" i="281"/>
  <c r="AQ32" i="281" s="1"/>
  <c r="AQ36" i="281" s="1"/>
  <c r="AQ14" i="281"/>
  <c r="AQ16" i="281" s="1"/>
  <c r="AQ2" i="281"/>
  <c r="AN43" i="266"/>
  <c r="AN44" i="266" s="1"/>
  <c r="AN72" i="281"/>
  <c r="AM40" i="277"/>
  <c r="P95" i="281"/>
  <c r="P87" i="281"/>
  <c r="P81" i="281"/>
  <c r="P83" i="281" s="1"/>
  <c r="P88" i="281" s="1"/>
  <c r="AB25" i="258"/>
  <c r="AB32" i="258" s="1"/>
  <c r="AB17" i="258"/>
  <c r="AB31" i="258" s="1"/>
  <c r="AR26" i="277"/>
  <c r="AR17" i="277"/>
  <c r="AR37" i="277"/>
  <c r="AR4" i="266"/>
  <c r="AQ2" i="272"/>
  <c r="AQ29" i="272"/>
  <c r="AQ30" i="272" s="1"/>
  <c r="AQ23" i="266" s="1"/>
  <c r="AQ24" i="266" s="1"/>
  <c r="AQ29" i="266" s="1"/>
  <c r="AR17" i="272"/>
  <c r="AR18" i="272" s="1"/>
  <c r="AR4" i="272"/>
  <c r="AR25" i="272"/>
  <c r="AR26" i="272" s="1"/>
  <c r="AR55" i="281" s="1"/>
  <c r="AR56" i="281" s="1"/>
  <c r="AR66" i="281" s="1"/>
  <c r="AR21" i="272"/>
  <c r="AR22" i="272" s="1"/>
  <c r="AC10" i="258"/>
  <c r="AC99" i="46"/>
  <c r="AC90" i="46"/>
  <c r="AC15" i="258"/>
  <c r="AC61" i="260"/>
  <c r="AC2" i="277"/>
  <c r="AD48" i="44"/>
  <c r="AD49" i="44" s="1"/>
  <c r="AD15" i="258" s="1"/>
  <c r="AD4" i="277"/>
  <c r="AS3" i="272"/>
  <c r="AS3" i="266"/>
  <c r="AS9" i="272"/>
  <c r="AS12" i="272" s="1"/>
  <c r="AS13" i="272" s="1"/>
  <c r="AS106" i="281" s="1"/>
  <c r="AS107" i="281" s="1"/>
  <c r="AS108" i="281" s="1"/>
  <c r="AS111" i="281" s="1"/>
  <c r="AS112" i="281" s="1"/>
  <c r="AS115" i="281" s="1"/>
  <c r="AT8" i="272"/>
  <c r="AT3" i="281" s="1"/>
  <c r="AA35" i="46"/>
  <c r="AA9" i="258" s="1"/>
  <c r="AA11" i="258" s="1"/>
  <c r="AA30" i="258" s="1"/>
  <c r="AA33" i="258" s="1"/>
  <c r="AA25" i="265" s="1"/>
  <c r="AB31" i="46"/>
  <c r="AB63" i="46"/>
  <c r="AB65" i="46" s="1"/>
  <c r="AB80" i="46" s="1"/>
  <c r="Z34" i="258"/>
  <c r="Z9" i="49" s="1"/>
  <c r="AA84" i="46"/>
  <c r="AB32" i="46"/>
  <c r="AB67" i="46"/>
  <c r="AB69" i="46" s="1"/>
  <c r="AB81" i="46" s="1"/>
  <c r="Z100" i="46"/>
  <c r="Z101" i="46" s="1"/>
  <c r="Z112" i="46" s="1"/>
  <c r="Z91" i="46"/>
  <c r="Z92" i="46" s="1"/>
  <c r="Z111" i="46" s="1"/>
  <c r="AC47" i="46"/>
  <c r="AC48" i="46" s="1"/>
  <c r="AC68" i="46" s="1"/>
  <c r="AC42" i="46"/>
  <c r="AC43" i="46" s="1"/>
  <c r="AC64" i="46" s="1"/>
  <c r="AC52" i="46"/>
  <c r="AC53" i="46" s="1"/>
  <c r="AC72" i="46" s="1"/>
  <c r="AC22" i="46"/>
  <c r="AC23" i="46" s="1"/>
  <c r="AC17" i="46"/>
  <c r="AC18" i="46" s="1"/>
  <c r="AC57" i="46"/>
  <c r="AC58" i="46" s="1"/>
  <c r="AC76" i="46" s="1"/>
  <c r="AC12" i="46"/>
  <c r="AC13" i="46" s="1"/>
  <c r="AC27" i="46"/>
  <c r="AC28" i="46" s="1"/>
  <c r="AB33" i="46"/>
  <c r="AB71" i="46"/>
  <c r="AB73" i="46" s="1"/>
  <c r="AB82" i="46" s="1"/>
  <c r="Y114" i="46"/>
  <c r="AB34" i="46"/>
  <c r="AB75" i="46"/>
  <c r="AB77" i="46" s="1"/>
  <c r="AB83" i="46" s="1"/>
  <c r="AD18" i="44"/>
  <c r="AD19" i="44" s="1"/>
  <c r="AD33" i="44"/>
  <c r="AD34" i="44" s="1"/>
  <c r="AD13" i="259" s="1"/>
  <c r="AD23" i="44"/>
  <c r="AD24" i="44" s="1"/>
  <c r="AD9" i="295" s="1"/>
  <c r="AD37" i="44"/>
  <c r="AD38" i="44" s="1"/>
  <c r="AC44" i="265"/>
  <c r="AC69" i="260"/>
  <c r="AE3" i="265"/>
  <c r="AE11" i="44"/>
  <c r="AE12" i="44" s="1"/>
  <c r="AE4" i="295" s="1"/>
  <c r="AC48" i="261"/>
  <c r="AC10" i="265"/>
  <c r="AC14" i="265"/>
  <c r="AC89" i="261"/>
  <c r="AC81" i="261"/>
  <c r="AC2" i="265"/>
  <c r="AC24" i="258"/>
  <c r="AC25" i="258" s="1"/>
  <c r="AC32" i="258" s="1"/>
  <c r="AC16" i="258"/>
  <c r="AE3" i="258"/>
  <c r="AE3" i="261"/>
  <c r="AE3" i="259"/>
  <c r="AE3" i="260"/>
  <c r="AC53" i="261"/>
  <c r="AC21" i="259"/>
  <c r="AC2" i="261"/>
  <c r="AC2" i="260"/>
  <c r="AC2" i="259"/>
  <c r="AC4" i="258"/>
  <c r="AC4" i="261"/>
  <c r="AC4" i="260"/>
  <c r="AC4" i="259"/>
  <c r="AC2" i="258"/>
  <c r="AC9" i="257"/>
  <c r="AC14" i="257" s="1"/>
  <c r="AD11" i="257" s="1"/>
  <c r="AC4" i="44"/>
  <c r="AC4" i="257"/>
  <c r="AC4" i="252"/>
  <c r="AC4" i="49"/>
  <c r="AC4" i="46"/>
  <c r="AC2" i="44"/>
  <c r="AC2" i="257"/>
  <c r="AC2" i="49"/>
  <c r="AC2" i="252"/>
  <c r="AC2" i="46"/>
  <c r="AE3" i="49"/>
  <c r="AE3" i="46"/>
  <c r="AE3" i="257"/>
  <c r="AE3" i="252"/>
  <c r="AF8" i="44"/>
  <c r="AF3" i="295" s="1"/>
  <c r="AE3" i="44"/>
  <c r="AD4" i="265"/>
  <c r="AD55" i="295" l="1"/>
  <c r="AD31" i="261"/>
  <c r="AD2" i="283"/>
  <c r="AD2" i="295"/>
  <c r="AD26" i="252"/>
  <c r="AD17" i="283"/>
  <c r="AD8" i="283"/>
  <c r="AD8" i="260"/>
  <c r="AD11" i="260" s="1"/>
  <c r="AD19" i="260" s="1"/>
  <c r="AD21" i="260" s="1"/>
  <c r="AD24" i="260" s="1"/>
  <c r="AF3" i="277"/>
  <c r="AF3" i="283"/>
  <c r="AD25" i="260"/>
  <c r="AE28" i="44"/>
  <c r="AE29" i="44" s="1"/>
  <c r="AE8" i="260" s="1"/>
  <c r="AE11" i="260" s="1"/>
  <c r="AE19" i="260" s="1"/>
  <c r="AE21" i="260" s="1"/>
  <c r="AE24" i="260" s="1"/>
  <c r="AE4" i="283"/>
  <c r="P96" i="281"/>
  <c r="AP36" i="266"/>
  <c r="AP37" i="266" s="1"/>
  <c r="AP40" i="266" s="1"/>
  <c r="AP41" i="266" s="1"/>
  <c r="AP122" i="281" s="1"/>
  <c r="AQ63" i="281"/>
  <c r="AQ124" i="281"/>
  <c r="AQ62" i="281"/>
  <c r="AQ123" i="281"/>
  <c r="AN40" i="277"/>
  <c r="AR15" i="266"/>
  <c r="AR16" i="266" s="1"/>
  <c r="AR27" i="266" s="1"/>
  <c r="AR10" i="281"/>
  <c r="AR11" i="281" s="1"/>
  <c r="AO43" i="266"/>
  <c r="AO44" i="266" s="1"/>
  <c r="AO40" i="277" s="1"/>
  <c r="AO72" i="281"/>
  <c r="AR19" i="266"/>
  <c r="AR20" i="266" s="1"/>
  <c r="AR28" i="266" s="1"/>
  <c r="AR82" i="281"/>
  <c r="AS30" i="281"/>
  <c r="AS4" i="281"/>
  <c r="AQ30" i="266"/>
  <c r="AQ36" i="266" s="1"/>
  <c r="AQ37" i="266" s="1"/>
  <c r="AQ40" i="266" s="1"/>
  <c r="P89" i="281"/>
  <c r="Q86" i="281" s="1"/>
  <c r="AR2" i="266"/>
  <c r="AR51" i="281"/>
  <c r="AR31" i="281"/>
  <c r="AR32" i="281" s="1"/>
  <c r="AR36" i="281" s="1"/>
  <c r="AR14" i="281"/>
  <c r="AR16" i="281" s="1"/>
  <c r="AR2" i="281"/>
  <c r="AS37" i="277"/>
  <c r="AS17" i="277"/>
  <c r="AS26" i="277"/>
  <c r="AS4" i="266"/>
  <c r="AR2" i="272"/>
  <c r="AR29" i="272"/>
  <c r="AR30" i="272" s="1"/>
  <c r="AR23" i="266" s="1"/>
  <c r="AR24" i="266" s="1"/>
  <c r="AR29" i="266" s="1"/>
  <c r="AS17" i="272"/>
  <c r="AS18" i="272" s="1"/>
  <c r="AS4" i="272"/>
  <c r="AS21" i="272"/>
  <c r="AS22" i="272" s="1"/>
  <c r="AS25" i="272"/>
  <c r="AS26" i="272" s="1"/>
  <c r="AS55" i="281" s="1"/>
  <c r="AS56" i="281" s="1"/>
  <c r="AS66" i="281" s="1"/>
  <c r="AC17" i="258"/>
  <c r="AC31" i="258" s="1"/>
  <c r="AD99" i="46"/>
  <c r="AD10" i="258"/>
  <c r="AD90" i="46"/>
  <c r="AD23" i="258"/>
  <c r="AD61" i="260"/>
  <c r="AD2" i="277"/>
  <c r="AE48" i="44"/>
  <c r="AE49" i="44" s="1"/>
  <c r="AE99" i="46" s="1"/>
  <c r="AE4" i="277"/>
  <c r="AT3" i="272"/>
  <c r="AT3" i="266"/>
  <c r="AU8" i="272"/>
  <c r="AU3" i="281" s="1"/>
  <c r="AT9" i="272"/>
  <c r="AT12" i="272" s="1"/>
  <c r="AT13" i="272" s="1"/>
  <c r="AT106" i="281" s="1"/>
  <c r="AT107" i="281" s="1"/>
  <c r="AT108" i="281" s="1"/>
  <c r="AT111" i="281" s="1"/>
  <c r="AT112" i="281" s="1"/>
  <c r="AT115" i="281" s="1"/>
  <c r="AA34" i="258"/>
  <c r="AA9" i="49" s="1"/>
  <c r="Y8" i="49"/>
  <c r="Y10" i="49" s="1"/>
  <c r="Y24" i="265"/>
  <c r="AB84" i="46"/>
  <c r="AC67" i="46"/>
  <c r="AC69" i="46" s="1"/>
  <c r="AC81" i="46" s="1"/>
  <c r="AC32" i="46"/>
  <c r="AC71" i="46"/>
  <c r="AC73" i="46" s="1"/>
  <c r="AC82" i="46" s="1"/>
  <c r="AC33" i="46"/>
  <c r="AA91" i="46"/>
  <c r="AA92" i="46" s="1"/>
  <c r="AA111" i="46" s="1"/>
  <c r="AA100" i="46"/>
  <c r="AA101" i="46" s="1"/>
  <c r="AA112" i="46" s="1"/>
  <c r="AC63" i="46"/>
  <c r="AC65" i="46" s="1"/>
  <c r="AC80" i="46" s="1"/>
  <c r="AC31" i="46"/>
  <c r="AD17" i="46"/>
  <c r="AD18" i="46" s="1"/>
  <c r="AD27" i="46"/>
  <c r="AD28" i="46" s="1"/>
  <c r="AD57" i="46"/>
  <c r="AD58" i="46" s="1"/>
  <c r="AD76" i="46" s="1"/>
  <c r="AD47" i="46"/>
  <c r="AD48" i="46" s="1"/>
  <c r="AD68" i="46" s="1"/>
  <c r="AD12" i="46"/>
  <c r="AD13" i="46" s="1"/>
  <c r="AD52" i="46"/>
  <c r="AD53" i="46" s="1"/>
  <c r="AD72" i="46" s="1"/>
  <c r="AD22" i="46"/>
  <c r="AD23" i="46" s="1"/>
  <c r="AD42" i="46"/>
  <c r="AD43" i="46" s="1"/>
  <c r="AD64" i="46" s="1"/>
  <c r="AC75" i="46"/>
  <c r="AC77" i="46" s="1"/>
  <c r="AC83" i="46" s="1"/>
  <c r="AC34" i="46"/>
  <c r="Z114" i="46"/>
  <c r="AB35" i="46"/>
  <c r="AB9" i="258" s="1"/>
  <c r="AB11" i="258" s="1"/>
  <c r="AB30" i="258" s="1"/>
  <c r="AB33" i="258" s="1"/>
  <c r="AB25" i="265" s="1"/>
  <c r="AE33" i="44"/>
  <c r="AE34" i="44" s="1"/>
  <c r="AE13" i="259" s="1"/>
  <c r="AE23" i="44"/>
  <c r="AE24" i="44" s="1"/>
  <c r="AE9" i="295" s="1"/>
  <c r="AE18" i="44"/>
  <c r="AE19" i="44" s="1"/>
  <c r="AE37" i="44"/>
  <c r="AE38" i="44" s="1"/>
  <c r="AD44" i="265"/>
  <c r="AD69" i="260"/>
  <c r="AF3" i="265"/>
  <c r="AF11" i="44"/>
  <c r="AF12" i="44" s="1"/>
  <c r="AF4" i="295" s="1"/>
  <c r="AD48" i="261"/>
  <c r="AD10" i="265"/>
  <c r="AD14" i="265"/>
  <c r="AD81" i="261"/>
  <c r="AD89" i="261"/>
  <c r="AD2" i="265"/>
  <c r="AD24" i="258"/>
  <c r="AD16" i="258"/>
  <c r="AD17" i="258" s="1"/>
  <c r="AD31" i="258" s="1"/>
  <c r="AF3" i="258"/>
  <c r="AF3" i="260"/>
  <c r="AF3" i="261"/>
  <c r="AF3" i="259"/>
  <c r="AD53" i="261"/>
  <c r="AD21" i="259"/>
  <c r="AD2" i="261"/>
  <c r="AD2" i="260"/>
  <c r="AD2" i="259"/>
  <c r="AD4" i="258"/>
  <c r="AD4" i="261"/>
  <c r="AD4" i="260"/>
  <c r="AD4" i="259"/>
  <c r="AD2" i="258"/>
  <c r="AD2" i="44"/>
  <c r="AD2" i="257"/>
  <c r="AD2" i="46"/>
  <c r="AD2" i="49"/>
  <c r="AD2" i="252"/>
  <c r="AD9" i="257"/>
  <c r="AD14" i="257" s="1"/>
  <c r="AE11" i="257" s="1"/>
  <c r="AE4" i="265"/>
  <c r="AD4" i="44"/>
  <c r="AD4" i="49"/>
  <c r="AD4" i="257"/>
  <c r="AD4" i="46"/>
  <c r="AD4" i="252"/>
  <c r="AF3" i="257"/>
  <c r="AF3" i="46"/>
  <c r="AF3" i="252"/>
  <c r="AF3" i="49"/>
  <c r="AF3" i="44"/>
  <c r="AG8" i="44"/>
  <c r="AG3" i="295" s="1"/>
  <c r="Y40" i="49" l="1"/>
  <c r="Y41" i="277" s="1"/>
  <c r="AE55" i="295"/>
  <c r="AE31" i="261"/>
  <c r="AE2" i="283"/>
  <c r="AE2" i="295"/>
  <c r="AE25" i="260"/>
  <c r="AE26" i="260" s="1"/>
  <c r="AE28" i="260" s="1"/>
  <c r="AD26" i="260"/>
  <c r="AD28" i="260" s="1"/>
  <c r="AG3" i="277"/>
  <c r="AG3" i="283"/>
  <c r="AF28" i="44"/>
  <c r="AF29" i="44" s="1"/>
  <c r="AF25" i="260" s="1"/>
  <c r="AF4" i="283"/>
  <c r="AE26" i="252"/>
  <c r="AE17" i="283"/>
  <c r="AE8" i="283"/>
  <c r="P99" i="281"/>
  <c r="P100" i="281" s="1"/>
  <c r="P29" i="277" s="1"/>
  <c r="P114" i="281"/>
  <c r="P116" i="281" s="1"/>
  <c r="AR63" i="281"/>
  <c r="AR124" i="281"/>
  <c r="AR62" i="281"/>
  <c r="AR123" i="281"/>
  <c r="AQ39" i="266"/>
  <c r="AQ41" i="266" s="1"/>
  <c r="AQ122" i="281" s="1"/>
  <c r="AR30" i="266"/>
  <c r="AR39" i="266" s="1"/>
  <c r="AP43" i="266"/>
  <c r="AP44" i="266" s="1"/>
  <c r="AP40" i="277" s="1"/>
  <c r="AP72" i="281"/>
  <c r="AS15" i="266"/>
  <c r="AS16" i="266" s="1"/>
  <c r="AS27" i="266" s="1"/>
  <c r="AS10" i="281"/>
  <c r="AS11" i="281" s="1"/>
  <c r="AT4" i="281"/>
  <c r="AT30" i="281"/>
  <c r="Q46" i="281"/>
  <c r="Q47" i="281" s="1"/>
  <c r="Q50" i="281" s="1"/>
  <c r="Q52" i="281" s="1"/>
  <c r="Q35" i="281"/>
  <c r="Q37" i="281" s="1"/>
  <c r="Q125" i="281" s="1"/>
  <c r="Q80" i="281"/>
  <c r="AS19" i="266"/>
  <c r="AS20" i="266" s="1"/>
  <c r="AS28" i="266" s="1"/>
  <c r="AS82" i="281"/>
  <c r="AS2" i="266"/>
  <c r="AS31" i="281"/>
  <c r="AS32" i="281" s="1"/>
  <c r="AS36" i="281" s="1"/>
  <c r="AS14" i="281"/>
  <c r="AS16" i="281" s="1"/>
  <c r="AS2" i="281"/>
  <c r="AS51" i="281"/>
  <c r="AT37" i="277"/>
  <c r="AT17" i="277"/>
  <c r="AT26" i="277"/>
  <c r="AT4" i="266"/>
  <c r="AS2" i="272"/>
  <c r="AS29" i="272"/>
  <c r="AS30" i="272" s="1"/>
  <c r="AS23" i="266" s="1"/>
  <c r="AS24" i="266" s="1"/>
  <c r="AS29" i="266" s="1"/>
  <c r="AT17" i="272"/>
  <c r="AT18" i="272" s="1"/>
  <c r="AT21" i="272"/>
  <c r="AT22" i="272" s="1"/>
  <c r="AT4" i="272"/>
  <c r="AT25" i="272"/>
  <c r="AT26" i="272" s="1"/>
  <c r="AT55" i="281" s="1"/>
  <c r="AT56" i="281" s="1"/>
  <c r="AT66" i="281" s="1"/>
  <c r="AE15" i="258"/>
  <c r="AD25" i="258"/>
  <c r="AD32" i="258" s="1"/>
  <c r="AE23" i="258"/>
  <c r="AE90" i="46"/>
  <c r="AE10" i="258"/>
  <c r="AF48" i="44"/>
  <c r="AF49" i="44" s="1"/>
  <c r="AF23" i="258" s="1"/>
  <c r="AF4" i="277"/>
  <c r="AE61" i="260"/>
  <c r="AE2" i="277"/>
  <c r="AU3" i="272"/>
  <c r="AU3" i="266"/>
  <c r="AV8" i="272"/>
  <c r="AV3" i="281" s="1"/>
  <c r="AU9" i="272"/>
  <c r="AU12" i="272" s="1"/>
  <c r="AU13" i="272" s="1"/>
  <c r="AU106" i="281" s="1"/>
  <c r="AU107" i="281" s="1"/>
  <c r="AU108" i="281" s="1"/>
  <c r="AU111" i="281" s="1"/>
  <c r="AU112" i="281" s="1"/>
  <c r="AU115" i="281" s="1"/>
  <c r="AC84" i="46"/>
  <c r="AC91" i="46" s="1"/>
  <c r="AC92" i="46" s="1"/>
  <c r="AC111" i="46" s="1"/>
  <c r="AD67" i="46"/>
  <c r="AD69" i="46" s="1"/>
  <c r="AD81" i="46" s="1"/>
  <c r="AD32" i="46"/>
  <c r="AD63" i="46"/>
  <c r="AD65" i="46" s="1"/>
  <c r="AD80" i="46" s="1"/>
  <c r="AD31" i="46"/>
  <c r="AD75" i="46"/>
  <c r="AD77" i="46" s="1"/>
  <c r="AD83" i="46" s="1"/>
  <c r="AD34" i="46"/>
  <c r="AB91" i="46"/>
  <c r="AB92" i="46" s="1"/>
  <c r="AB111" i="46" s="1"/>
  <c r="AB100" i="46"/>
  <c r="AB101" i="46" s="1"/>
  <c r="AB112" i="46" s="1"/>
  <c r="AE57" i="46"/>
  <c r="AE58" i="46" s="1"/>
  <c r="AE76" i="46" s="1"/>
  <c r="AE52" i="46"/>
  <c r="AE53" i="46" s="1"/>
  <c r="AE72" i="46" s="1"/>
  <c r="AE12" i="46"/>
  <c r="AE13" i="46" s="1"/>
  <c r="AE17" i="46"/>
  <c r="AE18" i="46" s="1"/>
  <c r="AE27" i="46"/>
  <c r="AE28" i="46" s="1"/>
  <c r="AE42" i="46"/>
  <c r="AE43" i="46" s="1"/>
  <c r="AE64" i="46" s="1"/>
  <c r="AE22" i="46"/>
  <c r="AE23" i="46" s="1"/>
  <c r="AE47" i="46"/>
  <c r="AE48" i="46" s="1"/>
  <c r="AE68" i="46" s="1"/>
  <c r="Z8" i="49"/>
  <c r="Z10" i="49" s="1"/>
  <c r="Z24" i="265"/>
  <c r="AD71" i="46"/>
  <c r="AD73" i="46" s="1"/>
  <c r="AD82" i="46" s="1"/>
  <c r="AD33" i="46"/>
  <c r="AC35" i="46"/>
  <c r="AC9" i="258" s="1"/>
  <c r="AC11" i="258" s="1"/>
  <c r="AC30" i="258" s="1"/>
  <c r="AC33" i="258" s="1"/>
  <c r="AC25" i="265" s="1"/>
  <c r="AB34" i="258"/>
  <c r="AB9" i="49" s="1"/>
  <c r="AA114" i="46"/>
  <c r="AF33" i="44"/>
  <c r="AF34" i="44" s="1"/>
  <c r="AF13" i="259" s="1"/>
  <c r="AF23" i="44"/>
  <c r="AF24" i="44" s="1"/>
  <c r="AF9" i="295" s="1"/>
  <c r="AF37" i="44"/>
  <c r="AF38" i="44" s="1"/>
  <c r="AF18" i="44"/>
  <c r="AF19" i="44" s="1"/>
  <c r="AE44" i="265"/>
  <c r="AE69" i="260"/>
  <c r="AG3" i="265"/>
  <c r="AG11" i="44"/>
  <c r="AG12" i="44" s="1"/>
  <c r="AG4" i="295" s="1"/>
  <c r="AE48" i="261"/>
  <c r="AE10" i="265"/>
  <c r="AE14" i="265"/>
  <c r="AE81" i="261"/>
  <c r="AE89" i="261"/>
  <c r="AE2" i="265"/>
  <c r="AE24" i="258"/>
  <c r="AE16" i="258"/>
  <c r="AE2" i="261"/>
  <c r="AE2" i="260"/>
  <c r="AE2" i="259"/>
  <c r="AG3" i="258"/>
  <c r="AG3" i="261"/>
  <c r="AG3" i="260"/>
  <c r="AG3" i="259"/>
  <c r="AE4" i="258"/>
  <c r="AE4" i="261"/>
  <c r="AE4" i="260"/>
  <c r="AE4" i="259"/>
  <c r="AE21" i="259"/>
  <c r="AE53" i="261"/>
  <c r="AE2" i="258"/>
  <c r="AE4" i="44"/>
  <c r="AE4" i="257"/>
  <c r="AE4" i="46"/>
  <c r="AE4" i="252"/>
  <c r="AE4" i="49"/>
  <c r="AF4" i="265"/>
  <c r="AE9" i="257"/>
  <c r="AE14" i="257" s="1"/>
  <c r="AF11" i="257" s="1"/>
  <c r="AG3" i="257"/>
  <c r="AG3" i="49"/>
  <c r="AG3" i="252"/>
  <c r="AG3" i="46"/>
  <c r="AH8" i="44"/>
  <c r="AH3" i="295" s="1"/>
  <c r="AG3" i="44"/>
  <c r="AE2" i="44"/>
  <c r="AE2" i="257"/>
  <c r="AE2" i="46"/>
  <c r="AE2" i="49"/>
  <c r="AE2" i="252"/>
  <c r="Z40" i="49" l="1"/>
  <c r="Z41" i="277" s="1"/>
  <c r="AF55" i="295"/>
  <c r="AF31" i="261"/>
  <c r="AF2" i="283"/>
  <c r="AF2" i="295"/>
  <c r="AF8" i="260"/>
  <c r="AF11" i="260" s="1"/>
  <c r="AF19" i="260" s="1"/>
  <c r="AF21" i="260" s="1"/>
  <c r="AF24" i="260" s="1"/>
  <c r="AF26" i="260" s="1"/>
  <c r="AF28" i="260" s="1"/>
  <c r="AH3" i="277"/>
  <c r="AH3" i="283"/>
  <c r="AF26" i="252"/>
  <c r="AF17" i="283"/>
  <c r="AF8" i="283"/>
  <c r="AG28" i="44"/>
  <c r="AG29" i="44" s="1"/>
  <c r="AG4" i="283"/>
  <c r="P20" i="277"/>
  <c r="AR36" i="266"/>
  <c r="AR37" i="266" s="1"/>
  <c r="AR40" i="266" s="1"/>
  <c r="AR41" i="266" s="1"/>
  <c r="AR122" i="281" s="1"/>
  <c r="Q65" i="281"/>
  <c r="Q126" i="281"/>
  <c r="Q127" i="281" s="1"/>
  <c r="AS62" i="281"/>
  <c r="AS123" i="281"/>
  <c r="AS63" i="281"/>
  <c r="AS124" i="281"/>
  <c r="AS30" i="266"/>
  <c r="AS39" i="266" s="1"/>
  <c r="AU4" i="281"/>
  <c r="AU30" i="281"/>
  <c r="AT15" i="266"/>
  <c r="AT16" i="266" s="1"/>
  <c r="AT27" i="266" s="1"/>
  <c r="AT10" i="281"/>
  <c r="AT11" i="281" s="1"/>
  <c r="AT2" i="266"/>
  <c r="AT51" i="281"/>
  <c r="AT14" i="281"/>
  <c r="AT16" i="281" s="1"/>
  <c r="AT2" i="281"/>
  <c r="AT31" i="281"/>
  <c r="AT32" i="281" s="1"/>
  <c r="AT36" i="281" s="1"/>
  <c r="AQ43" i="266"/>
  <c r="AQ44" i="266" s="1"/>
  <c r="AQ72" i="281"/>
  <c r="AT19" i="266"/>
  <c r="AT20" i="266" s="1"/>
  <c r="AT28" i="266" s="1"/>
  <c r="AT82" i="281"/>
  <c r="Q64" i="281"/>
  <c r="Q40" i="281"/>
  <c r="AE17" i="258"/>
  <c r="AE31" i="258" s="1"/>
  <c r="AF99" i="46"/>
  <c r="AU17" i="277"/>
  <c r="AU4" i="266"/>
  <c r="AU37" i="277"/>
  <c r="AU26" i="277"/>
  <c r="AT2" i="272"/>
  <c r="AT29" i="272"/>
  <c r="AT30" i="272" s="1"/>
  <c r="AT23" i="266" s="1"/>
  <c r="AT24" i="266" s="1"/>
  <c r="AT29" i="266" s="1"/>
  <c r="AU17" i="272"/>
  <c r="AU18" i="272" s="1"/>
  <c r="AU25" i="272"/>
  <c r="AU26" i="272" s="1"/>
  <c r="AU55" i="281" s="1"/>
  <c r="AU56" i="281" s="1"/>
  <c r="AU66" i="281" s="1"/>
  <c r="AU4" i="272"/>
  <c r="AU21" i="272"/>
  <c r="AU22" i="272" s="1"/>
  <c r="AE25" i="258"/>
  <c r="AE32" i="258" s="1"/>
  <c r="AF90" i="46"/>
  <c r="AF15" i="258"/>
  <c r="AF10" i="258"/>
  <c r="AG48" i="44"/>
  <c r="AG49" i="44" s="1"/>
  <c r="AG23" i="258" s="1"/>
  <c r="AG4" i="277"/>
  <c r="AF61" i="260"/>
  <c r="AF2" i="277"/>
  <c r="AV3" i="272"/>
  <c r="AV3" i="266"/>
  <c r="AV9" i="272"/>
  <c r="AV12" i="272" s="1"/>
  <c r="AV13" i="272" s="1"/>
  <c r="AV106" i="281" s="1"/>
  <c r="AV107" i="281" s="1"/>
  <c r="AV108" i="281" s="1"/>
  <c r="AV111" i="281" s="1"/>
  <c r="AV112" i="281" s="1"/>
  <c r="AV115" i="281" s="1"/>
  <c r="AW8" i="272"/>
  <c r="AW3" i="281" s="1"/>
  <c r="AC100" i="46"/>
  <c r="AC101" i="46" s="1"/>
  <c r="AC112" i="46" s="1"/>
  <c r="AC114" i="46" s="1"/>
  <c r="AC8" i="49" s="1"/>
  <c r="AB114" i="46"/>
  <c r="AB24" i="265" s="1"/>
  <c r="AD84" i="46"/>
  <c r="AD91" i="46" s="1"/>
  <c r="AD92" i="46" s="1"/>
  <c r="AD111" i="46" s="1"/>
  <c r="AC34" i="258"/>
  <c r="AC9" i="49" s="1"/>
  <c r="AE63" i="46"/>
  <c r="AE65" i="46" s="1"/>
  <c r="AE80" i="46" s="1"/>
  <c r="AE31" i="46"/>
  <c r="AA24" i="265"/>
  <c r="AA8" i="49"/>
  <c r="AA10" i="49" s="1"/>
  <c r="AD35" i="46"/>
  <c r="AD9" i="258" s="1"/>
  <c r="AD11" i="258" s="1"/>
  <c r="AD30" i="258" s="1"/>
  <c r="AD33" i="258" s="1"/>
  <c r="AD25" i="265" s="1"/>
  <c r="AE67" i="46"/>
  <c r="AE69" i="46" s="1"/>
  <c r="AE81" i="46" s="1"/>
  <c r="AE32" i="46"/>
  <c r="AF42" i="46"/>
  <c r="AF43" i="46" s="1"/>
  <c r="AF64" i="46" s="1"/>
  <c r="AF27" i="46"/>
  <c r="AF28" i="46" s="1"/>
  <c r="AF47" i="46"/>
  <c r="AF48" i="46" s="1"/>
  <c r="AF68" i="46" s="1"/>
  <c r="AF57" i="46"/>
  <c r="AF58" i="46" s="1"/>
  <c r="AF76" i="46" s="1"/>
  <c r="AF12" i="46"/>
  <c r="AF13" i="46" s="1"/>
  <c r="AF52" i="46"/>
  <c r="AF53" i="46" s="1"/>
  <c r="AF72" i="46" s="1"/>
  <c r="AF17" i="46"/>
  <c r="AF18" i="46" s="1"/>
  <c r="AF22" i="46"/>
  <c r="AF23" i="46" s="1"/>
  <c r="AE33" i="46"/>
  <c r="AE71" i="46"/>
  <c r="AE73" i="46" s="1"/>
  <c r="AE82" i="46" s="1"/>
  <c r="AE34" i="46"/>
  <c r="AE75" i="46"/>
  <c r="AE77" i="46" s="1"/>
  <c r="AE83" i="46" s="1"/>
  <c r="AG37" i="44"/>
  <c r="AG38" i="44" s="1"/>
  <c r="AG18" i="44"/>
  <c r="AG19" i="44" s="1"/>
  <c r="AG33" i="44"/>
  <c r="AG34" i="44" s="1"/>
  <c r="AG13" i="259" s="1"/>
  <c r="AG23" i="44"/>
  <c r="AG24" i="44" s="1"/>
  <c r="AG9" i="295" s="1"/>
  <c r="AF44" i="265"/>
  <c r="AF69" i="260"/>
  <c r="AH3" i="265"/>
  <c r="AH11" i="44"/>
  <c r="AH12" i="44" s="1"/>
  <c r="AH4" i="295" s="1"/>
  <c r="AF48" i="261"/>
  <c r="AF10" i="265"/>
  <c r="AF14" i="265"/>
  <c r="AF81" i="261"/>
  <c r="AF89" i="261"/>
  <c r="AF2" i="265"/>
  <c r="AF24" i="258"/>
  <c r="AF25" i="258" s="1"/>
  <c r="AF32" i="258" s="1"/>
  <c r="AF16" i="258"/>
  <c r="AH3" i="258"/>
  <c r="AH3" i="261"/>
  <c r="AH3" i="260"/>
  <c r="AH3" i="259"/>
  <c r="AF4" i="258"/>
  <c r="AF4" i="261"/>
  <c r="AF4" i="260"/>
  <c r="AF4" i="259"/>
  <c r="AF53" i="261"/>
  <c r="AF21" i="259"/>
  <c r="AF2" i="260"/>
  <c r="AF2" i="259"/>
  <c r="AF2" i="261"/>
  <c r="AF2" i="258"/>
  <c r="AG4" i="265"/>
  <c r="AF4" i="44"/>
  <c r="AF4" i="257"/>
  <c r="AF4" i="49"/>
  <c r="AF4" i="252"/>
  <c r="AF4" i="46"/>
  <c r="AF9" i="257"/>
  <c r="AF14" i="257" s="1"/>
  <c r="AG11" i="257" s="1"/>
  <c r="AH3" i="257"/>
  <c r="AH3" i="49"/>
  <c r="AH3" i="46"/>
  <c r="AH3" i="252"/>
  <c r="AH3" i="44"/>
  <c r="AI8" i="44"/>
  <c r="AI3" i="295" s="1"/>
  <c r="AF2" i="44"/>
  <c r="AF2" i="257"/>
  <c r="AF2" i="252"/>
  <c r="AF2" i="46"/>
  <c r="AF2" i="49"/>
  <c r="AA40" i="49" l="1"/>
  <c r="AA41" i="277" s="1"/>
  <c r="AG55" i="295"/>
  <c r="AG31" i="261"/>
  <c r="AG2" i="283"/>
  <c r="AG2" i="295"/>
  <c r="AG26" i="252"/>
  <c r="AG17" i="283"/>
  <c r="AG8" i="283"/>
  <c r="AG8" i="260"/>
  <c r="AG11" i="260" s="1"/>
  <c r="AG19" i="260" s="1"/>
  <c r="AG21" i="260" s="1"/>
  <c r="AG24" i="260" s="1"/>
  <c r="AG25" i="260"/>
  <c r="AH28" i="44"/>
  <c r="AH29" i="44" s="1"/>
  <c r="AH4" i="283"/>
  <c r="AI3" i="277"/>
  <c r="AI3" i="283"/>
  <c r="Q67" i="281"/>
  <c r="Q73" i="281" s="1"/>
  <c r="Q74" i="281" s="1"/>
  <c r="Q94" i="281" s="1"/>
  <c r="AS36" i="266"/>
  <c r="AS37" i="266" s="1"/>
  <c r="AS40" i="266" s="1"/>
  <c r="AS41" i="266" s="1"/>
  <c r="AS122" i="281" s="1"/>
  <c r="AQ40" i="277"/>
  <c r="AT63" i="281"/>
  <c r="AT124" i="281"/>
  <c r="AT62" i="281"/>
  <c r="AT123" i="281"/>
  <c r="AU15" i="266"/>
  <c r="AU16" i="266" s="1"/>
  <c r="AU27" i="266" s="1"/>
  <c r="AU10" i="281"/>
  <c r="AU11" i="281" s="1"/>
  <c r="AR43" i="266"/>
  <c r="AR44" i="266" s="1"/>
  <c r="AR40" i="277" s="1"/>
  <c r="AR72" i="281"/>
  <c r="AU2" i="266"/>
  <c r="AU31" i="281"/>
  <c r="AU32" i="281" s="1"/>
  <c r="AU36" i="281" s="1"/>
  <c r="AU14" i="281"/>
  <c r="AU16" i="281" s="1"/>
  <c r="AU2" i="281"/>
  <c r="AU51" i="281"/>
  <c r="AV30" i="281"/>
  <c r="AV4" i="281"/>
  <c r="AT30" i="266"/>
  <c r="AT36" i="266" s="1"/>
  <c r="AT37" i="266" s="1"/>
  <c r="AT40" i="266" s="1"/>
  <c r="AU19" i="266"/>
  <c r="AU20" i="266" s="1"/>
  <c r="AU28" i="266" s="1"/>
  <c r="AU82" i="281"/>
  <c r="AV17" i="277"/>
  <c r="AV37" i="277"/>
  <c r="AV26" i="277"/>
  <c r="AV4" i="266"/>
  <c r="AU2" i="272"/>
  <c r="AU29" i="272"/>
  <c r="AU30" i="272" s="1"/>
  <c r="AU23" i="266" s="1"/>
  <c r="AU24" i="266" s="1"/>
  <c r="AU29" i="266" s="1"/>
  <c r="AV17" i="272"/>
  <c r="AV18" i="272" s="1"/>
  <c r="AV21" i="272"/>
  <c r="AV22" i="272" s="1"/>
  <c r="AV4" i="272"/>
  <c r="AV25" i="272"/>
  <c r="AV26" i="272" s="1"/>
  <c r="AV55" i="281" s="1"/>
  <c r="AV56" i="281" s="1"/>
  <c r="AV66" i="281" s="1"/>
  <c r="AF17" i="258"/>
  <c r="AF31" i="258" s="1"/>
  <c r="AG99" i="46"/>
  <c r="AG15" i="258"/>
  <c r="AG10" i="258"/>
  <c r="AG90" i="46"/>
  <c r="AG61" i="260"/>
  <c r="AG2" i="277"/>
  <c r="AH48" i="44"/>
  <c r="AH49" i="44" s="1"/>
  <c r="AH10" i="258" s="1"/>
  <c r="AH4" i="277"/>
  <c r="AW3" i="272"/>
  <c r="AW3" i="266"/>
  <c r="AW9" i="272"/>
  <c r="AW12" i="272" s="1"/>
  <c r="AW13" i="272" s="1"/>
  <c r="AW106" i="281" s="1"/>
  <c r="AW107" i="281" s="1"/>
  <c r="AW108" i="281" s="1"/>
  <c r="AW111" i="281" s="1"/>
  <c r="AW112" i="281" s="1"/>
  <c r="AW115" i="281" s="1"/>
  <c r="AX8" i="272"/>
  <c r="AX3" i="281" s="1"/>
  <c r="AD34" i="258"/>
  <c r="AD9" i="49" s="1"/>
  <c r="AB8" i="49"/>
  <c r="AB10" i="49" s="1"/>
  <c r="AC24" i="265"/>
  <c r="AD100" i="46"/>
  <c r="AD101" i="46" s="1"/>
  <c r="AD112" i="46" s="1"/>
  <c r="AD114" i="46" s="1"/>
  <c r="AC10" i="49"/>
  <c r="AF33" i="46"/>
  <c r="AF71" i="46"/>
  <c r="AF73" i="46" s="1"/>
  <c r="AF82" i="46" s="1"/>
  <c r="AG12" i="46"/>
  <c r="AG13" i="46" s="1"/>
  <c r="AG22" i="46"/>
  <c r="AG23" i="46" s="1"/>
  <c r="AG57" i="46"/>
  <c r="AG58" i="46" s="1"/>
  <c r="AG76" i="46" s="1"/>
  <c r="AG52" i="46"/>
  <c r="AG53" i="46" s="1"/>
  <c r="AG72" i="46" s="1"/>
  <c r="AG47" i="46"/>
  <c r="AG48" i="46" s="1"/>
  <c r="AG68" i="46" s="1"/>
  <c r="AG42" i="46"/>
  <c r="AG43" i="46" s="1"/>
  <c r="AG64" i="46" s="1"/>
  <c r="AG17" i="46"/>
  <c r="AG18" i="46" s="1"/>
  <c r="AG27" i="46"/>
  <c r="AG28" i="46" s="1"/>
  <c r="AF67" i="46"/>
  <c r="AF69" i="46" s="1"/>
  <c r="AF81" i="46" s="1"/>
  <c r="AF32" i="46"/>
  <c r="AF31" i="46"/>
  <c r="AF63" i="46"/>
  <c r="AF65" i="46" s="1"/>
  <c r="AF80" i="46" s="1"/>
  <c r="AE84" i="46"/>
  <c r="AF75" i="46"/>
  <c r="AF77" i="46" s="1"/>
  <c r="AF83" i="46" s="1"/>
  <c r="AF34" i="46"/>
  <c r="AE35" i="46"/>
  <c r="AE9" i="258" s="1"/>
  <c r="AE11" i="258" s="1"/>
  <c r="AE30" i="258" s="1"/>
  <c r="AE33" i="258" s="1"/>
  <c r="AE25" i="265" s="1"/>
  <c r="AH18" i="44"/>
  <c r="AH19" i="44" s="1"/>
  <c r="AH37" i="44"/>
  <c r="AH38" i="44" s="1"/>
  <c r="AH33" i="44"/>
  <c r="AH34" i="44" s="1"/>
  <c r="AH13" i="259" s="1"/>
  <c r="AH23" i="44"/>
  <c r="AH24" i="44" s="1"/>
  <c r="AH9" i="295" s="1"/>
  <c r="AG44" i="265"/>
  <c r="AG69" i="260"/>
  <c r="AI3" i="265"/>
  <c r="AI11" i="44"/>
  <c r="AI12" i="44" s="1"/>
  <c r="AI4" i="295" s="1"/>
  <c r="AG48" i="261"/>
  <c r="AG10" i="265"/>
  <c r="AG14" i="265"/>
  <c r="AG89" i="261"/>
  <c r="AG81" i="261"/>
  <c r="AG2" i="265"/>
  <c r="AG16" i="258"/>
  <c r="AG24" i="258"/>
  <c r="AG25" i="258" s="1"/>
  <c r="AG32" i="258" s="1"/>
  <c r="AI3" i="258"/>
  <c r="AI3" i="260"/>
  <c r="AI3" i="259"/>
  <c r="AI3" i="261"/>
  <c r="AG4" i="258"/>
  <c r="AG4" i="261"/>
  <c r="AG4" i="259"/>
  <c r="AG4" i="260"/>
  <c r="AG53" i="261"/>
  <c r="AG21" i="259"/>
  <c r="AG2" i="260"/>
  <c r="AG2" i="259"/>
  <c r="AG2" i="261"/>
  <c r="AG2" i="258"/>
  <c r="AG4" i="44"/>
  <c r="AG4" i="257"/>
  <c r="AG4" i="49"/>
  <c r="AG4" i="252"/>
  <c r="AG4" i="46"/>
  <c r="AI3" i="49"/>
  <c r="AI3" i="46"/>
  <c r="AI3" i="252"/>
  <c r="AI3" i="257"/>
  <c r="AJ8" i="44"/>
  <c r="AJ3" i="295" s="1"/>
  <c r="AI3" i="44"/>
  <c r="AG9" i="257"/>
  <c r="AG14" i="257" s="1"/>
  <c r="AH11" i="257" s="1"/>
  <c r="AG2" i="44"/>
  <c r="AG2" i="257"/>
  <c r="AG2" i="49"/>
  <c r="AG2" i="252"/>
  <c r="AG2" i="46"/>
  <c r="AH4" i="265"/>
  <c r="AC40" i="49" l="1"/>
  <c r="AC41" i="277" s="1"/>
  <c r="AB40" i="49"/>
  <c r="AB41" i="277" s="1"/>
  <c r="AH55" i="295"/>
  <c r="AH31" i="261"/>
  <c r="AH2" i="283"/>
  <c r="AH2" i="295"/>
  <c r="AG26" i="260"/>
  <c r="AG28" i="260" s="1"/>
  <c r="AH26" i="252"/>
  <c r="AH17" i="283"/>
  <c r="AH8" i="283"/>
  <c r="AH25" i="260"/>
  <c r="AJ3" i="277"/>
  <c r="AJ3" i="283"/>
  <c r="AH8" i="260"/>
  <c r="AH11" i="260" s="1"/>
  <c r="AH19" i="260" s="1"/>
  <c r="AH21" i="260" s="1"/>
  <c r="AH24" i="260" s="1"/>
  <c r="AI28" i="44"/>
  <c r="AI29" i="44" s="1"/>
  <c r="AI8" i="260" s="1"/>
  <c r="AI11" i="260" s="1"/>
  <c r="AI19" i="260" s="1"/>
  <c r="AI21" i="260" s="1"/>
  <c r="AI24" i="260" s="1"/>
  <c r="AI4" i="283"/>
  <c r="Q77" i="281"/>
  <c r="Q78" i="281" s="1"/>
  <c r="Q95" i="281" s="1"/>
  <c r="Q96" i="281" s="1"/>
  <c r="AU62" i="281"/>
  <c r="AU123" i="281"/>
  <c r="AU63" i="281"/>
  <c r="AU124" i="281"/>
  <c r="AS43" i="266"/>
  <c r="AS44" i="266" s="1"/>
  <c r="AS72" i="281"/>
  <c r="AT39" i="266"/>
  <c r="AT41" i="266" s="1"/>
  <c r="AT122" i="281" s="1"/>
  <c r="AV19" i="266"/>
  <c r="AV20" i="266" s="1"/>
  <c r="AV28" i="266" s="1"/>
  <c r="AV82" i="281"/>
  <c r="AV15" i="266"/>
  <c r="AV16" i="266" s="1"/>
  <c r="AV27" i="266" s="1"/>
  <c r="AV10" i="281"/>
  <c r="AV11" i="281" s="1"/>
  <c r="AH90" i="46"/>
  <c r="AV2" i="266"/>
  <c r="AV31" i="281"/>
  <c r="AV32" i="281" s="1"/>
  <c r="AV36" i="281" s="1"/>
  <c r="AV14" i="281"/>
  <c r="AV16" i="281" s="1"/>
  <c r="AV51" i="281"/>
  <c r="AV2" i="281"/>
  <c r="AW4" i="281"/>
  <c r="AW30" i="281"/>
  <c r="AU30" i="266"/>
  <c r="AU39" i="266" s="1"/>
  <c r="AG17" i="258"/>
  <c r="AG31" i="258" s="1"/>
  <c r="AW17" i="277"/>
  <c r="AW26" i="277"/>
  <c r="AW37" i="277"/>
  <c r="AW4" i="266"/>
  <c r="AV2" i="272"/>
  <c r="AV29" i="272"/>
  <c r="AV30" i="272" s="1"/>
  <c r="AV23" i="266" s="1"/>
  <c r="AV24" i="266" s="1"/>
  <c r="AV29" i="266" s="1"/>
  <c r="AW17" i="272"/>
  <c r="AW18" i="272" s="1"/>
  <c r="AW4" i="272"/>
  <c r="AW25" i="272"/>
  <c r="AW26" i="272" s="1"/>
  <c r="AW55" i="281" s="1"/>
  <c r="AW56" i="281" s="1"/>
  <c r="AW66" i="281" s="1"/>
  <c r="AW21" i="272"/>
  <c r="AW22" i="272" s="1"/>
  <c r="AH15" i="258"/>
  <c r="AH99" i="46"/>
  <c r="AH23" i="258"/>
  <c r="AI48" i="44"/>
  <c r="AI49" i="44" s="1"/>
  <c r="AI15" i="258" s="1"/>
  <c r="AI4" i="277"/>
  <c r="AH61" i="260"/>
  <c r="AH2" i="277"/>
  <c r="AX3" i="272"/>
  <c r="AX3" i="266"/>
  <c r="AY8" i="272"/>
  <c r="AY3" i="281" s="1"/>
  <c r="AX9" i="272"/>
  <c r="AX12" i="272" s="1"/>
  <c r="AX13" i="272" s="1"/>
  <c r="AX106" i="281" s="1"/>
  <c r="AX107" i="281" s="1"/>
  <c r="AX108" i="281" s="1"/>
  <c r="AX111" i="281" s="1"/>
  <c r="AX112" i="281" s="1"/>
  <c r="AX115" i="281" s="1"/>
  <c r="AE34" i="258"/>
  <c r="AE9" i="49" s="1"/>
  <c r="AE91" i="46"/>
  <c r="AE92" i="46" s="1"/>
  <c r="AE111" i="46" s="1"/>
  <c r="AE100" i="46"/>
  <c r="AE101" i="46" s="1"/>
  <c r="AE112" i="46" s="1"/>
  <c r="AF84" i="46"/>
  <c r="AG33" i="46"/>
  <c r="AG71" i="46"/>
  <c r="AG73" i="46" s="1"/>
  <c r="AG82" i="46" s="1"/>
  <c r="AF35" i="46"/>
  <c r="AF9" i="258" s="1"/>
  <c r="AF11" i="258" s="1"/>
  <c r="AF30" i="258" s="1"/>
  <c r="AF33" i="258" s="1"/>
  <c r="AF25" i="265" s="1"/>
  <c r="AG63" i="46"/>
  <c r="AG65" i="46" s="1"/>
  <c r="AG80" i="46" s="1"/>
  <c r="AG31" i="46"/>
  <c r="AH52" i="46"/>
  <c r="AH53" i="46" s="1"/>
  <c r="AH72" i="46" s="1"/>
  <c r="AH47" i="46"/>
  <c r="AH48" i="46" s="1"/>
  <c r="AH68" i="46" s="1"/>
  <c r="AH57" i="46"/>
  <c r="AH58" i="46" s="1"/>
  <c r="AH76" i="46" s="1"/>
  <c r="AH42" i="46"/>
  <c r="AH43" i="46" s="1"/>
  <c r="AH64" i="46" s="1"/>
  <c r="AH27" i="46"/>
  <c r="AH28" i="46" s="1"/>
  <c r="AH22" i="46"/>
  <c r="AH23" i="46" s="1"/>
  <c r="AH17" i="46"/>
  <c r="AH18" i="46" s="1"/>
  <c r="AH12" i="46"/>
  <c r="AH13" i="46" s="1"/>
  <c r="AG34" i="46"/>
  <c r="AG75" i="46"/>
  <c r="AG77" i="46" s="1"/>
  <c r="AG83" i="46" s="1"/>
  <c r="AG67" i="46"/>
  <c r="AG69" i="46" s="1"/>
  <c r="AG81" i="46" s="1"/>
  <c r="AG32" i="46"/>
  <c r="AD8" i="49"/>
  <c r="AD10" i="49" s="1"/>
  <c r="AD24" i="265"/>
  <c r="AI23" i="44"/>
  <c r="AI24" i="44" s="1"/>
  <c r="AI9" i="295" s="1"/>
  <c r="AI33" i="44"/>
  <c r="AI34" i="44" s="1"/>
  <c r="AI13" i="259" s="1"/>
  <c r="AI37" i="44"/>
  <c r="AI38" i="44" s="1"/>
  <c r="AI18" i="44"/>
  <c r="AI19" i="44" s="1"/>
  <c r="AH44" i="265"/>
  <c r="AH69" i="260"/>
  <c r="AJ3" i="265"/>
  <c r="AJ11" i="44"/>
  <c r="AJ12" i="44" s="1"/>
  <c r="AJ4" i="295" s="1"/>
  <c r="AH48" i="261"/>
  <c r="AH10" i="265"/>
  <c r="AH14" i="265"/>
  <c r="AH89" i="261"/>
  <c r="AH81" i="261"/>
  <c r="AH2" i="265"/>
  <c r="AH16" i="258"/>
  <c r="AH24" i="258"/>
  <c r="AH4" i="258"/>
  <c r="AH4" i="260"/>
  <c r="AH4" i="261"/>
  <c r="AH4" i="259"/>
  <c r="AH53" i="261"/>
  <c r="AH21" i="259"/>
  <c r="AJ3" i="258"/>
  <c r="AJ3" i="261"/>
  <c r="AJ3" i="260"/>
  <c r="AJ3" i="259"/>
  <c r="AH2" i="261"/>
  <c r="AH2" i="259"/>
  <c r="AH2" i="260"/>
  <c r="AH2" i="258"/>
  <c r="AH2" i="44"/>
  <c r="AH2" i="49"/>
  <c r="AH2" i="252"/>
  <c r="AH2" i="46"/>
  <c r="AH2" i="257"/>
  <c r="AH9" i="257"/>
  <c r="AH14" i="257" s="1"/>
  <c r="AI11" i="257" s="1"/>
  <c r="AJ3" i="257"/>
  <c r="AJ3" i="46"/>
  <c r="AJ3" i="49"/>
  <c r="AJ3" i="252"/>
  <c r="AK8" i="44"/>
  <c r="AK3" i="295" s="1"/>
  <c r="AJ3" i="44"/>
  <c r="AH4" i="44"/>
  <c r="AH4" i="257"/>
  <c r="AH4" i="49"/>
  <c r="AH4" i="46"/>
  <c r="AH4" i="252"/>
  <c r="AI4" i="265"/>
  <c r="AD40" i="49" l="1"/>
  <c r="AD41" i="277" s="1"/>
  <c r="AI55" i="295"/>
  <c r="AI31" i="261"/>
  <c r="AI2" i="283"/>
  <c r="AI2" i="295"/>
  <c r="AH26" i="260"/>
  <c r="AH28" i="260" s="1"/>
  <c r="AI25" i="260"/>
  <c r="AI26" i="260" s="1"/>
  <c r="AI28" i="260" s="1"/>
  <c r="AJ28" i="44"/>
  <c r="AJ29" i="44" s="1"/>
  <c r="AJ25" i="260" s="1"/>
  <c r="AJ4" i="283"/>
  <c r="AK3" i="277"/>
  <c r="AK3" i="283"/>
  <c r="AI26" i="252"/>
  <c r="AI8" i="283"/>
  <c r="AI17" i="283"/>
  <c r="Q99" i="281"/>
  <c r="Q100" i="281" s="1"/>
  <c r="Q20" i="277" s="1"/>
  <c r="Q114" i="281"/>
  <c r="Q116" i="281" s="1"/>
  <c r="Q81" i="281"/>
  <c r="Q83" i="281" s="1"/>
  <c r="Q88" i="281" s="1"/>
  <c r="Q87" i="281"/>
  <c r="AU36" i="266"/>
  <c r="AU37" i="266" s="1"/>
  <c r="AU40" i="266" s="1"/>
  <c r="AU41" i="266" s="1"/>
  <c r="AU122" i="281" s="1"/>
  <c r="AV62" i="281"/>
  <c r="AV123" i="281"/>
  <c r="AV63" i="281"/>
  <c r="AV124" i="281"/>
  <c r="AV30" i="266"/>
  <c r="AV39" i="266" s="1"/>
  <c r="AT43" i="266"/>
  <c r="AT44" i="266" s="1"/>
  <c r="AT72" i="281"/>
  <c r="AW19" i="266"/>
  <c r="AW20" i="266" s="1"/>
  <c r="AW28" i="266" s="1"/>
  <c r="AW82" i="281"/>
  <c r="AW15" i="266"/>
  <c r="AW16" i="266" s="1"/>
  <c r="AW27" i="266" s="1"/>
  <c r="AW10" i="281"/>
  <c r="AW11" i="281" s="1"/>
  <c r="AW2" i="266"/>
  <c r="AW51" i="281"/>
  <c r="AW2" i="281"/>
  <c r="AW31" i="281"/>
  <c r="AW32" i="281" s="1"/>
  <c r="AW36" i="281" s="1"/>
  <c r="AW14" i="281"/>
  <c r="AW16" i="281" s="1"/>
  <c r="AX30" i="281"/>
  <c r="AX4" i="281"/>
  <c r="AS40" i="277"/>
  <c r="AX17" i="277"/>
  <c r="AX37" i="277"/>
  <c r="AX26" i="277"/>
  <c r="AX4" i="266"/>
  <c r="AH25" i="258"/>
  <c r="AH32" i="258" s="1"/>
  <c r="AH17" i="258"/>
  <c r="AH31" i="258" s="1"/>
  <c r="AW2" i="272"/>
  <c r="AW29" i="272"/>
  <c r="AW30" i="272" s="1"/>
  <c r="AW23" i="266" s="1"/>
  <c r="AW24" i="266" s="1"/>
  <c r="AW29" i="266" s="1"/>
  <c r="AX17" i="272"/>
  <c r="AX18" i="272" s="1"/>
  <c r="AX21" i="272"/>
  <c r="AX22" i="272" s="1"/>
  <c r="AX4" i="272"/>
  <c r="AX25" i="272"/>
  <c r="AX26" i="272" s="1"/>
  <c r="AX55" i="281" s="1"/>
  <c r="AX56" i="281" s="1"/>
  <c r="AX66" i="281" s="1"/>
  <c r="AI10" i="258"/>
  <c r="AI99" i="46"/>
  <c r="AI23" i="258"/>
  <c r="AI90" i="46"/>
  <c r="AJ48" i="44"/>
  <c r="AJ49" i="44" s="1"/>
  <c r="AJ15" i="258" s="1"/>
  <c r="AJ4" i="277"/>
  <c r="AI61" i="260"/>
  <c r="AI2" i="277"/>
  <c r="AY3" i="272"/>
  <c r="AY3" i="266"/>
  <c r="AZ8" i="272"/>
  <c r="AZ3" i="281" s="1"/>
  <c r="AY9" i="272"/>
  <c r="AY12" i="272" s="1"/>
  <c r="AY13" i="272" s="1"/>
  <c r="AY106" i="281" s="1"/>
  <c r="AY107" i="281" s="1"/>
  <c r="AY108" i="281" s="1"/>
  <c r="AY111" i="281" s="1"/>
  <c r="AY112" i="281" s="1"/>
  <c r="AY115" i="281" s="1"/>
  <c r="AI27" i="46"/>
  <c r="AI28" i="46" s="1"/>
  <c r="AI22" i="46"/>
  <c r="AI23" i="46" s="1"/>
  <c r="AI57" i="46"/>
  <c r="AI58" i="46" s="1"/>
  <c r="AI76" i="46" s="1"/>
  <c r="AI42" i="46"/>
  <c r="AI43" i="46" s="1"/>
  <c r="AI64" i="46" s="1"/>
  <c r="AI52" i="46"/>
  <c r="AI53" i="46" s="1"/>
  <c r="AI72" i="46" s="1"/>
  <c r="AI47" i="46"/>
  <c r="AI48" i="46" s="1"/>
  <c r="AI68" i="46" s="1"/>
  <c r="AI17" i="46"/>
  <c r="AI18" i="46" s="1"/>
  <c r="AI12" i="46"/>
  <c r="AI13" i="46" s="1"/>
  <c r="AH75" i="46"/>
  <c r="AH77" i="46" s="1"/>
  <c r="AH83" i="46" s="1"/>
  <c r="AH34" i="46"/>
  <c r="AG84" i="46"/>
  <c r="AF34" i="258"/>
  <c r="AF9" i="49" s="1"/>
  <c r="AH31" i="46"/>
  <c r="AH63" i="46"/>
  <c r="AH65" i="46" s="1"/>
  <c r="AH80" i="46" s="1"/>
  <c r="AG35" i="46"/>
  <c r="AG9" i="258" s="1"/>
  <c r="AG11" i="258" s="1"/>
  <c r="AG30" i="258" s="1"/>
  <c r="AG33" i="258" s="1"/>
  <c r="AG25" i="265" s="1"/>
  <c r="AE114" i="46"/>
  <c r="AH71" i="46"/>
  <c r="AH73" i="46" s="1"/>
  <c r="AH82" i="46" s="1"/>
  <c r="AH33" i="46"/>
  <c r="AF100" i="46"/>
  <c r="AF101" i="46" s="1"/>
  <c r="AF112" i="46" s="1"/>
  <c r="AF91" i="46"/>
  <c r="AF92" i="46" s="1"/>
  <c r="AF111" i="46" s="1"/>
  <c r="AH67" i="46"/>
  <c r="AH69" i="46" s="1"/>
  <c r="AH81" i="46" s="1"/>
  <c r="AH32" i="46"/>
  <c r="AJ37" i="44"/>
  <c r="AJ38" i="44" s="1"/>
  <c r="AJ33" i="44"/>
  <c r="AJ34" i="44" s="1"/>
  <c r="AJ13" i="259" s="1"/>
  <c r="AJ23" i="44"/>
  <c r="AJ24" i="44" s="1"/>
  <c r="AJ9" i="295" s="1"/>
  <c r="AJ18" i="44"/>
  <c r="AJ19" i="44" s="1"/>
  <c r="AI44" i="265"/>
  <c r="AI69" i="260"/>
  <c r="AK3" i="265"/>
  <c r="AK11" i="44"/>
  <c r="AK12" i="44" s="1"/>
  <c r="AK4" i="295" s="1"/>
  <c r="AI48" i="261"/>
  <c r="AI10" i="265"/>
  <c r="AI14" i="265"/>
  <c r="AI89" i="261"/>
  <c r="AI81" i="261"/>
  <c r="AI2" i="265"/>
  <c r="AI16" i="258"/>
  <c r="AI17" i="258" s="1"/>
  <c r="AI31" i="258" s="1"/>
  <c r="AI24" i="258"/>
  <c r="AI4" i="258"/>
  <c r="AI4" i="260"/>
  <c r="AI4" i="261"/>
  <c r="AI4" i="259"/>
  <c r="AI53" i="261"/>
  <c r="AI21" i="259"/>
  <c r="AI2" i="260"/>
  <c r="AI2" i="261"/>
  <c r="AI2" i="259"/>
  <c r="AK3" i="258"/>
  <c r="AK3" i="260"/>
  <c r="AK3" i="261"/>
  <c r="AK3" i="259"/>
  <c r="AI2" i="258"/>
  <c r="AI4" i="44"/>
  <c r="AI4" i="252"/>
  <c r="AI4" i="257"/>
  <c r="AI4" i="46"/>
  <c r="AI4" i="49"/>
  <c r="AJ4" i="265"/>
  <c r="AI9" i="257"/>
  <c r="AI14" i="257" s="1"/>
  <c r="AJ11" i="257" s="1"/>
  <c r="AI2" i="44"/>
  <c r="AI2" i="257"/>
  <c r="AI2" i="49"/>
  <c r="AI2" i="252"/>
  <c r="AI2" i="46"/>
  <c r="AK3" i="257"/>
  <c r="AK3" i="49"/>
  <c r="AK3" i="46"/>
  <c r="AK3" i="252"/>
  <c r="AK3" i="44"/>
  <c r="AL8" i="44"/>
  <c r="AL3" i="295" s="1"/>
  <c r="AJ55" i="295" l="1"/>
  <c r="AJ31" i="261"/>
  <c r="AJ2" i="283"/>
  <c r="AJ2" i="295"/>
  <c r="AJ8" i="260"/>
  <c r="AJ11" i="260" s="1"/>
  <c r="AJ19" i="260" s="1"/>
  <c r="AJ21" i="260" s="1"/>
  <c r="AJ24" i="260" s="1"/>
  <c r="AJ26" i="260" s="1"/>
  <c r="AJ28" i="260" s="1"/>
  <c r="AL3" i="277"/>
  <c r="AL3" i="283"/>
  <c r="AK28" i="44"/>
  <c r="AK29" i="44" s="1"/>
  <c r="AK8" i="260" s="1"/>
  <c r="AK11" i="260" s="1"/>
  <c r="AK19" i="260" s="1"/>
  <c r="AK21" i="260" s="1"/>
  <c r="AK24" i="260" s="1"/>
  <c r="AK4" i="283"/>
  <c r="AJ26" i="252"/>
  <c r="AJ8" i="283"/>
  <c r="AJ17" i="283"/>
  <c r="Q29" i="277"/>
  <c r="Q89" i="281"/>
  <c r="R86" i="281" s="1"/>
  <c r="R80" i="281" s="1"/>
  <c r="AT40" i="277"/>
  <c r="AV36" i="266"/>
  <c r="AV37" i="266" s="1"/>
  <c r="AV40" i="266" s="1"/>
  <c r="AV41" i="266" s="1"/>
  <c r="AV122" i="281" s="1"/>
  <c r="AW62" i="281"/>
  <c r="AW123" i="281"/>
  <c r="AW63" i="281"/>
  <c r="AW124" i="281"/>
  <c r="AX19" i="266"/>
  <c r="AX20" i="266" s="1"/>
  <c r="AX28" i="266" s="1"/>
  <c r="AX82" i="281"/>
  <c r="AU43" i="266"/>
  <c r="AU44" i="266" s="1"/>
  <c r="AU72" i="281"/>
  <c r="AX31" i="281"/>
  <c r="AX32" i="281" s="1"/>
  <c r="AX36" i="281" s="1"/>
  <c r="AX14" i="281"/>
  <c r="AX16" i="281" s="1"/>
  <c r="AX2" i="281"/>
  <c r="AX51" i="281"/>
  <c r="AW30" i="266"/>
  <c r="AW39" i="266" s="1"/>
  <c r="AX15" i="266"/>
  <c r="AX16" i="266" s="1"/>
  <c r="AX27" i="266" s="1"/>
  <c r="AX10" i="281"/>
  <c r="AX11" i="281" s="1"/>
  <c r="AY4" i="281"/>
  <c r="AY30" i="281"/>
  <c r="AI25" i="258"/>
  <c r="AI32" i="258" s="1"/>
  <c r="AJ23" i="258"/>
  <c r="AY26" i="277"/>
  <c r="AY17" i="277"/>
  <c r="AY37" i="277"/>
  <c r="AY4" i="266"/>
  <c r="AX29" i="272"/>
  <c r="AX30" i="272" s="1"/>
  <c r="AX23" i="266" s="1"/>
  <c r="AX24" i="266" s="1"/>
  <c r="AX29" i="266" s="1"/>
  <c r="AX2" i="266"/>
  <c r="AY17" i="272"/>
  <c r="AY18" i="272" s="1"/>
  <c r="AY4" i="272"/>
  <c r="AY25" i="272"/>
  <c r="AY26" i="272" s="1"/>
  <c r="AY55" i="281" s="1"/>
  <c r="AY56" i="281" s="1"/>
  <c r="AY66" i="281" s="1"/>
  <c r="AY21" i="272"/>
  <c r="AY22" i="272" s="1"/>
  <c r="AX2" i="272"/>
  <c r="AJ10" i="258"/>
  <c r="AJ90" i="46"/>
  <c r="AJ99" i="46"/>
  <c r="AJ61" i="260"/>
  <c r="AJ2" i="277"/>
  <c r="AK48" i="44"/>
  <c r="AK49" i="44" s="1"/>
  <c r="AK23" i="258" s="1"/>
  <c r="AK4" i="277"/>
  <c r="AF114" i="46"/>
  <c r="AF24" i="265" s="1"/>
  <c r="AZ9" i="272"/>
  <c r="AZ12" i="272" s="1"/>
  <c r="AZ13" i="272" s="1"/>
  <c r="AZ106" i="281" s="1"/>
  <c r="AZ107" i="281" s="1"/>
  <c r="AZ108" i="281" s="1"/>
  <c r="AZ111" i="281" s="1"/>
  <c r="AZ112" i="281" s="1"/>
  <c r="AZ115" i="281" s="1"/>
  <c r="AZ3" i="272"/>
  <c r="AZ3" i="266"/>
  <c r="AJ57" i="46"/>
  <c r="AJ58" i="46" s="1"/>
  <c r="AJ76" i="46" s="1"/>
  <c r="AJ17" i="46"/>
  <c r="AJ18" i="46" s="1"/>
  <c r="AJ52" i="46"/>
  <c r="AJ53" i="46" s="1"/>
  <c r="AJ72" i="46" s="1"/>
  <c r="AJ47" i="46"/>
  <c r="AJ48" i="46" s="1"/>
  <c r="AJ68" i="46" s="1"/>
  <c r="AJ42" i="46"/>
  <c r="AJ43" i="46" s="1"/>
  <c r="AJ64" i="46" s="1"/>
  <c r="AJ27" i="46"/>
  <c r="AJ28" i="46" s="1"/>
  <c r="AJ22" i="46"/>
  <c r="AJ23" i="46" s="1"/>
  <c r="AJ12" i="46"/>
  <c r="AJ13" i="46" s="1"/>
  <c r="AI67" i="46"/>
  <c r="AI69" i="46" s="1"/>
  <c r="AI81" i="46" s="1"/>
  <c r="AI32" i="46"/>
  <c r="AI63" i="46"/>
  <c r="AI65" i="46" s="1"/>
  <c r="AI80" i="46" s="1"/>
  <c r="AI31" i="46"/>
  <c r="AG91" i="46"/>
  <c r="AG92" i="46" s="1"/>
  <c r="AG111" i="46" s="1"/>
  <c r="AG100" i="46"/>
  <c r="AG101" i="46" s="1"/>
  <c r="AG112" i="46" s="1"/>
  <c r="AG34" i="258"/>
  <c r="AG9" i="49" s="1"/>
  <c r="AE24" i="265"/>
  <c r="AE8" i="49"/>
  <c r="AE10" i="49" s="1"/>
  <c r="AH84" i="46"/>
  <c r="AI33" i="46"/>
  <c r="AI71" i="46"/>
  <c r="AI73" i="46" s="1"/>
  <c r="AI82" i="46" s="1"/>
  <c r="AH35" i="46"/>
  <c r="AH9" i="258" s="1"/>
  <c r="AH11" i="258" s="1"/>
  <c r="AH30" i="258" s="1"/>
  <c r="AH33" i="258" s="1"/>
  <c r="AH25" i="265" s="1"/>
  <c r="AI75" i="46"/>
  <c r="AI77" i="46" s="1"/>
  <c r="AI83" i="46" s="1"/>
  <c r="AI34" i="46"/>
  <c r="AK37" i="44"/>
  <c r="AK38" i="44" s="1"/>
  <c r="AK33" i="44"/>
  <c r="AK34" i="44" s="1"/>
  <c r="AK13" i="259" s="1"/>
  <c r="AK23" i="44"/>
  <c r="AK24" i="44" s="1"/>
  <c r="AK9" i="295" s="1"/>
  <c r="AK18" i="44"/>
  <c r="AK19" i="44" s="1"/>
  <c r="AJ44" i="265"/>
  <c r="AJ69" i="260"/>
  <c r="AL3" i="265"/>
  <c r="AL11" i="44"/>
  <c r="AL12" i="44" s="1"/>
  <c r="AL4" i="295" s="1"/>
  <c r="AJ48" i="261"/>
  <c r="AJ10" i="265"/>
  <c r="AJ14" i="265"/>
  <c r="AJ89" i="261"/>
  <c r="AJ81" i="261"/>
  <c r="AJ2" i="265"/>
  <c r="AJ16" i="258"/>
  <c r="AJ17" i="258" s="1"/>
  <c r="AJ31" i="258" s="1"/>
  <c r="AJ24" i="258"/>
  <c r="AJ2" i="261"/>
  <c r="AJ2" i="260"/>
  <c r="AJ2" i="259"/>
  <c r="AL3" i="258"/>
  <c r="AL3" i="260"/>
  <c r="AL3" i="259"/>
  <c r="AL3" i="261"/>
  <c r="AJ21" i="259"/>
  <c r="AJ53" i="261"/>
  <c r="AJ4" i="258"/>
  <c r="AJ4" i="261"/>
  <c r="AJ4" i="260"/>
  <c r="AJ4" i="259"/>
  <c r="AJ2" i="258"/>
  <c r="AL3" i="257"/>
  <c r="AL3" i="252"/>
  <c r="AL3" i="49"/>
  <c r="AL3" i="46"/>
  <c r="AM8" i="44"/>
  <c r="AM3" i="295" s="1"/>
  <c r="AL3" i="44"/>
  <c r="AJ2" i="44"/>
  <c r="AJ2" i="257"/>
  <c r="AJ2" i="49"/>
  <c r="AJ2" i="46"/>
  <c r="AJ2" i="252"/>
  <c r="AK4" i="265"/>
  <c r="AJ4" i="44"/>
  <c r="AJ4" i="49"/>
  <c r="AJ4" i="46"/>
  <c r="AJ4" i="257"/>
  <c r="AJ4" i="252"/>
  <c r="AJ9" i="257"/>
  <c r="AJ14" i="257" s="1"/>
  <c r="AK11" i="257" s="1"/>
  <c r="AE40" i="49" l="1"/>
  <c r="AE41" i="277" s="1"/>
  <c r="AK55" i="295"/>
  <c r="AK31" i="261"/>
  <c r="AK2" i="283"/>
  <c r="AK2" i="295"/>
  <c r="AK25" i="260"/>
  <c r="AK26" i="260" s="1"/>
  <c r="AK28" i="260" s="1"/>
  <c r="AL28" i="44"/>
  <c r="AL29" i="44" s="1"/>
  <c r="AL8" i="260" s="1"/>
  <c r="AL11" i="260" s="1"/>
  <c r="AL19" i="260" s="1"/>
  <c r="AL21" i="260" s="1"/>
  <c r="AL24" i="260" s="1"/>
  <c r="AL4" i="283"/>
  <c r="AK26" i="252"/>
  <c r="AK8" i="283"/>
  <c r="AK17" i="283"/>
  <c r="AM3" i="277"/>
  <c r="AM3" i="283"/>
  <c r="R35" i="281"/>
  <c r="R37" i="281" s="1"/>
  <c r="R125" i="281" s="1"/>
  <c r="R46" i="281"/>
  <c r="R47" i="281" s="1"/>
  <c r="R50" i="281" s="1"/>
  <c r="R52" i="281" s="1"/>
  <c r="R126" i="281" s="1"/>
  <c r="AJ25" i="258"/>
  <c r="AJ32" i="258" s="1"/>
  <c r="AU40" i="277"/>
  <c r="AW36" i="266"/>
  <c r="AW37" i="266" s="1"/>
  <c r="AW40" i="266" s="1"/>
  <c r="AW41" i="266" s="1"/>
  <c r="AW122" i="281" s="1"/>
  <c r="AX30" i="266"/>
  <c r="AX36" i="266" s="1"/>
  <c r="AX37" i="266" s="1"/>
  <c r="AX40" i="266" s="1"/>
  <c r="AX63" i="281"/>
  <c r="AX124" i="281"/>
  <c r="AX62" i="281"/>
  <c r="AX123" i="281"/>
  <c r="AY19" i="266"/>
  <c r="AY20" i="266" s="1"/>
  <c r="AY28" i="266" s="1"/>
  <c r="AY82" i="281"/>
  <c r="AY2" i="266"/>
  <c r="AY31" i="281"/>
  <c r="AY32" i="281" s="1"/>
  <c r="AY36" i="281" s="1"/>
  <c r="AY51" i="281"/>
  <c r="AY2" i="281"/>
  <c r="AY14" i="281"/>
  <c r="AY16" i="281" s="1"/>
  <c r="AV43" i="266"/>
  <c r="AV44" i="266" s="1"/>
  <c r="AV72" i="281"/>
  <c r="AZ30" i="281"/>
  <c r="AZ4" i="281"/>
  <c r="AY15" i="266"/>
  <c r="AY16" i="266" s="1"/>
  <c r="AY27" i="266" s="1"/>
  <c r="AY10" i="281"/>
  <c r="AY11" i="281" s="1"/>
  <c r="AZ17" i="277"/>
  <c r="AZ37" i="277"/>
  <c r="AZ26" i="277"/>
  <c r="AZ4" i="266"/>
  <c r="AY2" i="272"/>
  <c r="AY29" i="272"/>
  <c r="AY30" i="272" s="1"/>
  <c r="AY23" i="266" s="1"/>
  <c r="AY24" i="266" s="1"/>
  <c r="AY29" i="266" s="1"/>
  <c r="AZ17" i="272"/>
  <c r="AZ18" i="272" s="1"/>
  <c r="AZ25" i="272"/>
  <c r="AZ26" i="272" s="1"/>
  <c r="AZ4" i="272"/>
  <c r="AZ21" i="272"/>
  <c r="AZ22" i="272" s="1"/>
  <c r="AZ10" i="281" s="1"/>
  <c r="AZ11" i="281" s="1"/>
  <c r="AZ123" i="281" s="1"/>
  <c r="AK15" i="258"/>
  <c r="AK99" i="46"/>
  <c r="AK10" i="258"/>
  <c r="AF8" i="49"/>
  <c r="AF10" i="49" s="1"/>
  <c r="AK90" i="46"/>
  <c r="AK61" i="260"/>
  <c r="AK2" i="277"/>
  <c r="AL48" i="44"/>
  <c r="AL49" i="44" s="1"/>
  <c r="AL99" i="46" s="1"/>
  <c r="AL4" i="277"/>
  <c r="AG114" i="46"/>
  <c r="AG24" i="265" s="1"/>
  <c r="AH34" i="258"/>
  <c r="AH9" i="49" s="1"/>
  <c r="AJ33" i="46"/>
  <c r="AJ71" i="46"/>
  <c r="AJ73" i="46" s="1"/>
  <c r="AJ82" i="46" s="1"/>
  <c r="AK47" i="46"/>
  <c r="AK48" i="46" s="1"/>
  <c r="AK68" i="46" s="1"/>
  <c r="AK42" i="46"/>
  <c r="AK43" i="46" s="1"/>
  <c r="AK64" i="46" s="1"/>
  <c r="AK52" i="46"/>
  <c r="AK53" i="46" s="1"/>
  <c r="AK72" i="46" s="1"/>
  <c r="AK27" i="46"/>
  <c r="AK28" i="46" s="1"/>
  <c r="AK22" i="46"/>
  <c r="AK23" i="46" s="1"/>
  <c r="AK12" i="46"/>
  <c r="AK13" i="46" s="1"/>
  <c r="AK17" i="46"/>
  <c r="AK18" i="46" s="1"/>
  <c r="AK57" i="46"/>
  <c r="AK58" i="46" s="1"/>
  <c r="AK76" i="46" s="1"/>
  <c r="AJ34" i="46"/>
  <c r="AJ75" i="46"/>
  <c r="AJ77" i="46" s="1"/>
  <c r="AJ83" i="46" s="1"/>
  <c r="AH91" i="46"/>
  <c r="AH92" i="46" s="1"/>
  <c r="AH111" i="46" s="1"/>
  <c r="AH100" i="46"/>
  <c r="AH101" i="46" s="1"/>
  <c r="AH112" i="46" s="1"/>
  <c r="AI35" i="46"/>
  <c r="AI9" i="258" s="1"/>
  <c r="AI11" i="258" s="1"/>
  <c r="AI30" i="258" s="1"/>
  <c r="AI33" i="258" s="1"/>
  <c r="AI25" i="265" s="1"/>
  <c r="AJ67" i="46"/>
  <c r="AJ69" i="46" s="1"/>
  <c r="AJ81" i="46" s="1"/>
  <c r="AJ32" i="46"/>
  <c r="AJ63" i="46"/>
  <c r="AJ65" i="46" s="1"/>
  <c r="AJ80" i="46" s="1"/>
  <c r="AJ31" i="46"/>
  <c r="AI84" i="46"/>
  <c r="AL18" i="44"/>
  <c r="AL19" i="44" s="1"/>
  <c r="AL37" i="44"/>
  <c r="AL38" i="44" s="1"/>
  <c r="AL33" i="44"/>
  <c r="AL34" i="44" s="1"/>
  <c r="AL13" i="259" s="1"/>
  <c r="AL23" i="44"/>
  <c r="AL24" i="44" s="1"/>
  <c r="AL9" i="295" s="1"/>
  <c r="AK44" i="265"/>
  <c r="AK69" i="260"/>
  <c r="AM3" i="265"/>
  <c r="AM11" i="44"/>
  <c r="AM12" i="44" s="1"/>
  <c r="AM4" i="295" s="1"/>
  <c r="AK48" i="261"/>
  <c r="AK10" i="265"/>
  <c r="AK14" i="265"/>
  <c r="AK89" i="261"/>
  <c r="AK81" i="261"/>
  <c r="AK2" i="265"/>
  <c r="AK24" i="258"/>
  <c r="AK25" i="258" s="1"/>
  <c r="AK32" i="258" s="1"/>
  <c r="AK16" i="258"/>
  <c r="AK4" i="258"/>
  <c r="AK4" i="261"/>
  <c r="AK4" i="259"/>
  <c r="AK4" i="260"/>
  <c r="AK53" i="261"/>
  <c r="AK21" i="259"/>
  <c r="AK2" i="261"/>
  <c r="AK2" i="259"/>
  <c r="AK2" i="260"/>
  <c r="AM3" i="258"/>
  <c r="AM3" i="261"/>
  <c r="AM3" i="259"/>
  <c r="AM3" i="260"/>
  <c r="AK2" i="258"/>
  <c r="AL4" i="265"/>
  <c r="AM3" i="49"/>
  <c r="AM3" i="257"/>
  <c r="AM3" i="46"/>
  <c r="AM3" i="252"/>
  <c r="AM3" i="44"/>
  <c r="AN8" i="44"/>
  <c r="AN3" i="295" s="1"/>
  <c r="AK4" i="44"/>
  <c r="AK4" i="257"/>
  <c r="AK4" i="49"/>
  <c r="AK4" i="252"/>
  <c r="AK4" i="46"/>
  <c r="AK2" i="44"/>
  <c r="AK2" i="257"/>
  <c r="AK2" i="46"/>
  <c r="AK2" i="252"/>
  <c r="AK2" i="49"/>
  <c r="AK9" i="257"/>
  <c r="AK14" i="257" s="1"/>
  <c r="AL11" i="257" s="1"/>
  <c r="AF40" i="49" l="1"/>
  <c r="AF41" i="277" s="1"/>
  <c r="AL55" i="295"/>
  <c r="AL31" i="261"/>
  <c r="AZ82" i="281"/>
  <c r="AZ55" i="281"/>
  <c r="AZ56" i="281" s="1"/>
  <c r="AL2" i="283"/>
  <c r="AL2" i="295"/>
  <c r="AL25" i="260"/>
  <c r="AL26" i="260" s="1"/>
  <c r="AL28" i="260" s="1"/>
  <c r="AN3" i="277"/>
  <c r="AN3" i="283"/>
  <c r="AM28" i="44"/>
  <c r="AM29" i="44" s="1"/>
  <c r="AM25" i="260" s="1"/>
  <c r="AM4" i="283"/>
  <c r="AL26" i="252"/>
  <c r="AL8" i="283"/>
  <c r="AL17" i="283"/>
  <c r="R40" i="281"/>
  <c r="R64" i="281"/>
  <c r="R127" i="281"/>
  <c r="R65" i="281"/>
  <c r="AX39" i="266"/>
  <c r="AX41" i="266" s="1"/>
  <c r="AX122" i="281" s="1"/>
  <c r="AY62" i="281"/>
  <c r="AY123" i="281"/>
  <c r="AY63" i="281"/>
  <c r="AY124" i="281"/>
  <c r="AW43" i="266"/>
  <c r="AW44" i="266" s="1"/>
  <c r="AW72" i="281"/>
  <c r="AZ51" i="281"/>
  <c r="AZ31" i="281"/>
  <c r="AZ32" i="281" s="1"/>
  <c r="AZ36" i="281" s="1"/>
  <c r="AZ14" i="281"/>
  <c r="AZ16" i="281" s="1"/>
  <c r="AZ124" i="281" s="1"/>
  <c r="AZ2" i="281"/>
  <c r="AZ62" i="281"/>
  <c r="H11" i="281"/>
  <c r="AY30" i="266"/>
  <c r="AY39" i="266" s="1"/>
  <c r="AV40" i="277"/>
  <c r="AK17" i="258"/>
  <c r="AK31" i="258" s="1"/>
  <c r="AZ29" i="272"/>
  <c r="AZ30" i="272" s="1"/>
  <c r="AZ2" i="266"/>
  <c r="H26" i="272"/>
  <c r="H55" i="281" s="1"/>
  <c r="AZ19" i="266"/>
  <c r="AZ20" i="266" s="1"/>
  <c r="H22" i="272"/>
  <c r="AZ15" i="266"/>
  <c r="AZ16" i="266" s="1"/>
  <c r="AZ2" i="272"/>
  <c r="H18" i="272"/>
  <c r="AL90" i="46"/>
  <c r="AL10" i="258"/>
  <c r="AL23" i="258"/>
  <c r="AL15" i="258"/>
  <c r="AL61" i="260"/>
  <c r="AL2" i="277"/>
  <c r="AM48" i="44"/>
  <c r="AM49" i="44" s="1"/>
  <c r="AM15" i="258" s="1"/>
  <c r="AM4" i="277"/>
  <c r="AG8" i="49"/>
  <c r="AG10" i="49" s="1"/>
  <c r="AJ84" i="46"/>
  <c r="AJ91" i="46" s="1"/>
  <c r="AJ92" i="46" s="1"/>
  <c r="AJ111" i="46" s="1"/>
  <c r="AI34" i="258"/>
  <c r="AI9" i="49" s="1"/>
  <c r="AL17" i="46"/>
  <c r="AL18" i="46" s="1"/>
  <c r="AL27" i="46"/>
  <c r="AL28" i="46" s="1"/>
  <c r="AL52" i="46"/>
  <c r="AL53" i="46" s="1"/>
  <c r="AL72" i="46" s="1"/>
  <c r="AL22" i="46"/>
  <c r="AL23" i="46" s="1"/>
  <c r="AL47" i="46"/>
  <c r="AL48" i="46" s="1"/>
  <c r="AL68" i="46" s="1"/>
  <c r="AL42" i="46"/>
  <c r="AL43" i="46" s="1"/>
  <c r="AL64" i="46" s="1"/>
  <c r="AL57" i="46"/>
  <c r="AL58" i="46" s="1"/>
  <c r="AL76" i="46" s="1"/>
  <c r="AL12" i="46"/>
  <c r="AL13" i="46" s="1"/>
  <c r="AH114" i="46"/>
  <c r="AK75" i="46"/>
  <c r="AK77" i="46" s="1"/>
  <c r="AK83" i="46" s="1"/>
  <c r="AK34" i="46"/>
  <c r="AI91" i="46"/>
  <c r="AI92" i="46" s="1"/>
  <c r="AI111" i="46" s="1"/>
  <c r="AI100" i="46"/>
  <c r="AI101" i="46" s="1"/>
  <c r="AI112" i="46" s="1"/>
  <c r="AK33" i="46"/>
  <c r="AK71" i="46"/>
  <c r="AK73" i="46" s="1"/>
  <c r="AK82" i="46" s="1"/>
  <c r="AK32" i="46"/>
  <c r="AK67" i="46"/>
  <c r="AK69" i="46" s="1"/>
  <c r="AK81" i="46" s="1"/>
  <c r="AJ35" i="46"/>
  <c r="AJ9" i="258" s="1"/>
  <c r="AJ11" i="258" s="1"/>
  <c r="AJ30" i="258" s="1"/>
  <c r="AJ33" i="258" s="1"/>
  <c r="AJ25" i="265" s="1"/>
  <c r="AK63" i="46"/>
  <c r="AK65" i="46" s="1"/>
  <c r="AK80" i="46" s="1"/>
  <c r="AK31" i="46"/>
  <c r="AM33" i="44"/>
  <c r="AM34" i="44" s="1"/>
  <c r="AM13" i="259" s="1"/>
  <c r="AM23" i="44"/>
  <c r="AM24" i="44" s="1"/>
  <c r="AM9" i="295" s="1"/>
  <c r="AM37" i="44"/>
  <c r="AM38" i="44" s="1"/>
  <c r="AM18" i="44"/>
  <c r="AM19" i="44" s="1"/>
  <c r="AL44" i="265"/>
  <c r="AL69" i="260"/>
  <c r="AN3" i="265"/>
  <c r="AN11" i="44"/>
  <c r="AN12" i="44" s="1"/>
  <c r="AN4" i="295" s="1"/>
  <c r="AL48" i="261"/>
  <c r="AL10" i="265"/>
  <c r="AL14" i="265"/>
  <c r="AL81" i="261"/>
  <c r="AL89" i="261"/>
  <c r="AL2" i="265"/>
  <c r="AL24" i="258"/>
  <c r="AL16" i="258"/>
  <c r="AL4" i="258"/>
  <c r="AL4" i="261"/>
  <c r="AL4" i="260"/>
  <c r="AL4" i="259"/>
  <c r="AN3" i="258"/>
  <c r="AN3" i="261"/>
  <c r="AN3" i="260"/>
  <c r="AN3" i="259"/>
  <c r="AL2" i="260"/>
  <c r="AL2" i="261"/>
  <c r="AL2" i="259"/>
  <c r="AL53" i="261"/>
  <c r="AL21" i="259"/>
  <c r="AL2" i="258"/>
  <c r="AL9" i="257"/>
  <c r="AL14" i="257" s="1"/>
  <c r="AM11" i="257" s="1"/>
  <c r="AL4" i="44"/>
  <c r="AL4" i="49"/>
  <c r="AL4" i="257"/>
  <c r="AL4" i="252"/>
  <c r="AL4" i="46"/>
  <c r="AM4" i="265"/>
  <c r="AL2" i="44"/>
  <c r="AL2" i="257"/>
  <c r="AL2" i="49"/>
  <c r="AL2" i="46"/>
  <c r="AL2" i="252"/>
  <c r="AN3" i="257"/>
  <c r="AN3" i="49"/>
  <c r="AN3" i="46"/>
  <c r="AN3" i="252"/>
  <c r="AO8" i="44"/>
  <c r="AO3" i="295" s="1"/>
  <c r="AN3" i="44"/>
  <c r="AG40" i="49" l="1"/>
  <c r="AG41" i="277" s="1"/>
  <c r="AM55" i="295"/>
  <c r="AM31" i="261"/>
  <c r="AZ66" i="281"/>
  <c r="H56" i="281"/>
  <c r="H66" i="281" s="1"/>
  <c r="F57" i="281"/>
  <c r="F54" i="295" s="1"/>
  <c r="N60" i="295" s="1"/>
  <c r="AM2" i="283"/>
  <c r="AM2" i="295"/>
  <c r="AM8" i="260"/>
  <c r="AM11" i="260" s="1"/>
  <c r="AM19" i="260" s="1"/>
  <c r="AM21" i="260" s="1"/>
  <c r="AM24" i="260" s="1"/>
  <c r="AM26" i="260" s="1"/>
  <c r="AM28" i="260" s="1"/>
  <c r="AN28" i="44"/>
  <c r="AN29" i="44" s="1"/>
  <c r="AN25" i="260" s="1"/>
  <c r="AN4" i="283"/>
  <c r="AM26" i="252"/>
  <c r="AM8" i="283"/>
  <c r="AM17" i="283"/>
  <c r="AO3" i="277"/>
  <c r="AO3" i="283"/>
  <c r="R67" i="281"/>
  <c r="R73" i="281" s="1"/>
  <c r="R74" i="281" s="1"/>
  <c r="R94" i="281" s="1"/>
  <c r="AY36" i="266"/>
  <c r="AY37" i="266" s="1"/>
  <c r="AY40" i="266" s="1"/>
  <c r="AY41" i="266" s="1"/>
  <c r="AY122" i="281" s="1"/>
  <c r="AW40" i="277"/>
  <c r="H62" i="281"/>
  <c r="H123" i="281"/>
  <c r="H15" i="266"/>
  <c r="H10" i="281"/>
  <c r="H19" i="266"/>
  <c r="H82" i="281"/>
  <c r="AX43" i="266"/>
  <c r="AX44" i="266" s="1"/>
  <c r="AX72" i="281"/>
  <c r="H2" i="266"/>
  <c r="H31" i="281"/>
  <c r="H14" i="281"/>
  <c r="H51" i="281"/>
  <c r="H2" i="281"/>
  <c r="AZ63" i="281"/>
  <c r="H16" i="281"/>
  <c r="H30" i="272"/>
  <c r="H23" i="266" s="1"/>
  <c r="AZ23" i="266"/>
  <c r="AZ24" i="266" s="1"/>
  <c r="AZ27" i="266"/>
  <c r="H16" i="266"/>
  <c r="H27" i="266" s="1"/>
  <c r="AZ28" i="266"/>
  <c r="H20" i="266"/>
  <c r="H28" i="266" s="1"/>
  <c r="H2" i="272"/>
  <c r="H29" i="272"/>
  <c r="AM10" i="258"/>
  <c r="AL25" i="258"/>
  <c r="AL32" i="258" s="1"/>
  <c r="AM99" i="46"/>
  <c r="AM23" i="258"/>
  <c r="AM90" i="46"/>
  <c r="AL17" i="258"/>
  <c r="AL31" i="258" s="1"/>
  <c r="AN48" i="44"/>
  <c r="AN49" i="44" s="1"/>
  <c r="AN23" i="258" s="1"/>
  <c r="AN4" i="277"/>
  <c r="AM61" i="260"/>
  <c r="AM2" i="277"/>
  <c r="AJ34" i="258"/>
  <c r="AJ9" i="49" s="1"/>
  <c r="AJ100" i="46"/>
  <c r="AJ101" i="46" s="1"/>
  <c r="AJ112" i="46" s="1"/>
  <c r="AJ114" i="46" s="1"/>
  <c r="AK84" i="46"/>
  <c r="AK100" i="46" s="1"/>
  <c r="AK101" i="46" s="1"/>
  <c r="AK112" i="46" s="1"/>
  <c r="AL63" i="46"/>
  <c r="AL65" i="46" s="1"/>
  <c r="AL80" i="46" s="1"/>
  <c r="AL31" i="46"/>
  <c r="AK35" i="46"/>
  <c r="AK9" i="258" s="1"/>
  <c r="AK11" i="258" s="1"/>
  <c r="AK30" i="258" s="1"/>
  <c r="AK33" i="258" s="1"/>
  <c r="AK25" i="265" s="1"/>
  <c r="AI114" i="46"/>
  <c r="AL33" i="46"/>
  <c r="AL71" i="46"/>
  <c r="AL73" i="46" s="1"/>
  <c r="AL82" i="46" s="1"/>
  <c r="AL75" i="46"/>
  <c r="AL77" i="46" s="1"/>
  <c r="AL83" i="46" s="1"/>
  <c r="AL34" i="46"/>
  <c r="AM57" i="46"/>
  <c r="AM58" i="46" s="1"/>
  <c r="AM76" i="46" s="1"/>
  <c r="AM52" i="46"/>
  <c r="AM53" i="46" s="1"/>
  <c r="AM72" i="46" s="1"/>
  <c r="AM12" i="46"/>
  <c r="AM13" i="46" s="1"/>
  <c r="AM22" i="46"/>
  <c r="AM23" i="46" s="1"/>
  <c r="AM47" i="46"/>
  <c r="AM48" i="46" s="1"/>
  <c r="AM68" i="46" s="1"/>
  <c r="AM42" i="46"/>
  <c r="AM43" i="46" s="1"/>
  <c r="AM64" i="46" s="1"/>
  <c r="AM27" i="46"/>
  <c r="AM28" i="46" s="1"/>
  <c r="AM17" i="46"/>
  <c r="AM18" i="46" s="1"/>
  <c r="AH8" i="49"/>
  <c r="AH10" i="49" s="1"/>
  <c r="AH24" i="265"/>
  <c r="AL67" i="46"/>
  <c r="AL69" i="46" s="1"/>
  <c r="AL81" i="46" s="1"/>
  <c r="AL32" i="46"/>
  <c r="AN33" i="44"/>
  <c r="AN34" i="44" s="1"/>
  <c r="AN13" i="259" s="1"/>
  <c r="AN23" i="44"/>
  <c r="AN24" i="44" s="1"/>
  <c r="AN9" i="295" s="1"/>
  <c r="AN18" i="44"/>
  <c r="AN19" i="44" s="1"/>
  <c r="AN37" i="44"/>
  <c r="AN38" i="44" s="1"/>
  <c r="AM44" i="265"/>
  <c r="AM69" i="260"/>
  <c r="AO3" i="265"/>
  <c r="AO11" i="44"/>
  <c r="AO12" i="44" s="1"/>
  <c r="AO4" i="295" s="1"/>
  <c r="AM48" i="261"/>
  <c r="AM10" i="265"/>
  <c r="AM14" i="265"/>
  <c r="AM89" i="261"/>
  <c r="AM81" i="261"/>
  <c r="AM2" i="265"/>
  <c r="AM24" i="258"/>
  <c r="AM16" i="258"/>
  <c r="AM17" i="258" s="1"/>
  <c r="AM31" i="258" s="1"/>
  <c r="AM53" i="261"/>
  <c r="AM21" i="259"/>
  <c r="AM4" i="258"/>
  <c r="AM4" i="261"/>
  <c r="AM4" i="259"/>
  <c r="AM4" i="260"/>
  <c r="AM2" i="261"/>
  <c r="AM2" i="260"/>
  <c r="AM2" i="259"/>
  <c r="AO3" i="258"/>
  <c r="AO3" i="261"/>
  <c r="AO3" i="260"/>
  <c r="AO3" i="259"/>
  <c r="AM2" i="258"/>
  <c r="AM4" i="44"/>
  <c r="AM4" i="257"/>
  <c r="AM4" i="252"/>
  <c r="AM4" i="46"/>
  <c r="AM4" i="49"/>
  <c r="AO3" i="257"/>
  <c r="AO3" i="49"/>
  <c r="AO3" i="46"/>
  <c r="AO3" i="252"/>
  <c r="AP8" i="44"/>
  <c r="AP3" i="295" s="1"/>
  <c r="AO3" i="44"/>
  <c r="AM2" i="44"/>
  <c r="AM2" i="257"/>
  <c r="AM2" i="46"/>
  <c r="AM2" i="49"/>
  <c r="AM2" i="252"/>
  <c r="AM9" i="257"/>
  <c r="AM14" i="257" s="1"/>
  <c r="AN11" i="257" s="1"/>
  <c r="AN4" i="265"/>
  <c r="AH40" i="49" l="1"/>
  <c r="AH41" i="277" s="1"/>
  <c r="AN55" i="295"/>
  <c r="AN31" i="261"/>
  <c r="O57" i="295"/>
  <c r="O39" i="295" s="1"/>
  <c r="N24" i="49"/>
  <c r="AN2" i="283"/>
  <c r="AN2" i="295"/>
  <c r="AN8" i="260"/>
  <c r="AN11" i="260" s="1"/>
  <c r="AN19" i="260" s="1"/>
  <c r="AN21" i="260" s="1"/>
  <c r="AN24" i="260" s="1"/>
  <c r="AN26" i="260" s="1"/>
  <c r="AN28" i="260" s="1"/>
  <c r="AP3" i="277"/>
  <c r="AP3" i="283"/>
  <c r="AO28" i="44"/>
  <c r="AO29" i="44" s="1"/>
  <c r="AO25" i="260" s="1"/>
  <c r="AO4" i="283"/>
  <c r="AN26" i="252"/>
  <c r="AN17" i="283"/>
  <c r="AN8" i="283"/>
  <c r="R77" i="281"/>
  <c r="R78" i="281" s="1"/>
  <c r="R81" i="281" s="1"/>
  <c r="R83" i="281" s="1"/>
  <c r="R88" i="281" s="1"/>
  <c r="H63" i="281"/>
  <c r="H124" i="281"/>
  <c r="AY43" i="266"/>
  <c r="AY44" i="266" s="1"/>
  <c r="AY72" i="281"/>
  <c r="AX40" i="277"/>
  <c r="AZ29" i="266"/>
  <c r="AZ30" i="266" s="1"/>
  <c r="H24" i="266"/>
  <c r="H29" i="266" s="1"/>
  <c r="AN90" i="46"/>
  <c r="AN15" i="258"/>
  <c r="AM25" i="258"/>
  <c r="AM32" i="258" s="1"/>
  <c r="AN99" i="46"/>
  <c r="AN10" i="258"/>
  <c r="AN61" i="260"/>
  <c r="AN2" i="277"/>
  <c r="AO48" i="44"/>
  <c r="AO49" i="44" s="1"/>
  <c r="AO10" i="258" s="1"/>
  <c r="AO4" i="277"/>
  <c r="AK91" i="46"/>
  <c r="AK92" i="46" s="1"/>
  <c r="AK111" i="46" s="1"/>
  <c r="AK114" i="46" s="1"/>
  <c r="AN42" i="46"/>
  <c r="AN43" i="46" s="1"/>
  <c r="AN64" i="46" s="1"/>
  <c r="AN27" i="46"/>
  <c r="AN28" i="46" s="1"/>
  <c r="AN47" i="46"/>
  <c r="AN48" i="46" s="1"/>
  <c r="AN68" i="46" s="1"/>
  <c r="AN52" i="46"/>
  <c r="AN53" i="46" s="1"/>
  <c r="AN72" i="46" s="1"/>
  <c r="AN17" i="46"/>
  <c r="AN18" i="46" s="1"/>
  <c r="AN12" i="46"/>
  <c r="AN13" i="46" s="1"/>
  <c r="AN57" i="46"/>
  <c r="AN58" i="46" s="1"/>
  <c r="AN76" i="46" s="1"/>
  <c r="AN22" i="46"/>
  <c r="AN23" i="46" s="1"/>
  <c r="AJ8" i="49"/>
  <c r="AJ10" i="49" s="1"/>
  <c r="AJ24" i="265"/>
  <c r="AM75" i="46"/>
  <c r="AM77" i="46" s="1"/>
  <c r="AM83" i="46" s="1"/>
  <c r="AM34" i="46"/>
  <c r="AK34" i="258"/>
  <c r="AK9" i="49" s="1"/>
  <c r="AI8" i="49"/>
  <c r="AI10" i="49" s="1"/>
  <c r="AI24" i="265"/>
  <c r="AM33" i="46"/>
  <c r="AM71" i="46"/>
  <c r="AM73" i="46" s="1"/>
  <c r="AM82" i="46" s="1"/>
  <c r="AL84" i="46"/>
  <c r="AM31" i="46"/>
  <c r="AM63" i="46"/>
  <c r="AM65" i="46" s="1"/>
  <c r="AM80" i="46" s="1"/>
  <c r="AL35" i="46"/>
  <c r="AL9" i="258" s="1"/>
  <c r="AL11" i="258" s="1"/>
  <c r="AL30" i="258" s="1"/>
  <c r="AL33" i="258" s="1"/>
  <c r="AL25" i="265" s="1"/>
  <c r="AM32" i="46"/>
  <c r="AM67" i="46"/>
  <c r="AM69" i="46" s="1"/>
  <c r="AM81" i="46" s="1"/>
  <c r="AO37" i="44"/>
  <c r="AO38" i="44" s="1"/>
  <c r="AO33" i="44"/>
  <c r="AO34" i="44" s="1"/>
  <c r="AO13" i="259" s="1"/>
  <c r="AO18" i="44"/>
  <c r="AO19" i="44" s="1"/>
  <c r="AO23" i="44"/>
  <c r="AO24" i="44" s="1"/>
  <c r="AO9" i="295" s="1"/>
  <c r="AN44" i="265"/>
  <c r="AN69" i="260"/>
  <c r="AP3" i="265"/>
  <c r="AP11" i="44"/>
  <c r="AP12" i="44" s="1"/>
  <c r="AP4" i="295" s="1"/>
  <c r="AN48" i="261"/>
  <c r="AN10" i="265"/>
  <c r="AN14" i="265"/>
  <c r="AN89" i="261"/>
  <c r="AN81" i="261"/>
  <c r="AN2" i="265"/>
  <c r="AN24" i="258"/>
  <c r="AN25" i="258" s="1"/>
  <c r="AN32" i="258" s="1"/>
  <c r="AN16" i="258"/>
  <c r="AN4" i="258"/>
  <c r="AN4" i="260"/>
  <c r="AN4" i="261"/>
  <c r="AN4" i="259"/>
  <c r="AP3" i="258"/>
  <c r="AP3" i="261"/>
  <c r="AP3" i="260"/>
  <c r="AP3" i="259"/>
  <c r="AN2" i="261"/>
  <c r="AN2" i="260"/>
  <c r="AN2" i="259"/>
  <c r="AN53" i="261"/>
  <c r="AN21" i="259"/>
  <c r="AN2" i="258"/>
  <c r="AN4" i="44"/>
  <c r="AN4" i="257"/>
  <c r="AN4" i="46"/>
  <c r="AN4" i="49"/>
  <c r="AN4" i="252"/>
  <c r="AN9" i="257"/>
  <c r="AN14" i="257" s="1"/>
  <c r="AO11" i="257" s="1"/>
  <c r="AP3" i="46"/>
  <c r="AP3" i="257"/>
  <c r="AP3" i="252"/>
  <c r="AP3" i="49"/>
  <c r="AP3" i="44"/>
  <c r="AQ8" i="44"/>
  <c r="AQ3" i="295" s="1"/>
  <c r="AO4" i="265"/>
  <c r="AN2" i="44"/>
  <c r="AN2" i="257"/>
  <c r="AN2" i="46"/>
  <c r="AN2" i="49"/>
  <c r="AN2" i="252"/>
  <c r="AI40" i="49" l="1"/>
  <c r="AI41" i="277" s="1"/>
  <c r="AJ40" i="49"/>
  <c r="AJ41" i="277" s="1"/>
  <c r="AO55" i="295"/>
  <c r="AO31" i="261"/>
  <c r="O13" i="295"/>
  <c r="AO2" i="283"/>
  <c r="AO2" i="295"/>
  <c r="AO8" i="260"/>
  <c r="AO11" i="260" s="1"/>
  <c r="AO19" i="260" s="1"/>
  <c r="AO21" i="260" s="1"/>
  <c r="AO24" i="260" s="1"/>
  <c r="AO26" i="260" s="1"/>
  <c r="AO28" i="260" s="1"/>
  <c r="AQ3" i="277"/>
  <c r="AQ3" i="283"/>
  <c r="AO26" i="252"/>
  <c r="AO17" i="283"/>
  <c r="AO8" i="283"/>
  <c r="AP28" i="44"/>
  <c r="AP29" i="44" s="1"/>
  <c r="AP8" i="260" s="1"/>
  <c r="AP11" i="260" s="1"/>
  <c r="AP19" i="260" s="1"/>
  <c r="AP21" i="260" s="1"/>
  <c r="AP24" i="260" s="1"/>
  <c r="AP4" i="283"/>
  <c r="R87" i="281"/>
  <c r="R89" i="281" s="1"/>
  <c r="S86" i="281" s="1"/>
  <c r="S35" i="281" s="1"/>
  <c r="S37" i="281" s="1"/>
  <c r="S125" i="281" s="1"/>
  <c r="R95" i="281"/>
  <c r="R96" i="281" s="1"/>
  <c r="R99" i="281" s="1"/>
  <c r="R100" i="281" s="1"/>
  <c r="R29" i="277" s="1"/>
  <c r="AY40" i="277"/>
  <c r="AZ36" i="266"/>
  <c r="AZ37" i="266" s="1"/>
  <c r="H30" i="266"/>
  <c r="AZ39" i="266"/>
  <c r="AN17" i="258"/>
  <c r="AN31" i="258" s="1"/>
  <c r="AO23" i="258"/>
  <c r="AO90" i="46"/>
  <c r="AO15" i="258"/>
  <c r="AO99" i="46"/>
  <c r="AO61" i="260"/>
  <c r="AO2" i="277"/>
  <c r="AP48" i="44"/>
  <c r="AP49" i="44" s="1"/>
  <c r="AP99" i="46" s="1"/>
  <c r="AP4" i="277"/>
  <c r="AL34" i="258"/>
  <c r="AL9" i="49" s="1"/>
  <c r="AN63" i="46"/>
  <c r="AN65" i="46" s="1"/>
  <c r="AN80" i="46" s="1"/>
  <c r="AN31" i="46"/>
  <c r="AN32" i="46"/>
  <c r="AN67" i="46"/>
  <c r="AN69" i="46" s="1"/>
  <c r="AN81" i="46" s="1"/>
  <c r="AM84" i="46"/>
  <c r="AO12" i="46"/>
  <c r="AO13" i="46" s="1"/>
  <c r="AO22" i="46"/>
  <c r="AO23" i="46" s="1"/>
  <c r="AO57" i="46"/>
  <c r="AO58" i="46" s="1"/>
  <c r="AO76" i="46" s="1"/>
  <c r="AO47" i="46"/>
  <c r="AO48" i="46" s="1"/>
  <c r="AO68" i="46" s="1"/>
  <c r="AO42" i="46"/>
  <c r="AO43" i="46" s="1"/>
  <c r="AO64" i="46" s="1"/>
  <c r="AO27" i="46"/>
  <c r="AO28" i="46" s="1"/>
  <c r="AO17" i="46"/>
  <c r="AO18" i="46" s="1"/>
  <c r="AO52" i="46"/>
  <c r="AO53" i="46" s="1"/>
  <c r="AO72" i="46" s="1"/>
  <c r="AN33" i="46"/>
  <c r="AN71" i="46"/>
  <c r="AN73" i="46" s="1"/>
  <c r="AN82" i="46" s="1"/>
  <c r="AM35" i="46"/>
  <c r="AM9" i="258" s="1"/>
  <c r="AM11" i="258" s="1"/>
  <c r="AM30" i="258" s="1"/>
  <c r="AM33" i="258" s="1"/>
  <c r="AM25" i="265" s="1"/>
  <c r="AN75" i="46"/>
  <c r="AN77" i="46" s="1"/>
  <c r="AN83" i="46" s="1"/>
  <c r="AN34" i="46"/>
  <c r="AL91" i="46"/>
  <c r="AL92" i="46" s="1"/>
  <c r="AL111" i="46" s="1"/>
  <c r="AL100" i="46"/>
  <c r="AL101" i="46" s="1"/>
  <c r="AL112" i="46" s="1"/>
  <c r="AK24" i="265"/>
  <c r="AK8" i="49"/>
  <c r="AK10" i="49" s="1"/>
  <c r="AP18" i="44"/>
  <c r="AP19" i="44" s="1"/>
  <c r="AP23" i="44"/>
  <c r="AP24" i="44" s="1"/>
  <c r="AP9" i="295" s="1"/>
  <c r="AP37" i="44"/>
  <c r="AP38" i="44" s="1"/>
  <c r="AP33" i="44"/>
  <c r="AP34" i="44" s="1"/>
  <c r="AP13" i="259" s="1"/>
  <c r="AO44" i="265"/>
  <c r="AO69" i="260"/>
  <c r="AQ3" i="265"/>
  <c r="AQ11" i="44"/>
  <c r="AQ12" i="44" s="1"/>
  <c r="AQ4" i="295" s="1"/>
  <c r="AO48" i="261"/>
  <c r="AO10" i="265"/>
  <c r="AO14" i="265"/>
  <c r="AO89" i="261"/>
  <c r="AO81" i="261"/>
  <c r="AO2" i="265"/>
  <c r="AO16" i="258"/>
  <c r="AO24" i="258"/>
  <c r="AO2" i="261"/>
  <c r="AO2" i="259"/>
  <c r="AO2" i="260"/>
  <c r="AQ3" i="258"/>
  <c r="AQ3" i="261"/>
  <c r="AQ3" i="260"/>
  <c r="AQ3" i="259"/>
  <c r="AO53" i="261"/>
  <c r="AO21" i="259"/>
  <c r="AO4" i="258"/>
  <c r="AO4" i="261"/>
  <c r="AO4" i="260"/>
  <c r="AO4" i="259"/>
  <c r="AO2" i="258"/>
  <c r="AO2" i="44"/>
  <c r="AO2" i="257"/>
  <c r="AO2" i="252"/>
  <c r="AO2" i="49"/>
  <c r="AO2" i="46"/>
  <c r="AP4" i="265"/>
  <c r="AQ3" i="257"/>
  <c r="AQ3" i="49"/>
  <c r="AQ3" i="252"/>
  <c r="AQ3" i="46"/>
  <c r="AQ3" i="44"/>
  <c r="AR8" i="44"/>
  <c r="AR3" i="295" s="1"/>
  <c r="AO4" i="44"/>
  <c r="AO4" i="49"/>
  <c r="AO4" i="257"/>
  <c r="AO4" i="252"/>
  <c r="AO4" i="46"/>
  <c r="AO9" i="257"/>
  <c r="AO14" i="257" s="1"/>
  <c r="AP11" i="257" s="1"/>
  <c r="AK40" i="49" l="1"/>
  <c r="AK41" i="277" s="1"/>
  <c r="AP55" i="295"/>
  <c r="AP31" i="261"/>
  <c r="AP2" i="283"/>
  <c r="AP2" i="295"/>
  <c r="R114" i="281"/>
  <c r="R116" i="281" s="1"/>
  <c r="AP26" i="252"/>
  <c r="AP17" i="283"/>
  <c r="AP8" i="283"/>
  <c r="AP25" i="260"/>
  <c r="AP26" i="260" s="1"/>
  <c r="AP28" i="260" s="1"/>
  <c r="AR3" i="277"/>
  <c r="AR3" i="283"/>
  <c r="AQ28" i="44"/>
  <c r="AQ29" i="44" s="1"/>
  <c r="AQ4" i="283"/>
  <c r="S64" i="281"/>
  <c r="S80" i="281"/>
  <c r="S46" i="281"/>
  <c r="S47" i="281" s="1"/>
  <c r="S50" i="281" s="1"/>
  <c r="S52" i="281" s="1"/>
  <c r="S126" i="281" s="1"/>
  <c r="S127" i="281" s="1"/>
  <c r="S40" i="281"/>
  <c r="R20" i="277"/>
  <c r="H36" i="266"/>
  <c r="H39" i="266"/>
  <c r="AZ40" i="266"/>
  <c r="AZ41" i="266" s="1"/>
  <c r="H37" i="266"/>
  <c r="H40" i="266" s="1"/>
  <c r="AP90" i="46"/>
  <c r="AP10" i="258"/>
  <c r="AO25" i="258"/>
  <c r="AO32" i="258" s="1"/>
  <c r="AO17" i="258"/>
  <c r="AO31" i="258" s="1"/>
  <c r="AP23" i="258"/>
  <c r="AP15" i="258"/>
  <c r="AQ48" i="44"/>
  <c r="AQ49" i="44" s="1"/>
  <c r="AQ90" i="46" s="1"/>
  <c r="AQ4" i="277"/>
  <c r="AP61" i="260"/>
  <c r="AP2" i="277"/>
  <c r="AM34" i="258"/>
  <c r="AM9" i="49" s="1"/>
  <c r="AL114" i="46"/>
  <c r="AL8" i="49" s="1"/>
  <c r="AL10" i="49" s="1"/>
  <c r="AN35" i="46"/>
  <c r="AN9" i="258" s="1"/>
  <c r="AN11" i="258" s="1"/>
  <c r="AN30" i="258" s="1"/>
  <c r="AN33" i="258" s="1"/>
  <c r="AN25" i="265" s="1"/>
  <c r="AN84" i="46"/>
  <c r="AO33" i="46"/>
  <c r="AO71" i="46"/>
  <c r="AO73" i="46" s="1"/>
  <c r="AO82" i="46" s="1"/>
  <c r="AO75" i="46"/>
  <c r="AO77" i="46" s="1"/>
  <c r="AO83" i="46" s="1"/>
  <c r="AO34" i="46"/>
  <c r="AO63" i="46"/>
  <c r="AO65" i="46" s="1"/>
  <c r="AO80" i="46" s="1"/>
  <c r="AO31" i="46"/>
  <c r="AP52" i="46"/>
  <c r="AP53" i="46" s="1"/>
  <c r="AP72" i="46" s="1"/>
  <c r="AP47" i="46"/>
  <c r="AP48" i="46" s="1"/>
  <c r="AP68" i="46" s="1"/>
  <c r="AP57" i="46"/>
  <c r="AP58" i="46" s="1"/>
  <c r="AP76" i="46" s="1"/>
  <c r="AP22" i="46"/>
  <c r="AP23" i="46" s="1"/>
  <c r="AP12" i="46"/>
  <c r="AP13" i="46" s="1"/>
  <c r="AP42" i="46"/>
  <c r="AP43" i="46" s="1"/>
  <c r="AP64" i="46" s="1"/>
  <c r="AP17" i="46"/>
  <c r="AP18" i="46" s="1"/>
  <c r="AP27" i="46"/>
  <c r="AP28" i="46" s="1"/>
  <c r="AM91" i="46"/>
  <c r="AM92" i="46" s="1"/>
  <c r="AM111" i="46" s="1"/>
  <c r="AM100" i="46"/>
  <c r="AM101" i="46" s="1"/>
  <c r="AM112" i="46" s="1"/>
  <c r="AO67" i="46"/>
  <c r="AO69" i="46" s="1"/>
  <c r="AO81" i="46" s="1"/>
  <c r="AO32" i="46"/>
  <c r="AQ23" i="44"/>
  <c r="AQ24" i="44" s="1"/>
  <c r="AQ9" i="295" s="1"/>
  <c r="AQ37" i="44"/>
  <c r="AQ38" i="44" s="1"/>
  <c r="AQ33" i="44"/>
  <c r="AQ34" i="44" s="1"/>
  <c r="AQ13" i="259" s="1"/>
  <c r="AQ18" i="44"/>
  <c r="AQ19" i="44" s="1"/>
  <c r="AP44" i="265"/>
  <c r="AP69" i="260"/>
  <c r="AR3" i="265"/>
  <c r="AR11" i="44"/>
  <c r="AR12" i="44" s="1"/>
  <c r="AR4" i="295" s="1"/>
  <c r="AP48" i="261"/>
  <c r="AP10" i="265"/>
  <c r="AP14" i="265"/>
  <c r="AP89" i="261"/>
  <c r="AP81" i="261"/>
  <c r="AP2" i="265"/>
  <c r="AP16" i="258"/>
  <c r="AP24" i="258"/>
  <c r="AR3" i="258"/>
  <c r="AR3" i="261"/>
  <c r="AR3" i="260"/>
  <c r="AR3" i="259"/>
  <c r="AP4" i="258"/>
  <c r="AP4" i="261"/>
  <c r="AP4" i="259"/>
  <c r="AP4" i="260"/>
  <c r="AP53" i="261"/>
  <c r="AP21" i="259"/>
  <c r="AP2" i="261"/>
  <c r="AP2" i="259"/>
  <c r="AP2" i="260"/>
  <c r="AP2" i="258"/>
  <c r="AR3" i="257"/>
  <c r="AR3" i="46"/>
  <c r="AR3" i="49"/>
  <c r="AR3" i="252"/>
  <c r="AS8" i="44"/>
  <c r="AS3" i="295" s="1"/>
  <c r="AR3" i="44"/>
  <c r="AQ4" i="265"/>
  <c r="AP2" i="44"/>
  <c r="AP2" i="257"/>
  <c r="AP2" i="49"/>
  <c r="AP2" i="46"/>
  <c r="AP2" i="252"/>
  <c r="AP4" i="44"/>
  <c r="AP4" i="257"/>
  <c r="AP4" i="49"/>
  <c r="AP4" i="252"/>
  <c r="AP4" i="46"/>
  <c r="AP9" i="257"/>
  <c r="AP14" i="257" s="1"/>
  <c r="AQ11" i="257" s="1"/>
  <c r="AL40" i="49" l="1"/>
  <c r="AL41" i="277" s="1"/>
  <c r="AQ55" i="295"/>
  <c r="AQ31" i="261"/>
  <c r="AQ2" i="283"/>
  <c r="AQ2" i="295"/>
  <c r="AS3" i="277"/>
  <c r="AS3" i="283"/>
  <c r="AQ26" i="252"/>
  <c r="AQ17" i="283"/>
  <c r="AQ8" i="283"/>
  <c r="AR28" i="44"/>
  <c r="AR29" i="44" s="1"/>
  <c r="AR8" i="260" s="1"/>
  <c r="AR11" i="260" s="1"/>
  <c r="AR19" i="260" s="1"/>
  <c r="AR21" i="260" s="1"/>
  <c r="AR24" i="260" s="1"/>
  <c r="AR4" i="283"/>
  <c r="AQ25" i="260"/>
  <c r="AQ8" i="260"/>
  <c r="AQ11" i="260" s="1"/>
  <c r="AQ19" i="260" s="1"/>
  <c r="AQ21" i="260" s="1"/>
  <c r="AQ24" i="260" s="1"/>
  <c r="S65" i="281"/>
  <c r="S67" i="281" s="1"/>
  <c r="S73" i="281" s="1"/>
  <c r="S74" i="281" s="1"/>
  <c r="S94" i="281" s="1"/>
  <c r="AZ72" i="281"/>
  <c r="AZ122" i="281"/>
  <c r="AZ43" i="266"/>
  <c r="AZ44" i="266" s="1"/>
  <c r="H41" i="266"/>
  <c r="H122" i="281" s="1"/>
  <c r="AP25" i="258"/>
  <c r="AP32" i="258" s="1"/>
  <c r="AQ99" i="46"/>
  <c r="AP17" i="258"/>
  <c r="AP31" i="258" s="1"/>
  <c r="AQ15" i="258"/>
  <c r="AQ23" i="258"/>
  <c r="AQ10" i="258"/>
  <c r="AR48" i="44"/>
  <c r="AR49" i="44" s="1"/>
  <c r="AR90" i="46" s="1"/>
  <c r="AR4" i="277"/>
  <c r="AQ61" i="260"/>
  <c r="AQ2" i="277"/>
  <c r="AL24" i="265"/>
  <c r="AN34" i="258"/>
  <c r="AN9" i="49" s="1"/>
  <c r="AO84" i="46"/>
  <c r="AO91" i="46" s="1"/>
  <c r="AO92" i="46" s="1"/>
  <c r="AO111" i="46" s="1"/>
  <c r="AO35" i="46"/>
  <c r="AO9" i="258" s="1"/>
  <c r="AO11" i="258" s="1"/>
  <c r="AO30" i="258" s="1"/>
  <c r="AO33" i="258" s="1"/>
  <c r="AO25" i="265" s="1"/>
  <c r="AM114" i="46"/>
  <c r="AM24" i="265" s="1"/>
  <c r="AP67" i="46"/>
  <c r="AP69" i="46" s="1"/>
  <c r="AP81" i="46" s="1"/>
  <c r="AP32" i="46"/>
  <c r="AP63" i="46"/>
  <c r="AP65" i="46" s="1"/>
  <c r="AP80" i="46" s="1"/>
  <c r="AP31" i="46"/>
  <c r="AP34" i="46"/>
  <c r="AP75" i="46"/>
  <c r="AP77" i="46" s="1"/>
  <c r="AP83" i="46" s="1"/>
  <c r="AN91" i="46"/>
  <c r="AN92" i="46" s="1"/>
  <c r="AN111" i="46" s="1"/>
  <c r="AN100" i="46"/>
  <c r="AN101" i="46" s="1"/>
  <c r="AN112" i="46" s="1"/>
  <c r="AP71" i="46"/>
  <c r="AP73" i="46" s="1"/>
  <c r="AP82" i="46" s="1"/>
  <c r="AP33" i="46"/>
  <c r="AQ27" i="46"/>
  <c r="AQ28" i="46" s="1"/>
  <c r="AQ22" i="46"/>
  <c r="AQ23" i="46" s="1"/>
  <c r="AQ57" i="46"/>
  <c r="AQ58" i="46" s="1"/>
  <c r="AQ76" i="46" s="1"/>
  <c r="AQ42" i="46"/>
  <c r="AQ43" i="46" s="1"/>
  <c r="AQ64" i="46" s="1"/>
  <c r="AQ12" i="46"/>
  <c r="AQ13" i="46" s="1"/>
  <c r="AQ47" i="46"/>
  <c r="AQ48" i="46" s="1"/>
  <c r="AQ68" i="46" s="1"/>
  <c r="AQ17" i="46"/>
  <c r="AQ18" i="46" s="1"/>
  <c r="AQ52" i="46"/>
  <c r="AQ53" i="46" s="1"/>
  <c r="AQ72" i="46" s="1"/>
  <c r="AR37" i="44"/>
  <c r="AR38" i="44" s="1"/>
  <c r="AR33" i="44"/>
  <c r="AR34" i="44" s="1"/>
  <c r="AR13" i="259" s="1"/>
  <c r="AR18" i="44"/>
  <c r="AR19" i="44" s="1"/>
  <c r="AR23" i="44"/>
  <c r="AR24" i="44" s="1"/>
  <c r="AR9" i="295" s="1"/>
  <c r="AQ44" i="265"/>
  <c r="AQ69" i="260"/>
  <c r="AS3" i="265"/>
  <c r="AS11" i="44"/>
  <c r="AS12" i="44" s="1"/>
  <c r="AS4" i="295" s="1"/>
  <c r="AQ48" i="261"/>
  <c r="AQ10" i="265"/>
  <c r="AQ14" i="265"/>
  <c r="AQ89" i="261"/>
  <c r="AQ81" i="261"/>
  <c r="AQ2" i="265"/>
  <c r="AQ16" i="258"/>
  <c r="AQ24" i="258"/>
  <c r="AS3" i="258"/>
  <c r="AS3" i="261"/>
  <c r="AS3" i="260"/>
  <c r="AS3" i="259"/>
  <c r="AQ4" i="258"/>
  <c r="AQ4" i="260"/>
  <c r="AQ4" i="261"/>
  <c r="AQ4" i="259"/>
  <c r="AQ53" i="261"/>
  <c r="AQ21" i="259"/>
  <c r="AQ2" i="261"/>
  <c r="AQ2" i="260"/>
  <c r="AQ2" i="259"/>
  <c r="AQ2" i="258"/>
  <c r="AS3" i="257"/>
  <c r="AS3" i="46"/>
  <c r="AS3" i="49"/>
  <c r="AS3" i="252"/>
  <c r="AS3" i="44"/>
  <c r="AT8" i="44"/>
  <c r="AT3" i="295" s="1"/>
  <c r="AQ9" i="257"/>
  <c r="AQ14" i="257" s="1"/>
  <c r="AR11" i="257" s="1"/>
  <c r="AR4" i="265"/>
  <c r="AQ4" i="44"/>
  <c r="AQ4" i="252"/>
  <c r="AQ4" i="49"/>
  <c r="AQ4" i="46"/>
  <c r="AQ4" i="257"/>
  <c r="AQ2" i="44"/>
  <c r="AQ2" i="49"/>
  <c r="AQ2" i="252"/>
  <c r="AQ2" i="257"/>
  <c r="AQ2" i="46"/>
  <c r="AR55" i="295" l="1"/>
  <c r="AR31" i="261"/>
  <c r="AR2" i="283"/>
  <c r="AR2" i="295"/>
  <c r="AQ26" i="260"/>
  <c r="AQ28" i="260" s="1"/>
  <c r="AR25" i="260"/>
  <c r="AR26" i="260" s="1"/>
  <c r="AR28" i="260" s="1"/>
  <c r="AT3" i="277"/>
  <c r="AT3" i="283"/>
  <c r="AR26" i="252"/>
  <c r="AR8" i="283"/>
  <c r="AR17" i="283"/>
  <c r="AS28" i="44"/>
  <c r="AS29" i="44" s="1"/>
  <c r="AS8" i="260" s="1"/>
  <c r="AS11" i="260" s="1"/>
  <c r="AS19" i="260" s="1"/>
  <c r="AS21" i="260" s="1"/>
  <c r="AS24" i="260" s="1"/>
  <c r="AS4" i="283"/>
  <c r="S77" i="281"/>
  <c r="S78" i="281" s="1"/>
  <c r="S87" i="281" s="1"/>
  <c r="H43" i="266"/>
  <c r="H72" i="281"/>
  <c r="AZ40" i="277"/>
  <c r="H44" i="266"/>
  <c r="AQ17" i="258"/>
  <c r="AQ31" i="258" s="1"/>
  <c r="AQ25" i="258"/>
  <c r="AQ32" i="258" s="1"/>
  <c r="AR23" i="258"/>
  <c r="AR15" i="258"/>
  <c r="AR10" i="258"/>
  <c r="AR99" i="46"/>
  <c r="AR61" i="260"/>
  <c r="AR2" i="277"/>
  <c r="AS48" i="44"/>
  <c r="AS49" i="44" s="1"/>
  <c r="AS23" i="258" s="1"/>
  <c r="AS4" i="277"/>
  <c r="AO100" i="46"/>
  <c r="AO101" i="46" s="1"/>
  <c r="AO112" i="46" s="1"/>
  <c r="AO114" i="46" s="1"/>
  <c r="AO24" i="265" s="1"/>
  <c r="AO34" i="258"/>
  <c r="AO9" i="49" s="1"/>
  <c r="AM8" i="49"/>
  <c r="AM10" i="49" s="1"/>
  <c r="AR57" i="46"/>
  <c r="AR58" i="46" s="1"/>
  <c r="AR76" i="46" s="1"/>
  <c r="AR17" i="46"/>
  <c r="AR18" i="46" s="1"/>
  <c r="AR52" i="46"/>
  <c r="AR53" i="46" s="1"/>
  <c r="AR72" i="46" s="1"/>
  <c r="AR12" i="46"/>
  <c r="AR13" i="46" s="1"/>
  <c r="AR42" i="46"/>
  <c r="AR43" i="46" s="1"/>
  <c r="AR64" i="46" s="1"/>
  <c r="AR27" i="46"/>
  <c r="AR28" i="46" s="1"/>
  <c r="AR47" i="46"/>
  <c r="AR48" i="46" s="1"/>
  <c r="AR68" i="46" s="1"/>
  <c r="AR22" i="46"/>
  <c r="AR23" i="46" s="1"/>
  <c r="AQ31" i="46"/>
  <c r="AQ63" i="46"/>
  <c r="AQ65" i="46" s="1"/>
  <c r="AQ80" i="46" s="1"/>
  <c r="AQ67" i="46"/>
  <c r="AQ69" i="46" s="1"/>
  <c r="AQ81" i="46" s="1"/>
  <c r="AQ32" i="46"/>
  <c r="AN114" i="46"/>
  <c r="AQ33" i="46"/>
  <c r="AQ71" i="46"/>
  <c r="AQ73" i="46" s="1"/>
  <c r="AQ82" i="46" s="1"/>
  <c r="AP35" i="46"/>
  <c r="AP9" i="258" s="1"/>
  <c r="AP11" i="258" s="1"/>
  <c r="AP30" i="258" s="1"/>
  <c r="AP33" i="258" s="1"/>
  <c r="AP25" i="265" s="1"/>
  <c r="AQ34" i="46"/>
  <c r="AQ75" i="46"/>
  <c r="AQ77" i="46" s="1"/>
  <c r="AQ83" i="46" s="1"/>
  <c r="AP84" i="46"/>
  <c r="AS37" i="44"/>
  <c r="AS38" i="44" s="1"/>
  <c r="AS23" i="44"/>
  <c r="AS24" i="44" s="1"/>
  <c r="AS9" i="295" s="1"/>
  <c r="AS33" i="44"/>
  <c r="AS34" i="44" s="1"/>
  <c r="AS13" i="259" s="1"/>
  <c r="AS18" i="44"/>
  <c r="AS19" i="44" s="1"/>
  <c r="AR44" i="265"/>
  <c r="AR69" i="260"/>
  <c r="AT3" i="265"/>
  <c r="AT11" i="44"/>
  <c r="AT12" i="44" s="1"/>
  <c r="AT4" i="295" s="1"/>
  <c r="AR48" i="261"/>
  <c r="AR10" i="265"/>
  <c r="AR14" i="265"/>
  <c r="AR81" i="261"/>
  <c r="AR89" i="261"/>
  <c r="AR2" i="265"/>
  <c r="AR16" i="258"/>
  <c r="AR24" i="258"/>
  <c r="AT3" i="258"/>
  <c r="AT3" i="260"/>
  <c r="AT3" i="261"/>
  <c r="AT3" i="259"/>
  <c r="AR4" i="258"/>
  <c r="AR4" i="261"/>
  <c r="AR4" i="260"/>
  <c r="AR4" i="259"/>
  <c r="AR53" i="261"/>
  <c r="AR21" i="259"/>
  <c r="AR2" i="261"/>
  <c r="AR2" i="260"/>
  <c r="AR2" i="259"/>
  <c r="AR2" i="258"/>
  <c r="AR9" i="257"/>
  <c r="AR14" i="257" s="1"/>
  <c r="AS11" i="257" s="1"/>
  <c r="AR4" i="44"/>
  <c r="AR4" i="257"/>
  <c r="AR4" i="46"/>
  <c r="AR4" i="49"/>
  <c r="AR4" i="252"/>
  <c r="AS4" i="265"/>
  <c r="AR2" i="44"/>
  <c r="AR2" i="49"/>
  <c r="AR2" i="46"/>
  <c r="AR2" i="257"/>
  <c r="AR2" i="252"/>
  <c r="AT3" i="257"/>
  <c r="AT3" i="252"/>
  <c r="AT3" i="49"/>
  <c r="AT3" i="46"/>
  <c r="AU8" i="44"/>
  <c r="AU3" i="295" s="1"/>
  <c r="AT3" i="44"/>
  <c r="AM40" i="49" l="1"/>
  <c r="AM41" i="277" s="1"/>
  <c r="AS55" i="295"/>
  <c r="AS31" i="261"/>
  <c r="AS2" i="283"/>
  <c r="AS2" i="295"/>
  <c r="AS25" i="260"/>
  <c r="AS26" i="260" s="1"/>
  <c r="AS28" i="260" s="1"/>
  <c r="S81" i="281"/>
  <c r="S83" i="281" s="1"/>
  <c r="S88" i="281" s="1"/>
  <c r="S89" i="281" s="1"/>
  <c r="T86" i="281" s="1"/>
  <c r="AS26" i="252"/>
  <c r="AS8" i="283"/>
  <c r="AS17" i="283"/>
  <c r="AU3" i="277"/>
  <c r="AU3" i="283"/>
  <c r="AT28" i="44"/>
  <c r="AT29" i="44" s="1"/>
  <c r="AT8" i="260" s="1"/>
  <c r="AT11" i="260" s="1"/>
  <c r="AT19" i="260" s="1"/>
  <c r="AT21" i="260" s="1"/>
  <c r="AT24" i="260" s="1"/>
  <c r="AT4" i="283"/>
  <c r="S95" i="281"/>
  <c r="S96" i="281" s="1"/>
  <c r="S114" i="281" s="1"/>
  <c r="S116" i="281" s="1"/>
  <c r="AR25" i="258"/>
  <c r="AR32" i="258" s="1"/>
  <c r="H40" i="277"/>
  <c r="AR17" i="258"/>
  <c r="AR31" i="258" s="1"/>
  <c r="AS15" i="258"/>
  <c r="AS99" i="46"/>
  <c r="AS90" i="46"/>
  <c r="AS10" i="258"/>
  <c r="AT48" i="44"/>
  <c r="AT49" i="44" s="1"/>
  <c r="AT10" i="258" s="1"/>
  <c r="AT4" i="277"/>
  <c r="AS61" i="260"/>
  <c r="AS2" i="277"/>
  <c r="AO8" i="49"/>
  <c r="AO10" i="49" s="1"/>
  <c r="AQ35" i="46"/>
  <c r="AQ9" i="258" s="1"/>
  <c r="AQ11" i="258" s="1"/>
  <c r="AQ30" i="258" s="1"/>
  <c r="AQ33" i="258" s="1"/>
  <c r="AQ25" i="265" s="1"/>
  <c r="AP34" i="258"/>
  <c r="AP9" i="49" s="1"/>
  <c r="AN24" i="265"/>
  <c r="AN8" i="49"/>
  <c r="AN10" i="49" s="1"/>
  <c r="AR63" i="46"/>
  <c r="AR65" i="46" s="1"/>
  <c r="AR80" i="46" s="1"/>
  <c r="AR31" i="46"/>
  <c r="AR34" i="46"/>
  <c r="AR75" i="46"/>
  <c r="AR77" i="46" s="1"/>
  <c r="AR83" i="46" s="1"/>
  <c r="AQ84" i="46"/>
  <c r="AR67" i="46"/>
  <c r="AR69" i="46" s="1"/>
  <c r="AR81" i="46" s="1"/>
  <c r="AR32" i="46"/>
  <c r="AP91" i="46"/>
  <c r="AP92" i="46" s="1"/>
  <c r="AP111" i="46" s="1"/>
  <c r="AP100" i="46"/>
  <c r="AP101" i="46" s="1"/>
  <c r="AP112" i="46" s="1"/>
  <c r="AR33" i="46"/>
  <c r="AR71" i="46"/>
  <c r="AR73" i="46" s="1"/>
  <c r="AR82" i="46" s="1"/>
  <c r="AS47" i="46"/>
  <c r="AS48" i="46" s="1"/>
  <c r="AS68" i="46" s="1"/>
  <c r="AS42" i="46"/>
  <c r="AS43" i="46" s="1"/>
  <c r="AS64" i="46" s="1"/>
  <c r="AS52" i="46"/>
  <c r="AS53" i="46" s="1"/>
  <c r="AS72" i="46" s="1"/>
  <c r="AS57" i="46"/>
  <c r="AS58" i="46" s="1"/>
  <c r="AS76" i="46" s="1"/>
  <c r="AS22" i="46"/>
  <c r="AS23" i="46" s="1"/>
  <c r="AS12" i="46"/>
  <c r="AS13" i="46" s="1"/>
  <c r="AS27" i="46"/>
  <c r="AS28" i="46" s="1"/>
  <c r="AS17" i="46"/>
  <c r="AS18" i="46" s="1"/>
  <c r="AT18" i="44"/>
  <c r="AT19" i="44" s="1"/>
  <c r="AT23" i="44"/>
  <c r="AT24" i="44" s="1"/>
  <c r="AT9" i="295" s="1"/>
  <c r="AT37" i="44"/>
  <c r="AT38" i="44" s="1"/>
  <c r="AT33" i="44"/>
  <c r="AT34" i="44" s="1"/>
  <c r="AT13" i="259" s="1"/>
  <c r="AS44" i="265"/>
  <c r="AS69" i="260"/>
  <c r="AU3" i="265"/>
  <c r="AU11" i="44"/>
  <c r="AU12" i="44" s="1"/>
  <c r="AU4" i="295" s="1"/>
  <c r="AS48" i="261"/>
  <c r="AS10" i="265"/>
  <c r="AS14" i="265"/>
  <c r="AS89" i="261"/>
  <c r="AS81" i="261"/>
  <c r="AS2" i="265"/>
  <c r="AS24" i="258"/>
  <c r="AS25" i="258" s="1"/>
  <c r="AS32" i="258" s="1"/>
  <c r="AS16" i="258"/>
  <c r="AS53" i="261"/>
  <c r="AS21" i="259"/>
  <c r="AU3" i="258"/>
  <c r="AU3" i="261"/>
  <c r="AU3" i="260"/>
  <c r="AU3" i="259"/>
  <c r="AS4" i="258"/>
  <c r="AS4" i="260"/>
  <c r="AS4" i="259"/>
  <c r="AS4" i="261"/>
  <c r="AS2" i="260"/>
  <c r="AS2" i="261"/>
  <c r="AS2" i="259"/>
  <c r="AS2" i="258"/>
  <c r="AU3" i="46"/>
  <c r="AU3" i="257"/>
  <c r="AU3" i="252"/>
  <c r="AU3" i="49"/>
  <c r="AU3" i="44"/>
  <c r="AV8" i="44"/>
  <c r="AV3" i="295" s="1"/>
  <c r="AT4" i="265"/>
  <c r="AS4" i="44"/>
  <c r="AS4" i="257"/>
  <c r="AS4" i="49"/>
  <c r="AS4" i="46"/>
  <c r="AS4" i="252"/>
  <c r="AS2" i="44"/>
  <c r="AS2" i="257"/>
  <c r="AS2" i="49"/>
  <c r="AS2" i="46"/>
  <c r="AS2" i="252"/>
  <c r="AS9" i="257"/>
  <c r="AS14" i="257" s="1"/>
  <c r="AT11" i="257" s="1"/>
  <c r="AN40" i="49" l="1"/>
  <c r="AN41" i="277" s="1"/>
  <c r="AO40" i="49"/>
  <c r="AO41" i="277" s="1"/>
  <c r="AT55" i="295"/>
  <c r="AT31" i="261"/>
  <c r="AT2" i="283"/>
  <c r="AT2" i="295"/>
  <c r="S99" i="281"/>
  <c r="S100" i="281" s="1"/>
  <c r="S20" i="277" s="1"/>
  <c r="AT26" i="252"/>
  <c r="AT8" i="283"/>
  <c r="AT17" i="283"/>
  <c r="AT25" i="260"/>
  <c r="AT26" i="260" s="1"/>
  <c r="AT28" i="260" s="1"/>
  <c r="AV3" i="277"/>
  <c r="AV3" i="283"/>
  <c r="AU28" i="44"/>
  <c r="AU29" i="44" s="1"/>
  <c r="AU8" i="260" s="1"/>
  <c r="AU11" i="260" s="1"/>
  <c r="AU19" i="260" s="1"/>
  <c r="AU21" i="260" s="1"/>
  <c r="AU24" i="260" s="1"/>
  <c r="AU4" i="283"/>
  <c r="T46" i="281"/>
  <c r="T47" i="281" s="1"/>
  <c r="T50" i="281" s="1"/>
  <c r="T52" i="281" s="1"/>
  <c r="T80" i="281"/>
  <c r="T35" i="281"/>
  <c r="T37" i="281" s="1"/>
  <c r="AS17" i="258"/>
  <c r="AS31" i="258" s="1"/>
  <c r="AT99" i="46"/>
  <c r="AT23" i="258"/>
  <c r="AT15" i="258"/>
  <c r="AT90" i="46"/>
  <c r="AU48" i="44"/>
  <c r="AU49" i="44" s="1"/>
  <c r="AU90" i="46" s="1"/>
  <c r="AU4" i="277"/>
  <c r="AT61" i="260"/>
  <c r="AT2" i="277"/>
  <c r="AQ34" i="258"/>
  <c r="AQ9" i="49" s="1"/>
  <c r="AR35" i="46"/>
  <c r="AR9" i="258" s="1"/>
  <c r="AR11" i="258" s="1"/>
  <c r="AR30" i="258" s="1"/>
  <c r="AR33" i="258" s="1"/>
  <c r="AR25" i="265" s="1"/>
  <c r="AQ100" i="46"/>
  <c r="AQ101" i="46" s="1"/>
  <c r="AQ112" i="46" s="1"/>
  <c r="AQ91" i="46"/>
  <c r="AQ92" i="46" s="1"/>
  <c r="AQ111" i="46" s="1"/>
  <c r="AS67" i="46"/>
  <c r="AS69" i="46" s="1"/>
  <c r="AS81" i="46" s="1"/>
  <c r="AS32" i="46"/>
  <c r="AR84" i="46"/>
  <c r="AS75" i="46"/>
  <c r="AS77" i="46" s="1"/>
  <c r="AS83" i="46" s="1"/>
  <c r="AS34" i="46"/>
  <c r="AS63" i="46"/>
  <c r="AS65" i="46" s="1"/>
  <c r="AS80" i="46" s="1"/>
  <c r="AS31" i="46"/>
  <c r="AS71" i="46"/>
  <c r="AS73" i="46" s="1"/>
  <c r="AS82" i="46" s="1"/>
  <c r="AS33" i="46"/>
  <c r="AP114" i="46"/>
  <c r="AT17" i="46"/>
  <c r="AT18" i="46" s="1"/>
  <c r="AT52" i="46"/>
  <c r="AT53" i="46" s="1"/>
  <c r="AT72" i="46" s="1"/>
  <c r="AT27" i="46"/>
  <c r="AT28" i="46" s="1"/>
  <c r="AT57" i="46"/>
  <c r="AT58" i="46" s="1"/>
  <c r="AT76" i="46" s="1"/>
  <c r="AT22" i="46"/>
  <c r="AT23" i="46" s="1"/>
  <c r="AT47" i="46"/>
  <c r="AT48" i="46" s="1"/>
  <c r="AT68" i="46" s="1"/>
  <c r="AT42" i="46"/>
  <c r="AT43" i="46" s="1"/>
  <c r="AT64" i="46" s="1"/>
  <c r="AT12" i="46"/>
  <c r="AT13" i="46" s="1"/>
  <c r="AU33" i="44"/>
  <c r="AU34" i="44" s="1"/>
  <c r="AU13" i="259" s="1"/>
  <c r="AU23" i="44"/>
  <c r="AU24" i="44" s="1"/>
  <c r="AU9" i="295" s="1"/>
  <c r="AU37" i="44"/>
  <c r="AU38" i="44" s="1"/>
  <c r="AU18" i="44"/>
  <c r="AU19" i="44" s="1"/>
  <c r="AT44" i="265"/>
  <c r="AT69" i="260"/>
  <c r="AV3" i="265"/>
  <c r="AV11" i="44"/>
  <c r="AV12" i="44" s="1"/>
  <c r="AV4" i="295" s="1"/>
  <c r="AT48" i="261"/>
  <c r="AT10" i="265"/>
  <c r="AT14" i="265"/>
  <c r="AT81" i="261"/>
  <c r="AT89" i="261"/>
  <c r="AT2" i="265"/>
  <c r="AT24" i="258"/>
  <c r="AT16" i="258"/>
  <c r="AV3" i="258"/>
  <c r="AV3" i="261"/>
  <c r="AV3" i="259"/>
  <c r="AV3" i="260"/>
  <c r="AT4" i="258"/>
  <c r="AT4" i="261"/>
  <c r="AT4" i="260"/>
  <c r="AT4" i="259"/>
  <c r="AT2" i="260"/>
  <c r="AT2" i="261"/>
  <c r="AT2" i="259"/>
  <c r="AT53" i="261"/>
  <c r="AT21" i="259"/>
  <c r="AT2" i="258"/>
  <c r="AV3" i="257"/>
  <c r="AV3" i="49"/>
  <c r="AV3" i="252"/>
  <c r="AV3" i="46"/>
  <c r="AW8" i="44"/>
  <c r="AW3" i="295" s="1"/>
  <c r="AV3" i="44"/>
  <c r="AT2" i="44"/>
  <c r="AT2" i="46"/>
  <c r="AT2" i="257"/>
  <c r="AT2" i="49"/>
  <c r="AT2" i="252"/>
  <c r="AT9" i="257"/>
  <c r="AT14" i="257" s="1"/>
  <c r="AU11" i="257" s="1"/>
  <c r="AT4" i="44"/>
  <c r="AT4" i="49"/>
  <c r="AT4" i="257"/>
  <c r="AT4" i="252"/>
  <c r="AT4" i="46"/>
  <c r="AU4" i="265"/>
  <c r="AU55" i="295" l="1"/>
  <c r="AU31" i="261"/>
  <c r="AU2" i="283"/>
  <c r="AU2" i="295"/>
  <c r="S29" i="277"/>
  <c r="AU25" i="260"/>
  <c r="AU26" i="260" s="1"/>
  <c r="AU28" i="260" s="1"/>
  <c r="AV28" i="44"/>
  <c r="AV29" i="44" s="1"/>
  <c r="AV25" i="260" s="1"/>
  <c r="AV4" i="283"/>
  <c r="AW3" i="277"/>
  <c r="AW3" i="283"/>
  <c r="AU26" i="252"/>
  <c r="AU8" i="283"/>
  <c r="AU17" i="283"/>
  <c r="T125" i="281"/>
  <c r="T40" i="281"/>
  <c r="T64" i="281"/>
  <c r="T65" i="281"/>
  <c r="T126" i="281"/>
  <c r="AT25" i="258"/>
  <c r="AT32" i="258" s="1"/>
  <c r="AT17" i="258"/>
  <c r="AT31" i="258" s="1"/>
  <c r="AU99" i="46"/>
  <c r="AU10" i="258"/>
  <c r="AU15" i="258"/>
  <c r="AU23" i="258"/>
  <c r="AV48" i="44"/>
  <c r="AV49" i="44" s="1"/>
  <c r="AV10" i="258" s="1"/>
  <c r="AV4" i="277"/>
  <c r="AU61" i="260"/>
  <c r="AU2" i="277"/>
  <c r="AR34" i="258"/>
  <c r="AR9" i="49" s="1"/>
  <c r="AP8" i="49"/>
  <c r="AP10" i="49" s="1"/>
  <c r="AP24" i="265"/>
  <c r="AR91" i="46"/>
  <c r="AR92" i="46" s="1"/>
  <c r="AR111" i="46" s="1"/>
  <c r="AR100" i="46"/>
  <c r="AR101" i="46" s="1"/>
  <c r="AR112" i="46" s="1"/>
  <c r="AU57" i="46"/>
  <c r="AU58" i="46" s="1"/>
  <c r="AU76" i="46" s="1"/>
  <c r="AU52" i="46"/>
  <c r="AU53" i="46" s="1"/>
  <c r="AU72" i="46" s="1"/>
  <c r="AU12" i="46"/>
  <c r="AU13" i="46" s="1"/>
  <c r="AU22" i="46"/>
  <c r="AU23" i="46" s="1"/>
  <c r="AU47" i="46"/>
  <c r="AU48" i="46" s="1"/>
  <c r="AU68" i="46" s="1"/>
  <c r="AU42" i="46"/>
  <c r="AU43" i="46" s="1"/>
  <c r="AU64" i="46" s="1"/>
  <c r="AU27" i="46"/>
  <c r="AU28" i="46" s="1"/>
  <c r="AU17" i="46"/>
  <c r="AU18" i="46" s="1"/>
  <c r="AT71" i="46"/>
  <c r="AT73" i="46" s="1"/>
  <c r="AT82" i="46" s="1"/>
  <c r="AT33" i="46"/>
  <c r="AS35" i="46"/>
  <c r="AS9" i="258" s="1"/>
  <c r="AS11" i="258" s="1"/>
  <c r="AS30" i="258" s="1"/>
  <c r="AS33" i="258" s="1"/>
  <c r="AS25" i="265" s="1"/>
  <c r="AT63" i="46"/>
  <c r="AT65" i="46" s="1"/>
  <c r="AT80" i="46" s="1"/>
  <c r="AT31" i="46"/>
  <c r="AS84" i="46"/>
  <c r="AQ114" i="46"/>
  <c r="AT75" i="46"/>
  <c r="AT77" i="46" s="1"/>
  <c r="AT83" i="46" s="1"/>
  <c r="AT34" i="46"/>
  <c r="AT67" i="46"/>
  <c r="AT69" i="46" s="1"/>
  <c r="AT81" i="46" s="1"/>
  <c r="AT32" i="46"/>
  <c r="AV33" i="44"/>
  <c r="AV34" i="44" s="1"/>
  <c r="AV13" i="259" s="1"/>
  <c r="AV37" i="44"/>
  <c r="AV38" i="44" s="1"/>
  <c r="AV23" i="44"/>
  <c r="AV24" i="44" s="1"/>
  <c r="AV9" i="295" s="1"/>
  <c r="AV18" i="44"/>
  <c r="AV19" i="44" s="1"/>
  <c r="AU44" i="265"/>
  <c r="AU69" i="260"/>
  <c r="AW3" i="265"/>
  <c r="AW11" i="44"/>
  <c r="AW12" i="44" s="1"/>
  <c r="AW4" i="295" s="1"/>
  <c r="AU48" i="261"/>
  <c r="AU10" i="265"/>
  <c r="AU14" i="265"/>
  <c r="AU89" i="261"/>
  <c r="AU81" i="261"/>
  <c r="AU2" i="265"/>
  <c r="AU24" i="258"/>
  <c r="AU16" i="258"/>
  <c r="AU4" i="258"/>
  <c r="AU4" i="261"/>
  <c r="AU4" i="260"/>
  <c r="AU4" i="259"/>
  <c r="AU53" i="261"/>
  <c r="AU21" i="259"/>
  <c r="AU2" i="261"/>
  <c r="AU2" i="260"/>
  <c r="AU2" i="259"/>
  <c r="AW3" i="258"/>
  <c r="AW3" i="261"/>
  <c r="AW3" i="259"/>
  <c r="AW3" i="260"/>
  <c r="AU2" i="258"/>
  <c r="AW3" i="257"/>
  <c r="AW3" i="49"/>
  <c r="AW3" i="252"/>
  <c r="AW3" i="46"/>
  <c r="AX8" i="44"/>
  <c r="AX3" i="295" s="1"/>
  <c r="AW3" i="44"/>
  <c r="AU4" i="44"/>
  <c r="AU4" i="49"/>
  <c r="AU4" i="252"/>
  <c r="AU4" i="257"/>
  <c r="AU4" i="46"/>
  <c r="AU9" i="257"/>
  <c r="AU14" i="257" s="1"/>
  <c r="AV11" i="257" s="1"/>
  <c r="AU2" i="44"/>
  <c r="AU2" i="257"/>
  <c r="AU2" i="49"/>
  <c r="AU2" i="46"/>
  <c r="AU2" i="252"/>
  <c r="AV4" i="265"/>
  <c r="AP40" i="49" l="1"/>
  <c r="AP41" i="277" s="1"/>
  <c r="AV55" i="295"/>
  <c r="AV31" i="261"/>
  <c r="AV2" i="283"/>
  <c r="AV2" i="295"/>
  <c r="AX3" i="277"/>
  <c r="AX3" i="283"/>
  <c r="AW28" i="44"/>
  <c r="AW29" i="44" s="1"/>
  <c r="AW8" i="260" s="1"/>
  <c r="AW11" i="260" s="1"/>
  <c r="AW19" i="260" s="1"/>
  <c r="AW21" i="260" s="1"/>
  <c r="AW24" i="260" s="1"/>
  <c r="AW4" i="283"/>
  <c r="AV26" i="252"/>
  <c r="AV17" i="283"/>
  <c r="AV8" i="283"/>
  <c r="AV8" i="260"/>
  <c r="AV11" i="260" s="1"/>
  <c r="AV19" i="260" s="1"/>
  <c r="AV21" i="260" s="1"/>
  <c r="AV24" i="260" s="1"/>
  <c r="AV26" i="260" s="1"/>
  <c r="AV28" i="260" s="1"/>
  <c r="T67" i="281"/>
  <c r="T73" i="281" s="1"/>
  <c r="T74" i="281" s="1"/>
  <c r="T127" i="281"/>
  <c r="AV23" i="258"/>
  <c r="AU25" i="258"/>
  <c r="AU32" i="258" s="1"/>
  <c r="AU17" i="258"/>
  <c r="AU31" i="258" s="1"/>
  <c r="AV15" i="258"/>
  <c r="AV90" i="46"/>
  <c r="AV99" i="46"/>
  <c r="AV61" i="260"/>
  <c r="AV2" i="277"/>
  <c r="AW48" i="44"/>
  <c r="AW49" i="44" s="1"/>
  <c r="AW10" i="258" s="1"/>
  <c r="AW4" i="277"/>
  <c r="AQ8" i="49"/>
  <c r="AQ10" i="49" s="1"/>
  <c r="AQ24" i="265"/>
  <c r="AU63" i="46"/>
  <c r="AU65" i="46" s="1"/>
  <c r="AU80" i="46" s="1"/>
  <c r="AU31" i="46"/>
  <c r="AU67" i="46"/>
  <c r="AU69" i="46" s="1"/>
  <c r="AU81" i="46" s="1"/>
  <c r="AU32" i="46"/>
  <c r="AU75" i="46"/>
  <c r="AU77" i="46" s="1"/>
  <c r="AU83" i="46" s="1"/>
  <c r="AU34" i="46"/>
  <c r="AR114" i="46"/>
  <c r="AV42" i="46"/>
  <c r="AV43" i="46" s="1"/>
  <c r="AV64" i="46" s="1"/>
  <c r="AV27" i="46"/>
  <c r="AV28" i="46" s="1"/>
  <c r="AV47" i="46"/>
  <c r="AV48" i="46" s="1"/>
  <c r="AV68" i="46" s="1"/>
  <c r="AV22" i="46"/>
  <c r="AV23" i="46" s="1"/>
  <c r="AV57" i="46"/>
  <c r="AV58" i="46" s="1"/>
  <c r="AV76" i="46" s="1"/>
  <c r="AV52" i="46"/>
  <c r="AV53" i="46" s="1"/>
  <c r="AV72" i="46" s="1"/>
  <c r="AV12" i="46"/>
  <c r="AV13" i="46" s="1"/>
  <c r="AV17" i="46"/>
  <c r="AV18" i="46" s="1"/>
  <c r="AS100" i="46"/>
  <c r="AS101" i="46" s="1"/>
  <c r="AS112" i="46" s="1"/>
  <c r="AS91" i="46"/>
  <c r="AS92" i="46" s="1"/>
  <c r="AS111" i="46" s="1"/>
  <c r="AT35" i="46"/>
  <c r="AT9" i="258" s="1"/>
  <c r="AT11" i="258" s="1"/>
  <c r="AT30" i="258" s="1"/>
  <c r="AT33" i="258" s="1"/>
  <c r="AT25" i="265" s="1"/>
  <c r="AS34" i="258"/>
  <c r="AS9" i="49" s="1"/>
  <c r="AT84" i="46"/>
  <c r="AU33" i="46"/>
  <c r="AU71" i="46"/>
  <c r="AU73" i="46" s="1"/>
  <c r="AU82" i="46" s="1"/>
  <c r="AW37" i="44"/>
  <c r="AW38" i="44" s="1"/>
  <c r="AW23" i="44"/>
  <c r="AW24" i="44" s="1"/>
  <c r="AW9" i="295" s="1"/>
  <c r="AW18" i="44"/>
  <c r="AW19" i="44" s="1"/>
  <c r="AW33" i="44"/>
  <c r="AW34" i="44" s="1"/>
  <c r="AW13" i="259" s="1"/>
  <c r="AV44" i="265"/>
  <c r="AV69" i="260"/>
  <c r="AX3" i="265"/>
  <c r="AX11" i="44"/>
  <c r="AX12" i="44" s="1"/>
  <c r="AX4" i="295" s="1"/>
  <c r="AV48" i="261"/>
  <c r="AV10" i="265"/>
  <c r="AV14" i="265"/>
  <c r="AV89" i="261"/>
  <c r="AV81" i="261"/>
  <c r="AV2" i="265"/>
  <c r="AV24" i="258"/>
  <c r="AV16" i="258"/>
  <c r="AX3" i="258"/>
  <c r="AX3" i="260"/>
  <c r="AX3" i="261"/>
  <c r="AX3" i="259"/>
  <c r="AV53" i="261"/>
  <c r="AV21" i="259"/>
  <c r="AV2" i="260"/>
  <c r="AV2" i="261"/>
  <c r="AV2" i="259"/>
  <c r="AV4" i="258"/>
  <c r="AV4" i="261"/>
  <c r="AV4" i="259"/>
  <c r="AV4" i="260"/>
  <c r="AV2" i="258"/>
  <c r="AV2" i="44"/>
  <c r="AV2" i="257"/>
  <c r="AV2" i="49"/>
  <c r="AV2" i="46"/>
  <c r="AV2" i="252"/>
  <c r="AX3" i="49"/>
  <c r="AX3" i="257"/>
  <c r="AX3" i="46"/>
  <c r="AX3" i="252"/>
  <c r="AX3" i="44"/>
  <c r="AY8" i="44"/>
  <c r="AY3" i="295" s="1"/>
  <c r="AV9" i="257"/>
  <c r="AV14" i="257" s="1"/>
  <c r="AW11" i="257" s="1"/>
  <c r="AV4" i="44"/>
  <c r="AV4" i="257"/>
  <c r="AV4" i="49"/>
  <c r="AV4" i="46"/>
  <c r="AV4" i="252"/>
  <c r="AW4" i="265"/>
  <c r="AQ40" i="49" l="1"/>
  <c r="AQ41" i="277" s="1"/>
  <c r="AW55" i="295"/>
  <c r="AW31" i="261"/>
  <c r="AW2" i="283"/>
  <c r="AW2" i="295"/>
  <c r="AW25" i="260"/>
  <c r="AW26" i="260" s="1"/>
  <c r="AW28" i="260" s="1"/>
  <c r="AW26" i="252"/>
  <c r="AW17" i="283"/>
  <c r="AW8" i="283"/>
  <c r="AX28" i="44"/>
  <c r="AX29" i="44" s="1"/>
  <c r="AX8" i="260" s="1"/>
  <c r="AX11" i="260" s="1"/>
  <c r="AX19" i="260" s="1"/>
  <c r="AX21" i="260" s="1"/>
  <c r="AX24" i="260" s="1"/>
  <c r="AX4" i="283"/>
  <c r="AY3" i="277"/>
  <c r="AY3" i="283"/>
  <c r="T77" i="281"/>
  <c r="T78" i="281" s="1"/>
  <c r="T94" i="281"/>
  <c r="AW99" i="46"/>
  <c r="AV25" i="258"/>
  <c r="AV32" i="258" s="1"/>
  <c r="AV17" i="258"/>
  <c r="AV31" i="258" s="1"/>
  <c r="AW90" i="46"/>
  <c r="AW15" i="258"/>
  <c r="AW23" i="258"/>
  <c r="AW61" i="260"/>
  <c r="AW2" i="277"/>
  <c r="AX48" i="44"/>
  <c r="AX49" i="44" s="1"/>
  <c r="AX99" i="46" s="1"/>
  <c r="AX4" i="277"/>
  <c r="AU35" i="46"/>
  <c r="AU9" i="258" s="1"/>
  <c r="AU11" i="258" s="1"/>
  <c r="AU30" i="258" s="1"/>
  <c r="AU33" i="258" s="1"/>
  <c r="AU25" i="265" s="1"/>
  <c r="AU84" i="46"/>
  <c r="AU100" i="46" s="1"/>
  <c r="AU101" i="46" s="1"/>
  <c r="AU112" i="46" s="1"/>
  <c r="AT34" i="258"/>
  <c r="AT9" i="49" s="1"/>
  <c r="AV67" i="46"/>
  <c r="AV69" i="46" s="1"/>
  <c r="AV81" i="46" s="1"/>
  <c r="AV32" i="46"/>
  <c r="AT91" i="46"/>
  <c r="AT92" i="46" s="1"/>
  <c r="AT111" i="46" s="1"/>
  <c r="AT100" i="46"/>
  <c r="AT101" i="46" s="1"/>
  <c r="AT112" i="46" s="1"/>
  <c r="AR8" i="49"/>
  <c r="AR10" i="49" s="1"/>
  <c r="AR24" i="265"/>
  <c r="AV63" i="46"/>
  <c r="AV65" i="46" s="1"/>
  <c r="AV80" i="46" s="1"/>
  <c r="AV31" i="46"/>
  <c r="AW12" i="46"/>
  <c r="AW13" i="46" s="1"/>
  <c r="AW22" i="46"/>
  <c r="AW23" i="46" s="1"/>
  <c r="AW57" i="46"/>
  <c r="AW58" i="46" s="1"/>
  <c r="AW76" i="46" s="1"/>
  <c r="AW17" i="46"/>
  <c r="AW18" i="46" s="1"/>
  <c r="AW52" i="46"/>
  <c r="AW53" i="46" s="1"/>
  <c r="AW72" i="46" s="1"/>
  <c r="AW47" i="46"/>
  <c r="AW48" i="46" s="1"/>
  <c r="AW68" i="46" s="1"/>
  <c r="AW42" i="46"/>
  <c r="AW43" i="46" s="1"/>
  <c r="AW64" i="46" s="1"/>
  <c r="AW27" i="46"/>
  <c r="AW28" i="46" s="1"/>
  <c r="AV33" i="46"/>
  <c r="AV71" i="46"/>
  <c r="AV73" i="46" s="1"/>
  <c r="AV82" i="46" s="1"/>
  <c r="AS114" i="46"/>
  <c r="AV34" i="46"/>
  <c r="AV75" i="46"/>
  <c r="AV77" i="46" s="1"/>
  <c r="AV83" i="46" s="1"/>
  <c r="AX18" i="44"/>
  <c r="AX19" i="44" s="1"/>
  <c r="AX23" i="44"/>
  <c r="AX24" i="44" s="1"/>
  <c r="AX9" i="295" s="1"/>
  <c r="AX37" i="44"/>
  <c r="AX38" i="44" s="1"/>
  <c r="AX33" i="44"/>
  <c r="AX34" i="44" s="1"/>
  <c r="AX13" i="259" s="1"/>
  <c r="AW44" i="265"/>
  <c r="AW69" i="260"/>
  <c r="AY3" i="265"/>
  <c r="AY11" i="44"/>
  <c r="AY12" i="44" s="1"/>
  <c r="AY4" i="295" s="1"/>
  <c r="AW48" i="261"/>
  <c r="AW10" i="265"/>
  <c r="AW14" i="265"/>
  <c r="AW89" i="261"/>
  <c r="AW81" i="261"/>
  <c r="AW2" i="265"/>
  <c r="AW16" i="258"/>
  <c r="AW24" i="258"/>
  <c r="AY3" i="258"/>
  <c r="AY3" i="260"/>
  <c r="AY3" i="261"/>
  <c r="AY3" i="259"/>
  <c r="AW53" i="261"/>
  <c r="AW21" i="259"/>
  <c r="AW2" i="261"/>
  <c r="AW2" i="260"/>
  <c r="AW2" i="259"/>
  <c r="AW4" i="258"/>
  <c r="AW4" i="261"/>
  <c r="AW4" i="260"/>
  <c r="AW4" i="259"/>
  <c r="AW2" i="258"/>
  <c r="AW9" i="257"/>
  <c r="AW14" i="257" s="1"/>
  <c r="AX11" i="257" s="1"/>
  <c r="AY3" i="257"/>
  <c r="AY3" i="46"/>
  <c r="AY3" i="49"/>
  <c r="AY3" i="252"/>
  <c r="AY3" i="44"/>
  <c r="AZ8" i="44"/>
  <c r="AZ3" i="295" s="1"/>
  <c r="AW2" i="44"/>
  <c r="AW2" i="257"/>
  <c r="AW2" i="46"/>
  <c r="AW2" i="252"/>
  <c r="AW2" i="49"/>
  <c r="AX4" i="265"/>
  <c r="AW4" i="44"/>
  <c r="AW4" i="257"/>
  <c r="AW4" i="46"/>
  <c r="AW4" i="49"/>
  <c r="AW4" i="252"/>
  <c r="AR40" i="49" l="1"/>
  <c r="AR41" i="277" s="1"/>
  <c r="AX55" i="295"/>
  <c r="AX31" i="261"/>
  <c r="AX2" i="283"/>
  <c r="AX2" i="295"/>
  <c r="AY28" i="44"/>
  <c r="AY29" i="44" s="1"/>
  <c r="AY8" i="260" s="1"/>
  <c r="AY11" i="260" s="1"/>
  <c r="AY19" i="260" s="1"/>
  <c r="AY21" i="260" s="1"/>
  <c r="AY24" i="260" s="1"/>
  <c r="AY4" i="283"/>
  <c r="AX25" i="260"/>
  <c r="AX26" i="260" s="1"/>
  <c r="AX28" i="260" s="1"/>
  <c r="AX26" i="252"/>
  <c r="AX17" i="283"/>
  <c r="AX8" i="283"/>
  <c r="AZ3" i="277"/>
  <c r="AZ3" i="283"/>
  <c r="T81" i="281"/>
  <c r="T83" i="281" s="1"/>
  <c r="T88" i="281" s="1"/>
  <c r="T95" i="281"/>
  <c r="T96" i="281" s="1"/>
  <c r="T87" i="281"/>
  <c r="AW17" i="258"/>
  <c r="AW31" i="258" s="1"/>
  <c r="AW25" i="258"/>
  <c r="AW32" i="258" s="1"/>
  <c r="AX10" i="258"/>
  <c r="AX90" i="46"/>
  <c r="AX23" i="258"/>
  <c r="AX61" i="260"/>
  <c r="AX2" i="277"/>
  <c r="AY48" i="44"/>
  <c r="AY49" i="44" s="1"/>
  <c r="AY99" i="46" s="1"/>
  <c r="AY4" i="277"/>
  <c r="AX15" i="258"/>
  <c r="AU34" i="258"/>
  <c r="AU9" i="49" s="1"/>
  <c r="AU91" i="46"/>
  <c r="AU92" i="46" s="1"/>
  <c r="AU111" i="46" s="1"/>
  <c r="AU114" i="46" s="1"/>
  <c r="AU8" i="49" s="1"/>
  <c r="AW33" i="46"/>
  <c r="AW71" i="46"/>
  <c r="AW73" i="46" s="1"/>
  <c r="AW82" i="46" s="1"/>
  <c r="AW67" i="46"/>
  <c r="AW69" i="46" s="1"/>
  <c r="AW81" i="46" s="1"/>
  <c r="AW32" i="46"/>
  <c r="AT114" i="46"/>
  <c r="AW63" i="46"/>
  <c r="AW65" i="46" s="1"/>
  <c r="AW80" i="46" s="1"/>
  <c r="AW31" i="46"/>
  <c r="AW75" i="46"/>
  <c r="AW77" i="46" s="1"/>
  <c r="AW83" i="46" s="1"/>
  <c r="AW34" i="46"/>
  <c r="AV35" i="46"/>
  <c r="AV9" i="258" s="1"/>
  <c r="AV11" i="258" s="1"/>
  <c r="AV30" i="258" s="1"/>
  <c r="AV33" i="258" s="1"/>
  <c r="AV25" i="265" s="1"/>
  <c r="AS24" i="265"/>
  <c r="AS8" i="49"/>
  <c r="AS10" i="49" s="1"/>
  <c r="AV84" i="46"/>
  <c r="AX52" i="46"/>
  <c r="AX53" i="46" s="1"/>
  <c r="AX72" i="46" s="1"/>
  <c r="AX47" i="46"/>
  <c r="AX48" i="46" s="1"/>
  <c r="AX68" i="46" s="1"/>
  <c r="AX57" i="46"/>
  <c r="AX58" i="46" s="1"/>
  <c r="AX76" i="46" s="1"/>
  <c r="AX22" i="46"/>
  <c r="AX23" i="46" s="1"/>
  <c r="AX17" i="46"/>
  <c r="AX18" i="46" s="1"/>
  <c r="AX42" i="46"/>
  <c r="AX43" i="46" s="1"/>
  <c r="AX64" i="46" s="1"/>
  <c r="AX27" i="46"/>
  <c r="AX28" i="46" s="1"/>
  <c r="AX12" i="46"/>
  <c r="AX13" i="46" s="1"/>
  <c r="AY23" i="44"/>
  <c r="AY24" i="44" s="1"/>
  <c r="AY9" i="295" s="1"/>
  <c r="AY37" i="44"/>
  <c r="AY38" i="44" s="1"/>
  <c r="AY33" i="44"/>
  <c r="AY34" i="44" s="1"/>
  <c r="AY13" i="259" s="1"/>
  <c r="AY18" i="44"/>
  <c r="AY19" i="44" s="1"/>
  <c r="AX44" i="265"/>
  <c r="AX69" i="260"/>
  <c r="AZ3" i="265"/>
  <c r="AZ11" i="44"/>
  <c r="AZ12" i="44" s="1"/>
  <c r="AZ4" i="295" s="1"/>
  <c r="AX48" i="261"/>
  <c r="AX10" i="265"/>
  <c r="AX14" i="265"/>
  <c r="AX89" i="261"/>
  <c r="AX81" i="261"/>
  <c r="AX2" i="265"/>
  <c r="AX16" i="258"/>
  <c r="AX24" i="258"/>
  <c r="AX2" i="261"/>
  <c r="AX2" i="260"/>
  <c r="AX2" i="259"/>
  <c r="AZ3" i="258"/>
  <c r="AZ3" i="261"/>
  <c r="AZ3" i="260"/>
  <c r="AZ3" i="259"/>
  <c r="AX53" i="261"/>
  <c r="AX21" i="259"/>
  <c r="AX4" i="258"/>
  <c r="AX4" i="259"/>
  <c r="AX4" i="261"/>
  <c r="AX4" i="260"/>
  <c r="AX2" i="258"/>
  <c r="AX2" i="44"/>
  <c r="AX2" i="257"/>
  <c r="AX2" i="252"/>
  <c r="AX2" i="46"/>
  <c r="AX2" i="49"/>
  <c r="AZ3" i="257"/>
  <c r="AZ3" i="46"/>
  <c r="AZ3" i="49"/>
  <c r="AZ3" i="252"/>
  <c r="BA8" i="44"/>
  <c r="BA3" i="295" s="1"/>
  <c r="AZ3" i="44"/>
  <c r="AX4" i="44"/>
  <c r="AX4" i="257"/>
  <c r="AX4" i="49"/>
  <c r="AX4" i="252"/>
  <c r="AX4" i="46"/>
  <c r="AX9" i="257"/>
  <c r="AX14" i="257" s="1"/>
  <c r="AY11" i="257" s="1"/>
  <c r="AY4" i="265"/>
  <c r="AS40" i="49" l="1"/>
  <c r="AS41" i="277" s="1"/>
  <c r="AY55" i="295"/>
  <c r="AY31" i="261"/>
  <c r="AY2" i="283"/>
  <c r="AY2" i="295"/>
  <c r="AY25" i="260"/>
  <c r="AY26" i="260" s="1"/>
  <c r="AY28" i="260" s="1"/>
  <c r="AZ28" i="44"/>
  <c r="AZ29" i="44" s="1"/>
  <c r="AZ8" i="260" s="1"/>
  <c r="AZ11" i="260" s="1"/>
  <c r="AZ19" i="260" s="1"/>
  <c r="AZ21" i="260" s="1"/>
  <c r="AZ24" i="260" s="1"/>
  <c r="AZ4" i="283"/>
  <c r="BA3" i="277"/>
  <c r="BA3" i="283"/>
  <c r="AY26" i="252"/>
  <c r="AY17" i="283"/>
  <c r="AY8" i="283"/>
  <c r="T99" i="281"/>
  <c r="T100" i="281" s="1"/>
  <c r="T29" i="277" s="1"/>
  <c r="T114" i="281"/>
  <c r="T116" i="281" s="1"/>
  <c r="T89" i="281"/>
  <c r="U86" i="281" s="1"/>
  <c r="U46" i="281" s="1"/>
  <c r="U47" i="281" s="1"/>
  <c r="U50" i="281" s="1"/>
  <c r="U52" i="281" s="1"/>
  <c r="AY10" i="258"/>
  <c r="AY90" i="46"/>
  <c r="AY15" i="258"/>
  <c r="AY23" i="258"/>
  <c r="AZ48" i="44"/>
  <c r="AZ49" i="44" s="1"/>
  <c r="AZ10" i="258" s="1"/>
  <c r="AZ4" i="277"/>
  <c r="AX25" i="258"/>
  <c r="AX32" i="258" s="1"/>
  <c r="AY61" i="260"/>
  <c r="AY2" i="277"/>
  <c r="AX17" i="258"/>
  <c r="AX31" i="258" s="1"/>
  <c r="AU10" i="49"/>
  <c r="AU24" i="265"/>
  <c r="AW84" i="46"/>
  <c r="AW100" i="46" s="1"/>
  <c r="AW101" i="46" s="1"/>
  <c r="AW112" i="46" s="1"/>
  <c r="AX67" i="46"/>
  <c r="AX69" i="46" s="1"/>
  <c r="AX81" i="46" s="1"/>
  <c r="AX32" i="46"/>
  <c r="AY27" i="46"/>
  <c r="AY28" i="46" s="1"/>
  <c r="AY22" i="46"/>
  <c r="AY23" i="46" s="1"/>
  <c r="AY57" i="46"/>
  <c r="AY58" i="46" s="1"/>
  <c r="AY76" i="46" s="1"/>
  <c r="AY42" i="46"/>
  <c r="AY43" i="46" s="1"/>
  <c r="AY64" i="46" s="1"/>
  <c r="AY17" i="46"/>
  <c r="AY18" i="46" s="1"/>
  <c r="AY52" i="46"/>
  <c r="AY53" i="46" s="1"/>
  <c r="AY72" i="46" s="1"/>
  <c r="AY47" i="46"/>
  <c r="AY48" i="46" s="1"/>
  <c r="AY68" i="46" s="1"/>
  <c r="AY12" i="46"/>
  <c r="AY13" i="46" s="1"/>
  <c r="AX71" i="46"/>
  <c r="AX73" i="46" s="1"/>
  <c r="AX82" i="46" s="1"/>
  <c r="AX33" i="46"/>
  <c r="AV34" i="258"/>
  <c r="AV9" i="49" s="1"/>
  <c r="AW35" i="46"/>
  <c r="AW9" i="258" s="1"/>
  <c r="AW11" i="258" s="1"/>
  <c r="AW30" i="258" s="1"/>
  <c r="AW33" i="258" s="1"/>
  <c r="AW25" i="265" s="1"/>
  <c r="AX75" i="46"/>
  <c r="AX77" i="46" s="1"/>
  <c r="AX83" i="46" s="1"/>
  <c r="AX34" i="46"/>
  <c r="AX63" i="46"/>
  <c r="AX65" i="46" s="1"/>
  <c r="AX80" i="46" s="1"/>
  <c r="AX31" i="46"/>
  <c r="AV91" i="46"/>
  <c r="AV92" i="46" s="1"/>
  <c r="AV111" i="46" s="1"/>
  <c r="AV100" i="46"/>
  <c r="AV101" i="46" s="1"/>
  <c r="AV112" i="46" s="1"/>
  <c r="AT8" i="49"/>
  <c r="AT10" i="49" s="1"/>
  <c r="AT24" i="265"/>
  <c r="AZ37" i="44"/>
  <c r="AZ38" i="44" s="1"/>
  <c r="AZ33" i="44"/>
  <c r="AZ34" i="44" s="1"/>
  <c r="AZ13" i="259" s="1"/>
  <c r="AZ18" i="44"/>
  <c r="AZ19" i="44" s="1"/>
  <c r="AZ23" i="44"/>
  <c r="AZ24" i="44" s="1"/>
  <c r="AZ9" i="295" s="1"/>
  <c r="AY44" i="265"/>
  <c r="AY69" i="260"/>
  <c r="BA3" i="265"/>
  <c r="BA11" i="44"/>
  <c r="BA12" i="44" s="1"/>
  <c r="BA4" i="295" s="1"/>
  <c r="AY48" i="261"/>
  <c r="AY10" i="265"/>
  <c r="AY14" i="265"/>
  <c r="AY89" i="261"/>
  <c r="AY81" i="261"/>
  <c r="AY2" i="265"/>
  <c r="AY16" i="258"/>
  <c r="AY24" i="258"/>
  <c r="AY4" i="258"/>
  <c r="AY4" i="261"/>
  <c r="AY4" i="260"/>
  <c r="AY4" i="259"/>
  <c r="BA3" i="258"/>
  <c r="BA3" i="261"/>
  <c r="BA3" i="260"/>
  <c r="BA3" i="259"/>
  <c r="AY53" i="261"/>
  <c r="AY21" i="259"/>
  <c r="AY2" i="261"/>
  <c r="AY2" i="259"/>
  <c r="AY2" i="260"/>
  <c r="AY2" i="258"/>
  <c r="AY4" i="44"/>
  <c r="AY4" i="257"/>
  <c r="AY4" i="252"/>
  <c r="AY4" i="49"/>
  <c r="AY4" i="46"/>
  <c r="BA3" i="257"/>
  <c r="BA3" i="49"/>
  <c r="BA3" i="46"/>
  <c r="BA3" i="252"/>
  <c r="BA3" i="44"/>
  <c r="BB8" i="44"/>
  <c r="BB3" i="295" s="1"/>
  <c r="AZ4" i="265"/>
  <c r="AY9" i="257"/>
  <c r="AY14" i="257" s="1"/>
  <c r="AZ11" i="257" s="1"/>
  <c r="AY2" i="44"/>
  <c r="AY2" i="257"/>
  <c r="AY2" i="49"/>
  <c r="AY2" i="46"/>
  <c r="AY2" i="252"/>
  <c r="AU40" i="49" l="1"/>
  <c r="AU41" i="277" s="1"/>
  <c r="AT40" i="49"/>
  <c r="AT41" i="277" s="1"/>
  <c r="AZ55" i="295"/>
  <c r="AZ31" i="261"/>
  <c r="AZ2" i="283"/>
  <c r="AZ2" i="295"/>
  <c r="AZ25" i="260"/>
  <c r="AZ26" i="260" s="1"/>
  <c r="AZ28" i="260" s="1"/>
  <c r="BA28" i="44"/>
  <c r="BA29" i="44" s="1"/>
  <c r="BA8" i="260" s="1"/>
  <c r="BA11" i="260" s="1"/>
  <c r="BA19" i="260" s="1"/>
  <c r="BA21" i="260" s="1"/>
  <c r="BA24" i="260" s="1"/>
  <c r="BA4" i="283"/>
  <c r="AZ26" i="252"/>
  <c r="AZ8" i="283"/>
  <c r="AZ17" i="283"/>
  <c r="BB3" i="277"/>
  <c r="BB3" i="283"/>
  <c r="T20" i="277"/>
  <c r="U35" i="281"/>
  <c r="U37" i="281" s="1"/>
  <c r="U125" i="281" s="1"/>
  <c r="U80" i="281"/>
  <c r="U65" i="281"/>
  <c r="U126" i="281"/>
  <c r="AY25" i="258"/>
  <c r="AY32" i="258" s="1"/>
  <c r="AY17" i="258"/>
  <c r="AY31" i="258" s="1"/>
  <c r="AZ99" i="46"/>
  <c r="AZ23" i="258"/>
  <c r="AZ90" i="46"/>
  <c r="AZ15" i="258"/>
  <c r="BA48" i="44"/>
  <c r="BA49" i="44" s="1"/>
  <c r="BA15" i="258" s="1"/>
  <c r="BA4" i="277"/>
  <c r="AZ61" i="260"/>
  <c r="AZ2" i="277"/>
  <c r="AW91" i="46"/>
  <c r="AW92" i="46" s="1"/>
  <c r="AW111" i="46" s="1"/>
  <c r="AW114" i="46" s="1"/>
  <c r="AX35" i="46"/>
  <c r="AX9" i="258" s="1"/>
  <c r="AX11" i="258" s="1"/>
  <c r="AX30" i="258" s="1"/>
  <c r="AX33" i="258" s="1"/>
  <c r="AX25" i="265" s="1"/>
  <c r="AX84" i="46"/>
  <c r="AX91" i="46" s="1"/>
  <c r="AX92" i="46" s="1"/>
  <c r="AX111" i="46" s="1"/>
  <c r="AY32" i="46"/>
  <c r="AY67" i="46"/>
  <c r="AY69" i="46" s="1"/>
  <c r="AY81" i="46" s="1"/>
  <c r="AZ57" i="46"/>
  <c r="AZ58" i="46" s="1"/>
  <c r="AZ76" i="46" s="1"/>
  <c r="AZ17" i="46"/>
  <c r="AZ18" i="46" s="1"/>
  <c r="AZ52" i="46"/>
  <c r="AZ53" i="46" s="1"/>
  <c r="AZ72" i="46" s="1"/>
  <c r="AZ47" i="46"/>
  <c r="AZ48" i="46" s="1"/>
  <c r="AZ68" i="46" s="1"/>
  <c r="AZ42" i="46"/>
  <c r="AZ43" i="46" s="1"/>
  <c r="AZ64" i="46" s="1"/>
  <c r="AZ27" i="46"/>
  <c r="AZ28" i="46" s="1"/>
  <c r="AZ22" i="46"/>
  <c r="AZ23" i="46" s="1"/>
  <c r="AZ12" i="46"/>
  <c r="AZ13" i="46" s="1"/>
  <c r="AY33" i="46"/>
  <c r="AY71" i="46"/>
  <c r="AY73" i="46" s="1"/>
  <c r="AY82" i="46" s="1"/>
  <c r="AY34" i="46"/>
  <c r="AY75" i="46"/>
  <c r="AY77" i="46" s="1"/>
  <c r="AY83" i="46" s="1"/>
  <c r="AV114" i="46"/>
  <c r="AY63" i="46"/>
  <c r="AY65" i="46" s="1"/>
  <c r="AY80" i="46" s="1"/>
  <c r="AY31" i="46"/>
  <c r="AW34" i="258"/>
  <c r="AW9" i="49" s="1"/>
  <c r="BA37" i="44"/>
  <c r="BA38" i="44" s="1"/>
  <c r="BA33" i="44"/>
  <c r="BA34" i="44" s="1"/>
  <c r="BA13" i="259" s="1"/>
  <c r="BA23" i="44"/>
  <c r="BA24" i="44" s="1"/>
  <c r="BA9" i="295" s="1"/>
  <c r="BA18" i="44"/>
  <c r="BA19" i="44" s="1"/>
  <c r="AZ44" i="265"/>
  <c r="AZ69" i="260"/>
  <c r="BB3" i="265"/>
  <c r="BB11" i="44"/>
  <c r="BB12" i="44" s="1"/>
  <c r="BB4" i="295" s="1"/>
  <c r="AZ48" i="261"/>
  <c r="AZ10" i="265"/>
  <c r="AZ14" i="265"/>
  <c r="AZ89" i="261"/>
  <c r="AZ81" i="261"/>
  <c r="AZ2" i="265"/>
  <c r="AZ16" i="258"/>
  <c r="AZ24" i="258"/>
  <c r="AZ53" i="261"/>
  <c r="AZ21" i="259"/>
  <c r="AZ4" i="258"/>
  <c r="AZ4" i="261"/>
  <c r="AZ4" i="260"/>
  <c r="AZ4" i="259"/>
  <c r="AZ2" i="261"/>
  <c r="AZ2" i="260"/>
  <c r="AZ2" i="259"/>
  <c r="BB3" i="258"/>
  <c r="BB3" i="260"/>
  <c r="BB3" i="261"/>
  <c r="BB3" i="259"/>
  <c r="AZ2" i="258"/>
  <c r="AZ2" i="44"/>
  <c r="AZ2" i="49"/>
  <c r="AZ2" i="46"/>
  <c r="AZ2" i="252"/>
  <c r="AZ2" i="257"/>
  <c r="AZ9" i="257"/>
  <c r="AZ14" i="257" s="1"/>
  <c r="BA11" i="257" s="1"/>
  <c r="AZ4" i="44"/>
  <c r="AZ4" i="46"/>
  <c r="AZ4" i="257"/>
  <c r="AZ4" i="49"/>
  <c r="AZ4" i="252"/>
  <c r="BB3" i="257"/>
  <c r="BB3" i="252"/>
  <c r="BB3" i="49"/>
  <c r="BB3" i="46"/>
  <c r="BC8" i="44"/>
  <c r="BC3" i="295" s="1"/>
  <c r="BB3" i="44"/>
  <c r="BA4" i="265"/>
  <c r="BA55" i="295" l="1"/>
  <c r="BA31" i="261"/>
  <c r="BA2" i="283"/>
  <c r="BA2" i="295"/>
  <c r="BA25" i="260"/>
  <c r="BA26" i="260" s="1"/>
  <c r="BA28" i="260" s="1"/>
  <c r="BB28" i="44"/>
  <c r="BB29" i="44" s="1"/>
  <c r="BB8" i="260" s="1"/>
  <c r="BB11" i="260" s="1"/>
  <c r="BB19" i="260" s="1"/>
  <c r="BB21" i="260" s="1"/>
  <c r="BB24" i="260" s="1"/>
  <c r="BB4" i="283"/>
  <c r="BC3" i="277"/>
  <c r="BC3" i="283"/>
  <c r="BA26" i="252"/>
  <c r="BA17" i="283"/>
  <c r="BA8" i="283"/>
  <c r="U40" i="281"/>
  <c r="U64" i="281"/>
  <c r="U67" i="281" s="1"/>
  <c r="U73" i="281" s="1"/>
  <c r="U74" i="281" s="1"/>
  <c r="U127" i="281"/>
  <c r="AZ17" i="258"/>
  <c r="AZ31" i="258" s="1"/>
  <c r="AZ25" i="258"/>
  <c r="AZ32" i="258" s="1"/>
  <c r="BA99" i="46"/>
  <c r="BA10" i="258"/>
  <c r="BA90" i="46"/>
  <c r="BA23" i="258"/>
  <c r="BA61" i="260"/>
  <c r="BA2" i="277"/>
  <c r="BB48" i="44"/>
  <c r="BB49" i="44" s="1"/>
  <c r="BB90" i="46" s="1"/>
  <c r="BB4" i="277"/>
  <c r="AX34" i="258"/>
  <c r="AX9" i="49" s="1"/>
  <c r="AX100" i="46"/>
  <c r="AX101" i="46" s="1"/>
  <c r="AX112" i="46" s="1"/>
  <c r="AX114" i="46" s="1"/>
  <c r="AV8" i="49"/>
  <c r="AV10" i="49" s="1"/>
  <c r="AV24" i="265"/>
  <c r="AW24" i="265"/>
  <c r="AW8" i="49"/>
  <c r="AW10" i="49" s="1"/>
  <c r="AZ75" i="46"/>
  <c r="AZ77" i="46" s="1"/>
  <c r="AZ83" i="46" s="1"/>
  <c r="AZ34" i="46"/>
  <c r="AZ67" i="46"/>
  <c r="AZ69" i="46" s="1"/>
  <c r="AZ81" i="46" s="1"/>
  <c r="AZ32" i="46"/>
  <c r="AY35" i="46"/>
  <c r="AY9" i="258" s="1"/>
  <c r="AY11" i="258" s="1"/>
  <c r="AY30" i="258" s="1"/>
  <c r="AY33" i="258" s="1"/>
  <c r="AY25" i="265" s="1"/>
  <c r="AZ33" i="46"/>
  <c r="AZ71" i="46"/>
  <c r="AZ73" i="46" s="1"/>
  <c r="AZ82" i="46" s="1"/>
  <c r="BA47" i="46"/>
  <c r="BA48" i="46" s="1"/>
  <c r="BA68" i="46" s="1"/>
  <c r="BA42" i="46"/>
  <c r="BA43" i="46" s="1"/>
  <c r="BA64" i="46" s="1"/>
  <c r="BA52" i="46"/>
  <c r="BA53" i="46" s="1"/>
  <c r="BA72" i="46" s="1"/>
  <c r="BA27" i="46"/>
  <c r="BA28" i="46" s="1"/>
  <c r="BA12" i="46"/>
  <c r="BA13" i="46" s="1"/>
  <c r="BA57" i="46"/>
  <c r="BA58" i="46" s="1"/>
  <c r="BA76" i="46" s="1"/>
  <c r="BA22" i="46"/>
  <c r="BA23" i="46" s="1"/>
  <c r="BA17" i="46"/>
  <c r="BA18" i="46" s="1"/>
  <c r="AY84" i="46"/>
  <c r="AZ63" i="46"/>
  <c r="AZ65" i="46" s="1"/>
  <c r="AZ80" i="46" s="1"/>
  <c r="AZ31" i="46"/>
  <c r="BB18" i="44"/>
  <c r="BB19" i="44" s="1"/>
  <c r="BB33" i="44"/>
  <c r="BB34" i="44" s="1"/>
  <c r="BB13" i="259" s="1"/>
  <c r="BB23" i="44"/>
  <c r="BB24" i="44" s="1"/>
  <c r="BB9" i="295" s="1"/>
  <c r="BB37" i="44"/>
  <c r="BB38" i="44" s="1"/>
  <c r="BA44" i="265"/>
  <c r="BA69" i="260"/>
  <c r="BC3" i="265"/>
  <c r="BC11" i="44"/>
  <c r="BC12" i="44" s="1"/>
  <c r="BC4" i="295" s="1"/>
  <c r="BA48" i="261"/>
  <c r="BA10" i="265"/>
  <c r="BA14" i="265"/>
  <c r="BA89" i="261"/>
  <c r="BA81" i="261"/>
  <c r="BA2" i="265"/>
  <c r="BA24" i="258"/>
  <c r="BA16" i="258"/>
  <c r="BA17" i="258" s="1"/>
  <c r="BA31" i="258" s="1"/>
  <c r="BA2" i="260"/>
  <c r="BA2" i="259"/>
  <c r="BA2" i="261"/>
  <c r="BC3" i="258"/>
  <c r="BC3" i="261"/>
  <c r="BC3" i="260"/>
  <c r="BC3" i="259"/>
  <c r="BA53" i="261"/>
  <c r="BA21" i="259"/>
  <c r="BA4" i="258"/>
  <c r="BA4" i="260"/>
  <c r="BA4" i="261"/>
  <c r="BA4" i="259"/>
  <c r="BA2" i="258"/>
  <c r="BC3" i="257"/>
  <c r="BC3" i="46"/>
  <c r="BC3" i="49"/>
  <c r="BC3" i="252"/>
  <c r="BD8" i="44"/>
  <c r="BD3" i="295" s="1"/>
  <c r="BC3" i="44"/>
  <c r="BA4" i="44"/>
  <c r="BA4" i="257"/>
  <c r="BA4" i="46"/>
  <c r="BA4" i="49"/>
  <c r="BA4" i="252"/>
  <c r="BA2" i="44"/>
  <c r="BA2" i="257"/>
  <c r="BA2" i="49"/>
  <c r="BA2" i="46"/>
  <c r="BA2" i="252"/>
  <c r="BB4" i="265"/>
  <c r="BA9" i="257"/>
  <c r="BA14" i="257" s="1"/>
  <c r="BB11" i="257" s="1"/>
  <c r="AW40" i="49" l="1"/>
  <c r="AW41" i="277" s="1"/>
  <c r="AV40" i="49"/>
  <c r="AV41" i="277" s="1"/>
  <c r="BB55" i="295"/>
  <c r="BB31" i="261"/>
  <c r="BB2" i="283"/>
  <c r="BB2" i="295"/>
  <c r="BB25" i="260"/>
  <c r="BC28" i="44"/>
  <c r="BC29" i="44" s="1"/>
  <c r="BC8" i="260" s="1"/>
  <c r="BC11" i="260" s="1"/>
  <c r="BC19" i="260" s="1"/>
  <c r="BC21" i="260" s="1"/>
  <c r="BC24" i="260" s="1"/>
  <c r="BC4" i="283"/>
  <c r="BD3" i="277"/>
  <c r="BD3" i="283"/>
  <c r="BB26" i="252"/>
  <c r="BB17" i="283"/>
  <c r="BB8" i="283"/>
  <c r="BB26" i="260"/>
  <c r="BB28" i="260" s="1"/>
  <c r="U94" i="281"/>
  <c r="U77" i="281"/>
  <c r="U78" i="281" s="1"/>
  <c r="BB99" i="46"/>
  <c r="BA25" i="258"/>
  <c r="BA32" i="258" s="1"/>
  <c r="BB10" i="258"/>
  <c r="BB15" i="258"/>
  <c r="BB23" i="258"/>
  <c r="BC48" i="44"/>
  <c r="BC49" i="44" s="1"/>
  <c r="BC90" i="46" s="1"/>
  <c r="BC4" i="277"/>
  <c r="BB61" i="260"/>
  <c r="BB2" i="277"/>
  <c r="AZ84" i="46"/>
  <c r="AZ91" i="46" s="1"/>
  <c r="AZ92" i="46" s="1"/>
  <c r="AZ111" i="46" s="1"/>
  <c r="AY34" i="258"/>
  <c r="AY9" i="49" s="1"/>
  <c r="BB17" i="46"/>
  <c r="BB18" i="46" s="1"/>
  <c r="BB52" i="46"/>
  <c r="BB53" i="46" s="1"/>
  <c r="BB72" i="46" s="1"/>
  <c r="BB27" i="46"/>
  <c r="BB28" i="46" s="1"/>
  <c r="BB57" i="46"/>
  <c r="BB58" i="46" s="1"/>
  <c r="BB76" i="46" s="1"/>
  <c r="BB47" i="46"/>
  <c r="BB48" i="46" s="1"/>
  <c r="BB68" i="46" s="1"/>
  <c r="BB42" i="46"/>
  <c r="BB43" i="46" s="1"/>
  <c r="BB64" i="46" s="1"/>
  <c r="BB12" i="46"/>
  <c r="BB13" i="46" s="1"/>
  <c r="BB22" i="46"/>
  <c r="BB23" i="46" s="1"/>
  <c r="BA63" i="46"/>
  <c r="BA65" i="46" s="1"/>
  <c r="BA80" i="46" s="1"/>
  <c r="BA31" i="46"/>
  <c r="AZ35" i="46"/>
  <c r="AZ9" i="258" s="1"/>
  <c r="AZ11" i="258" s="1"/>
  <c r="AZ30" i="258" s="1"/>
  <c r="AZ33" i="258" s="1"/>
  <c r="AZ25" i="265" s="1"/>
  <c r="BA34" i="46"/>
  <c r="BA75" i="46"/>
  <c r="BA77" i="46" s="1"/>
  <c r="BA83" i="46" s="1"/>
  <c r="AY91" i="46"/>
  <c r="AY92" i="46" s="1"/>
  <c r="AY111" i="46" s="1"/>
  <c r="AY100" i="46"/>
  <c r="AY101" i="46" s="1"/>
  <c r="AY112" i="46" s="1"/>
  <c r="AX24" i="265"/>
  <c r="AX8" i="49"/>
  <c r="AX10" i="49" s="1"/>
  <c r="BA67" i="46"/>
  <c r="BA69" i="46" s="1"/>
  <c r="BA81" i="46" s="1"/>
  <c r="BA32" i="46"/>
  <c r="BA71" i="46"/>
  <c r="BA73" i="46" s="1"/>
  <c r="BA82" i="46" s="1"/>
  <c r="BA33" i="46"/>
  <c r="BC33" i="44"/>
  <c r="BC34" i="44" s="1"/>
  <c r="BC13" i="259" s="1"/>
  <c r="BC23" i="44"/>
  <c r="BC24" i="44" s="1"/>
  <c r="BC9" i="295" s="1"/>
  <c r="BC37" i="44"/>
  <c r="BC38" i="44" s="1"/>
  <c r="BC18" i="44"/>
  <c r="BC19" i="44" s="1"/>
  <c r="BB44" i="265"/>
  <c r="BB69" i="260"/>
  <c r="BD3" i="265"/>
  <c r="BD11" i="44"/>
  <c r="BD12" i="44" s="1"/>
  <c r="BD4" i="295" s="1"/>
  <c r="BB48" i="261"/>
  <c r="BB10" i="265"/>
  <c r="BB14" i="265"/>
  <c r="BB81" i="261"/>
  <c r="BB89" i="261"/>
  <c r="BB2" i="265"/>
  <c r="BB24" i="258"/>
  <c r="BB16" i="258"/>
  <c r="BB53" i="261"/>
  <c r="BB21" i="259"/>
  <c r="BD3" i="258"/>
  <c r="BD3" i="260"/>
  <c r="BD3" i="261"/>
  <c r="BD3" i="259"/>
  <c r="BB4" i="258"/>
  <c r="BB4" i="261"/>
  <c r="BB4" i="260"/>
  <c r="BB4" i="259"/>
  <c r="BB2" i="261"/>
  <c r="BB2" i="260"/>
  <c r="BB2" i="259"/>
  <c r="BB2" i="258"/>
  <c r="BB9" i="257"/>
  <c r="BB14" i="257" s="1"/>
  <c r="BC11" i="257" s="1"/>
  <c r="BD3" i="257"/>
  <c r="BD3" i="49"/>
  <c r="BD3" i="46"/>
  <c r="BD3" i="252"/>
  <c r="BE8" i="44"/>
  <c r="BE3" i="295" s="1"/>
  <c r="BD3" i="44"/>
  <c r="BC4" i="265"/>
  <c r="BB4" i="44"/>
  <c r="BB4" i="49"/>
  <c r="BB4" i="257"/>
  <c r="BB4" i="46"/>
  <c r="BB4" i="252"/>
  <c r="BB2" i="44"/>
  <c r="BB2" i="257"/>
  <c r="BB2" i="49"/>
  <c r="BB2" i="46"/>
  <c r="BB2" i="252"/>
  <c r="AX40" i="49" l="1"/>
  <c r="AX41" i="277" s="1"/>
  <c r="BC55" i="295"/>
  <c r="BC31" i="261"/>
  <c r="BC2" i="283"/>
  <c r="BC2" i="295"/>
  <c r="BC25" i="260"/>
  <c r="BC26" i="260" s="1"/>
  <c r="BC28" i="260" s="1"/>
  <c r="BD28" i="44"/>
  <c r="BD29" i="44" s="1"/>
  <c r="BD25" i="260" s="1"/>
  <c r="BD4" i="283"/>
  <c r="BC26" i="252"/>
  <c r="BC8" i="283"/>
  <c r="BC11" i="283" s="1"/>
  <c r="BC17" i="283"/>
  <c r="BE3" i="277"/>
  <c r="BE3" i="283"/>
  <c r="U87" i="281"/>
  <c r="U81" i="281"/>
  <c r="U83" i="281" s="1"/>
  <c r="U88" i="281" s="1"/>
  <c r="U95" i="281"/>
  <c r="U96" i="281" s="1"/>
  <c r="BB17" i="258"/>
  <c r="BB31" i="258" s="1"/>
  <c r="BC23" i="258"/>
  <c r="BC15" i="258"/>
  <c r="BC99" i="46"/>
  <c r="BB25" i="258"/>
  <c r="BB32" i="258" s="1"/>
  <c r="BC10" i="258"/>
  <c r="BD48" i="44"/>
  <c r="BD49" i="44" s="1"/>
  <c r="BD90" i="46" s="1"/>
  <c r="BD4" i="277"/>
  <c r="BC61" i="260"/>
  <c r="BC2" i="277"/>
  <c r="AZ100" i="46"/>
  <c r="AZ101" i="46" s="1"/>
  <c r="AZ112" i="46" s="1"/>
  <c r="AZ114" i="46" s="1"/>
  <c r="AY114" i="46"/>
  <c r="AY24" i="265" s="1"/>
  <c r="BB63" i="46"/>
  <c r="BB65" i="46" s="1"/>
  <c r="BB80" i="46" s="1"/>
  <c r="BB31" i="46"/>
  <c r="BB33" i="46"/>
  <c r="BB71" i="46"/>
  <c r="BB73" i="46" s="1"/>
  <c r="BB82" i="46" s="1"/>
  <c r="BA84" i="46"/>
  <c r="BB34" i="46"/>
  <c r="BB75" i="46"/>
  <c r="BB77" i="46" s="1"/>
  <c r="BB83" i="46" s="1"/>
  <c r="BC57" i="46"/>
  <c r="BC58" i="46" s="1"/>
  <c r="BC76" i="46" s="1"/>
  <c r="BC52" i="46"/>
  <c r="BC53" i="46" s="1"/>
  <c r="BC72" i="46" s="1"/>
  <c r="BC12" i="46"/>
  <c r="BC13" i="46" s="1"/>
  <c r="BC22" i="46"/>
  <c r="BC23" i="46" s="1"/>
  <c r="BC42" i="46"/>
  <c r="BC43" i="46" s="1"/>
  <c r="BC64" i="46" s="1"/>
  <c r="BC47" i="46"/>
  <c r="BC48" i="46" s="1"/>
  <c r="BC68" i="46" s="1"/>
  <c r="BC27" i="46"/>
  <c r="BC28" i="46" s="1"/>
  <c r="BC17" i="46"/>
  <c r="BC18" i="46" s="1"/>
  <c r="BA35" i="46"/>
  <c r="BA9" i="258" s="1"/>
  <c r="BA11" i="258" s="1"/>
  <c r="BA30" i="258" s="1"/>
  <c r="BA33" i="258" s="1"/>
  <c r="BA25" i="265" s="1"/>
  <c r="AZ34" i="258"/>
  <c r="AZ9" i="49" s="1"/>
  <c r="BB32" i="46"/>
  <c r="BB67" i="46"/>
  <c r="BB69" i="46" s="1"/>
  <c r="BB81" i="46" s="1"/>
  <c r="BD33" i="44"/>
  <c r="BD34" i="44" s="1"/>
  <c r="BD13" i="259" s="1"/>
  <c r="BD23" i="44"/>
  <c r="BD24" i="44" s="1"/>
  <c r="BD9" i="295" s="1"/>
  <c r="BD37" i="44"/>
  <c r="BD38" i="44" s="1"/>
  <c r="BD18" i="44"/>
  <c r="BD19" i="44" s="1"/>
  <c r="BC44" i="265"/>
  <c r="BC69" i="260"/>
  <c r="BE3" i="265"/>
  <c r="BE11" i="44"/>
  <c r="BE12" i="44" s="1"/>
  <c r="BE4" i="295" s="1"/>
  <c r="BC48" i="261"/>
  <c r="BC10" i="265"/>
  <c r="BC14" i="265"/>
  <c r="BC89" i="261"/>
  <c r="BC81" i="261"/>
  <c r="BC2" i="265"/>
  <c r="BC24" i="258"/>
  <c r="BC16" i="258"/>
  <c r="BE3" i="258"/>
  <c r="BE3" i="261"/>
  <c r="BE3" i="260"/>
  <c r="BE3" i="259"/>
  <c r="BC4" i="258"/>
  <c r="BC4" i="260"/>
  <c r="BC4" i="259"/>
  <c r="BC4" i="261"/>
  <c r="BC53" i="261"/>
  <c r="BC21" i="259"/>
  <c r="BC2" i="261"/>
  <c r="BC2" i="260"/>
  <c r="BC2" i="259"/>
  <c r="BC2" i="258"/>
  <c r="BC9" i="257"/>
  <c r="BC14" i="257" s="1"/>
  <c r="BD11" i="257" s="1"/>
  <c r="BC2" i="44"/>
  <c r="BC2" i="257"/>
  <c r="BC2" i="46"/>
  <c r="BC2" i="252"/>
  <c r="BC2" i="49"/>
  <c r="BD4" i="265"/>
  <c r="BE3" i="257"/>
  <c r="BE3" i="49"/>
  <c r="BE3" i="252"/>
  <c r="BE3" i="46"/>
  <c r="BF8" i="44"/>
  <c r="BF3" i="295" s="1"/>
  <c r="BE3" i="44"/>
  <c r="BC4" i="44"/>
  <c r="BC4" i="49"/>
  <c r="BC4" i="252"/>
  <c r="BC4" i="46"/>
  <c r="BC4" i="257"/>
  <c r="BD55" i="295" l="1"/>
  <c r="BD31" i="261"/>
  <c r="BD2" i="283"/>
  <c r="BD2" i="295"/>
  <c r="BD8" i="260"/>
  <c r="BD11" i="260" s="1"/>
  <c r="BD19" i="260" s="1"/>
  <c r="BD21" i="260" s="1"/>
  <c r="BD24" i="260" s="1"/>
  <c r="BD26" i="260" s="1"/>
  <c r="BD28" i="260" s="1"/>
  <c r="BE28" i="44"/>
  <c r="BE29" i="44" s="1"/>
  <c r="BE25" i="260" s="1"/>
  <c r="BE4" i="283"/>
  <c r="BF3" i="277"/>
  <c r="BF3" i="283"/>
  <c r="BD26" i="252"/>
  <c r="BD8" i="283"/>
  <c r="BD11" i="283" s="1"/>
  <c r="BD17" i="283"/>
  <c r="U99" i="281"/>
  <c r="U100" i="281" s="1"/>
  <c r="U20" i="277" s="1"/>
  <c r="U114" i="281"/>
  <c r="U116" i="281" s="1"/>
  <c r="U89" i="281"/>
  <c r="V86" i="281" s="1"/>
  <c r="BD99" i="46"/>
  <c r="BC17" i="258"/>
  <c r="BC31" i="258" s="1"/>
  <c r="BD10" i="258"/>
  <c r="BC25" i="258"/>
  <c r="BC32" i="258" s="1"/>
  <c r="BD15" i="258"/>
  <c r="BD23" i="258"/>
  <c r="BE48" i="44"/>
  <c r="BE49" i="44" s="1"/>
  <c r="BE10" i="258" s="1"/>
  <c r="BE4" i="277"/>
  <c r="BD61" i="260"/>
  <c r="BD2" i="277"/>
  <c r="AY8" i="49"/>
  <c r="AY10" i="49" s="1"/>
  <c r="BB35" i="46"/>
  <c r="BB9" i="258" s="1"/>
  <c r="BB11" i="258" s="1"/>
  <c r="BB30" i="258" s="1"/>
  <c r="BB33" i="258" s="1"/>
  <c r="BB25" i="265" s="1"/>
  <c r="BA100" i="46"/>
  <c r="BA101" i="46" s="1"/>
  <c r="BA112" i="46" s="1"/>
  <c r="BA91" i="46"/>
  <c r="BA92" i="46" s="1"/>
  <c r="BA111" i="46" s="1"/>
  <c r="BC32" i="46"/>
  <c r="BC67" i="46"/>
  <c r="BC69" i="46" s="1"/>
  <c r="BC81" i="46" s="1"/>
  <c r="BC75" i="46"/>
  <c r="BC77" i="46" s="1"/>
  <c r="BC83" i="46" s="1"/>
  <c r="BC34" i="46"/>
  <c r="BC63" i="46"/>
  <c r="BC65" i="46" s="1"/>
  <c r="BC80" i="46" s="1"/>
  <c r="BC31" i="46"/>
  <c r="BB84" i="46"/>
  <c r="BA34" i="258"/>
  <c r="BA9" i="49" s="1"/>
  <c r="BD42" i="46"/>
  <c r="BD43" i="46" s="1"/>
  <c r="BD64" i="46" s="1"/>
  <c r="BD27" i="46"/>
  <c r="BD28" i="46" s="1"/>
  <c r="BD47" i="46"/>
  <c r="BD48" i="46" s="1"/>
  <c r="BD68" i="46" s="1"/>
  <c r="BD52" i="46"/>
  <c r="BD53" i="46" s="1"/>
  <c r="BD72" i="46" s="1"/>
  <c r="BD22" i="46"/>
  <c r="BD23" i="46" s="1"/>
  <c r="BD17" i="46"/>
  <c r="BD18" i="46" s="1"/>
  <c r="BD57" i="46"/>
  <c r="BD58" i="46" s="1"/>
  <c r="BD76" i="46" s="1"/>
  <c r="BD12" i="46"/>
  <c r="BD13" i="46" s="1"/>
  <c r="BC33" i="46"/>
  <c r="BC71" i="46"/>
  <c r="BC73" i="46" s="1"/>
  <c r="BC82" i="46" s="1"/>
  <c r="AZ8" i="49"/>
  <c r="AZ10" i="49" s="1"/>
  <c r="AZ24" i="265"/>
  <c r="BE37" i="44"/>
  <c r="BE38" i="44" s="1"/>
  <c r="BE33" i="44"/>
  <c r="BE34" i="44" s="1"/>
  <c r="BE13" i="259" s="1"/>
  <c r="BE23" i="44"/>
  <c r="BE24" i="44" s="1"/>
  <c r="BE9" i="295" s="1"/>
  <c r="BE18" i="44"/>
  <c r="BE19" i="44" s="1"/>
  <c r="BD44" i="265"/>
  <c r="BD69" i="260"/>
  <c r="BF3" i="265"/>
  <c r="BF11" i="44"/>
  <c r="BF12" i="44" s="1"/>
  <c r="BF4" i="295" s="1"/>
  <c r="BD48" i="261"/>
  <c r="BD10" i="265"/>
  <c r="BD14" i="265"/>
  <c r="BD81" i="261"/>
  <c r="BD89" i="261"/>
  <c r="BD2" i="265"/>
  <c r="BD24" i="258"/>
  <c r="BD16" i="258"/>
  <c r="BD4" i="258"/>
  <c r="BD4" i="260"/>
  <c r="BD4" i="259"/>
  <c r="BD4" i="261"/>
  <c r="BD53" i="261"/>
  <c r="BD21" i="259"/>
  <c r="BD2" i="261"/>
  <c r="BD2" i="260"/>
  <c r="BD2" i="259"/>
  <c r="BF3" i="258"/>
  <c r="BF3" i="261"/>
  <c r="BF3" i="259"/>
  <c r="BF3" i="260"/>
  <c r="BD2" i="258"/>
  <c r="BE4" i="265"/>
  <c r="BD4" i="44"/>
  <c r="BD4" i="257"/>
  <c r="BD4" i="49"/>
  <c r="BD4" i="252"/>
  <c r="BD4" i="46"/>
  <c r="BD9" i="257"/>
  <c r="BD14" i="257" s="1"/>
  <c r="BE11" i="257" s="1"/>
  <c r="BF3" i="49"/>
  <c r="BF3" i="252"/>
  <c r="BF3" i="257"/>
  <c r="BF3" i="46"/>
  <c r="BG8" i="44"/>
  <c r="BG3" i="295" s="1"/>
  <c r="BF3" i="44"/>
  <c r="BD2" i="44"/>
  <c r="BD2" i="257"/>
  <c r="BD2" i="49"/>
  <c r="BD2" i="252"/>
  <c r="BD2" i="46"/>
  <c r="AZ40" i="49" l="1"/>
  <c r="AZ41" i="277" s="1"/>
  <c r="AY40" i="49"/>
  <c r="AY41" i="277" s="1"/>
  <c r="BE55" i="295"/>
  <c r="BE31" i="261"/>
  <c r="BE2" i="283"/>
  <c r="BE2" i="295"/>
  <c r="BE8" i="260"/>
  <c r="BE11" i="260" s="1"/>
  <c r="BE19" i="260" s="1"/>
  <c r="BE21" i="260" s="1"/>
  <c r="BE24" i="260" s="1"/>
  <c r="BE26" i="260" s="1"/>
  <c r="BE28" i="260" s="1"/>
  <c r="BF28" i="44"/>
  <c r="BF29" i="44" s="1"/>
  <c r="BF25" i="260" s="1"/>
  <c r="BF4" i="283"/>
  <c r="U29" i="277"/>
  <c r="BG3" i="277"/>
  <c r="BG3" i="283"/>
  <c r="BE26" i="252"/>
  <c r="BE17" i="283"/>
  <c r="BE8" i="283"/>
  <c r="BE11" i="283" s="1"/>
  <c r="V46" i="281"/>
  <c r="V47" i="281" s="1"/>
  <c r="V50" i="281" s="1"/>
  <c r="V52" i="281" s="1"/>
  <c r="V80" i="281"/>
  <c r="V35" i="281"/>
  <c r="V37" i="281" s="1"/>
  <c r="BD17" i="258"/>
  <c r="BD31" i="258" s="1"/>
  <c r="BD25" i="258"/>
  <c r="BD32" i="258" s="1"/>
  <c r="BE23" i="258"/>
  <c r="BE15" i="258"/>
  <c r="BE90" i="46"/>
  <c r="BE99" i="46"/>
  <c r="BF48" i="44"/>
  <c r="BF49" i="44" s="1"/>
  <c r="BF23" i="258" s="1"/>
  <c r="BF4" i="277"/>
  <c r="BE61" i="260"/>
  <c r="BE2" i="277"/>
  <c r="BA114" i="46"/>
  <c r="BA8" i="49" s="1"/>
  <c r="BA10" i="49" s="1"/>
  <c r="BB34" i="258"/>
  <c r="BB9" i="49" s="1"/>
  <c r="BB91" i="46"/>
  <c r="BB92" i="46" s="1"/>
  <c r="BB111" i="46" s="1"/>
  <c r="BB100" i="46"/>
  <c r="BB101" i="46" s="1"/>
  <c r="BB112" i="46" s="1"/>
  <c r="BD63" i="46"/>
  <c r="BD65" i="46" s="1"/>
  <c r="BD80" i="46" s="1"/>
  <c r="BD31" i="46"/>
  <c r="BD33" i="46"/>
  <c r="BD71" i="46"/>
  <c r="BD73" i="46" s="1"/>
  <c r="BD82" i="46" s="1"/>
  <c r="BC35" i="46"/>
  <c r="BC9" i="258" s="1"/>
  <c r="BC11" i="258" s="1"/>
  <c r="BC30" i="258" s="1"/>
  <c r="BC33" i="258" s="1"/>
  <c r="BC25" i="265" s="1"/>
  <c r="BC84" i="46"/>
  <c r="BE12" i="46"/>
  <c r="BE13" i="46" s="1"/>
  <c r="BE22" i="46"/>
  <c r="BE23" i="46" s="1"/>
  <c r="BE57" i="46"/>
  <c r="BE58" i="46" s="1"/>
  <c r="BE76" i="46" s="1"/>
  <c r="BE17" i="46"/>
  <c r="BE18" i="46" s="1"/>
  <c r="BE42" i="46"/>
  <c r="BE43" i="46" s="1"/>
  <c r="BE64" i="46" s="1"/>
  <c r="BE27" i="46"/>
  <c r="BE28" i="46" s="1"/>
  <c r="BE47" i="46"/>
  <c r="BE48" i="46" s="1"/>
  <c r="BE68" i="46" s="1"/>
  <c r="BE52" i="46"/>
  <c r="BE53" i="46" s="1"/>
  <c r="BE72" i="46" s="1"/>
  <c r="BD75" i="46"/>
  <c r="BD77" i="46" s="1"/>
  <c r="BD83" i="46" s="1"/>
  <c r="BD34" i="46"/>
  <c r="BD67" i="46"/>
  <c r="BD69" i="46" s="1"/>
  <c r="BD81" i="46" s="1"/>
  <c r="BD32" i="46"/>
  <c r="BF18" i="44"/>
  <c r="BF19" i="44" s="1"/>
  <c r="BF23" i="44"/>
  <c r="BF24" i="44" s="1"/>
  <c r="BF9" i="295" s="1"/>
  <c r="BF37" i="44"/>
  <c r="BF38" i="44" s="1"/>
  <c r="BF33" i="44"/>
  <c r="BF34" i="44" s="1"/>
  <c r="BF13" i="259" s="1"/>
  <c r="BE44" i="265"/>
  <c r="BE69" i="260"/>
  <c r="BG3" i="265"/>
  <c r="BG11" i="44"/>
  <c r="BG12" i="44" s="1"/>
  <c r="BG4" i="295" s="1"/>
  <c r="BE48" i="261"/>
  <c r="BE10" i="265"/>
  <c r="BE14" i="265"/>
  <c r="BE89" i="261"/>
  <c r="BE81" i="261"/>
  <c r="BE2" i="265"/>
  <c r="BE16" i="258"/>
  <c r="BE24" i="258"/>
  <c r="BE53" i="261"/>
  <c r="BE21" i="259"/>
  <c r="BE4" i="258"/>
  <c r="BE4" i="261"/>
  <c r="BE4" i="259"/>
  <c r="BE4" i="260"/>
  <c r="BG3" i="258"/>
  <c r="BG3" i="261"/>
  <c r="BG3" i="260"/>
  <c r="BG3" i="259"/>
  <c r="BE2" i="260"/>
  <c r="BE2" i="261"/>
  <c r="BE2" i="259"/>
  <c r="BE2" i="258"/>
  <c r="BG3" i="49"/>
  <c r="BG3" i="252"/>
  <c r="BG3" i="46"/>
  <c r="BG3" i="257"/>
  <c r="BG3" i="44"/>
  <c r="BH8" i="44"/>
  <c r="BH3" i="295" s="1"/>
  <c r="BE4" i="44"/>
  <c r="BE4" i="257"/>
  <c r="BE4" i="252"/>
  <c r="BE4" i="46"/>
  <c r="BE4" i="49"/>
  <c r="BE9" i="257"/>
  <c r="BE14" i="257" s="1"/>
  <c r="BF11" i="257" s="1"/>
  <c r="BF4" i="265"/>
  <c r="BE2" i="44"/>
  <c r="BE2" i="257"/>
  <c r="BE2" i="252"/>
  <c r="BE2" i="49"/>
  <c r="BE2" i="46"/>
  <c r="BA40" i="49" l="1"/>
  <c r="BA41" i="277" s="1"/>
  <c r="BF55" i="295"/>
  <c r="BF31" i="261"/>
  <c r="BF2" i="283"/>
  <c r="BF2" i="295"/>
  <c r="BF8" i="260"/>
  <c r="BF11" i="260" s="1"/>
  <c r="BF19" i="260" s="1"/>
  <c r="BF21" i="260" s="1"/>
  <c r="BF24" i="260" s="1"/>
  <c r="BF26" i="260" s="1"/>
  <c r="BF28" i="260" s="1"/>
  <c r="BG28" i="44"/>
  <c r="BG29" i="44" s="1"/>
  <c r="BG8" i="260" s="1"/>
  <c r="BG11" i="260" s="1"/>
  <c r="BG19" i="260" s="1"/>
  <c r="BG21" i="260" s="1"/>
  <c r="BG24" i="260" s="1"/>
  <c r="BG4" i="283"/>
  <c r="BH3" i="277"/>
  <c r="BH3" i="283"/>
  <c r="BF26" i="252"/>
  <c r="BF8" i="283"/>
  <c r="BF11" i="283" s="1"/>
  <c r="BF17" i="283"/>
  <c r="V125" i="281"/>
  <c r="V40" i="281"/>
  <c r="V64" i="281"/>
  <c r="V65" i="281"/>
  <c r="V126" i="281"/>
  <c r="BE25" i="258"/>
  <c r="BE32" i="258" s="1"/>
  <c r="BE17" i="258"/>
  <c r="BE31" i="258" s="1"/>
  <c r="BF90" i="46"/>
  <c r="BF99" i="46"/>
  <c r="BF10" i="258"/>
  <c r="BF15" i="258"/>
  <c r="BG48" i="44"/>
  <c r="BG49" i="44" s="1"/>
  <c r="BG23" i="258" s="1"/>
  <c r="BG4" i="277"/>
  <c r="BF61" i="260"/>
  <c r="BF2" i="277"/>
  <c r="BA24" i="265"/>
  <c r="BD35" i="46"/>
  <c r="BD9" i="258" s="1"/>
  <c r="BD11" i="258" s="1"/>
  <c r="BD30" i="258" s="1"/>
  <c r="BD33" i="258" s="1"/>
  <c r="BD25" i="265" s="1"/>
  <c r="BE63" i="46"/>
  <c r="BE65" i="46" s="1"/>
  <c r="BE80" i="46" s="1"/>
  <c r="BE31" i="46"/>
  <c r="BC34" i="258"/>
  <c r="BC9" i="49" s="1"/>
  <c r="BC91" i="46"/>
  <c r="BC92" i="46" s="1"/>
  <c r="BC111" i="46" s="1"/>
  <c r="BC100" i="46"/>
  <c r="BC101" i="46" s="1"/>
  <c r="BC112" i="46" s="1"/>
  <c r="BD84" i="46"/>
  <c r="BE75" i="46"/>
  <c r="BE77" i="46" s="1"/>
  <c r="BE83" i="46" s="1"/>
  <c r="BE34" i="46"/>
  <c r="BF52" i="46"/>
  <c r="BF53" i="46" s="1"/>
  <c r="BF72" i="46" s="1"/>
  <c r="BF47" i="46"/>
  <c r="BF48" i="46" s="1"/>
  <c r="BF68" i="46" s="1"/>
  <c r="BF57" i="46"/>
  <c r="BF58" i="46" s="1"/>
  <c r="BF76" i="46" s="1"/>
  <c r="BF22" i="46"/>
  <c r="BF23" i="46" s="1"/>
  <c r="BF42" i="46"/>
  <c r="BF43" i="46" s="1"/>
  <c r="BF64" i="46" s="1"/>
  <c r="BF27" i="46"/>
  <c r="BF28" i="46" s="1"/>
  <c r="BF17" i="46"/>
  <c r="BF18" i="46" s="1"/>
  <c r="BF12" i="46"/>
  <c r="BF13" i="46" s="1"/>
  <c r="BE67" i="46"/>
  <c r="BE69" i="46" s="1"/>
  <c r="BE81" i="46" s="1"/>
  <c r="BE32" i="46"/>
  <c r="BE33" i="46"/>
  <c r="BE71" i="46"/>
  <c r="BE73" i="46" s="1"/>
  <c r="BE82" i="46" s="1"/>
  <c r="BB114" i="46"/>
  <c r="BG23" i="44"/>
  <c r="BG24" i="44" s="1"/>
  <c r="BG9" i="295" s="1"/>
  <c r="BG37" i="44"/>
  <c r="BG38" i="44" s="1"/>
  <c r="BG18" i="44"/>
  <c r="BG19" i="44" s="1"/>
  <c r="BG33" i="44"/>
  <c r="BG34" i="44" s="1"/>
  <c r="BG13" i="259" s="1"/>
  <c r="BF44" i="265"/>
  <c r="BF69" i="260"/>
  <c r="BH3" i="265"/>
  <c r="BH11" i="44"/>
  <c r="BH12" i="44" s="1"/>
  <c r="BH4" i="295" s="1"/>
  <c r="BF48" i="261"/>
  <c r="BF10" i="265"/>
  <c r="BF14" i="265"/>
  <c r="BF89" i="261"/>
  <c r="BF81" i="261"/>
  <c r="BF2" i="265"/>
  <c r="BF16" i="258"/>
  <c r="BF24" i="258"/>
  <c r="BF25" i="258" s="1"/>
  <c r="BF32" i="258" s="1"/>
  <c r="BF2" i="261"/>
  <c r="BF2" i="260"/>
  <c r="BF2" i="259"/>
  <c r="BF4" i="258"/>
  <c r="BF4" i="261"/>
  <c r="BF4" i="260"/>
  <c r="BF4" i="259"/>
  <c r="BH3" i="258"/>
  <c r="BH3" i="261"/>
  <c r="BH3" i="260"/>
  <c r="BH3" i="259"/>
  <c r="BF21" i="259"/>
  <c r="BF53" i="261"/>
  <c r="BF2" i="258"/>
  <c r="BH3" i="257"/>
  <c r="BH3" i="46"/>
  <c r="BH3" i="252"/>
  <c r="BH3" i="49"/>
  <c r="BI8" i="44"/>
  <c r="BI3" i="295" s="1"/>
  <c r="BH3" i="44"/>
  <c r="BG4" i="265"/>
  <c r="BF9" i="257"/>
  <c r="BF14" i="257" s="1"/>
  <c r="BG11" i="257" s="1"/>
  <c r="BF2" i="44"/>
  <c r="BF2" i="46"/>
  <c r="BF2" i="49"/>
  <c r="BF2" i="257"/>
  <c r="BF2" i="252"/>
  <c r="BF4" i="44"/>
  <c r="BF4" i="257"/>
  <c r="BF4" i="46"/>
  <c r="BF4" i="49"/>
  <c r="BF4" i="252"/>
  <c r="BG55" i="295" l="1"/>
  <c r="BG31" i="261"/>
  <c r="BG2" i="283"/>
  <c r="BG2" i="295"/>
  <c r="BG25" i="260"/>
  <c r="BG26" i="260" s="1"/>
  <c r="BG28" i="260" s="1"/>
  <c r="BH28" i="44"/>
  <c r="BH29" i="44" s="1"/>
  <c r="BH25" i="260" s="1"/>
  <c r="BH4" i="283"/>
  <c r="BI3" i="277"/>
  <c r="BI3" i="283"/>
  <c r="BG26" i="252"/>
  <c r="BG8" i="283"/>
  <c r="BG11" i="283" s="1"/>
  <c r="BG17" i="283"/>
  <c r="V127" i="281"/>
  <c r="V67" i="281"/>
  <c r="V73" i="281" s="1"/>
  <c r="V74" i="281" s="1"/>
  <c r="V94" i="281" s="1"/>
  <c r="BF17" i="258"/>
  <c r="BF31" i="258" s="1"/>
  <c r="BG10" i="258"/>
  <c r="BG99" i="46"/>
  <c r="BG90" i="46"/>
  <c r="BG15" i="258"/>
  <c r="BH48" i="44"/>
  <c r="BH49" i="44" s="1"/>
  <c r="BH90" i="46" s="1"/>
  <c r="BH4" i="277"/>
  <c r="BG61" i="260"/>
  <c r="BG2" i="277"/>
  <c r="BD34" i="258"/>
  <c r="BD9" i="49" s="1"/>
  <c r="BC114" i="46"/>
  <c r="BC24" i="265" s="1"/>
  <c r="BF71" i="46"/>
  <c r="BF73" i="46" s="1"/>
  <c r="BF82" i="46" s="1"/>
  <c r="BF33" i="46"/>
  <c r="BD91" i="46"/>
  <c r="BD92" i="46" s="1"/>
  <c r="BD111" i="46" s="1"/>
  <c r="BD100" i="46"/>
  <c r="BD101" i="46" s="1"/>
  <c r="BD112" i="46" s="1"/>
  <c r="BG27" i="46"/>
  <c r="BG28" i="46" s="1"/>
  <c r="BG22" i="46"/>
  <c r="BG23" i="46" s="1"/>
  <c r="BG57" i="46"/>
  <c r="BG58" i="46" s="1"/>
  <c r="BG76" i="46" s="1"/>
  <c r="BG42" i="46"/>
  <c r="BG43" i="46" s="1"/>
  <c r="BG64" i="46" s="1"/>
  <c r="BG17" i="46"/>
  <c r="BG18" i="46" s="1"/>
  <c r="BG12" i="46"/>
  <c r="BG13" i="46" s="1"/>
  <c r="BG47" i="46"/>
  <c r="BG48" i="46" s="1"/>
  <c r="BG68" i="46" s="1"/>
  <c r="BG52" i="46"/>
  <c r="BG53" i="46" s="1"/>
  <c r="BG72" i="46" s="1"/>
  <c r="BF63" i="46"/>
  <c r="BF65" i="46" s="1"/>
  <c r="BF80" i="46" s="1"/>
  <c r="BF31" i="46"/>
  <c r="BB8" i="49"/>
  <c r="BB10" i="49" s="1"/>
  <c r="BB24" i="265"/>
  <c r="BF32" i="46"/>
  <c r="BF67" i="46"/>
  <c r="BF69" i="46" s="1"/>
  <c r="BF81" i="46" s="1"/>
  <c r="BE35" i="46"/>
  <c r="BE9" i="258" s="1"/>
  <c r="BE11" i="258" s="1"/>
  <c r="BE30" i="258" s="1"/>
  <c r="BE33" i="258" s="1"/>
  <c r="BE25" i="265" s="1"/>
  <c r="BF75" i="46"/>
  <c r="BF77" i="46" s="1"/>
  <c r="BF83" i="46" s="1"/>
  <c r="BF34" i="46"/>
  <c r="BE84" i="46"/>
  <c r="BH37" i="44"/>
  <c r="BH38" i="44" s="1"/>
  <c r="BH33" i="44"/>
  <c r="BH34" i="44" s="1"/>
  <c r="BH13" i="259" s="1"/>
  <c r="BH23" i="44"/>
  <c r="BH24" i="44" s="1"/>
  <c r="BH9" i="295" s="1"/>
  <c r="BH18" i="44"/>
  <c r="BH19" i="44" s="1"/>
  <c r="BG44" i="265"/>
  <c r="BG69" i="260"/>
  <c r="BI3" i="265"/>
  <c r="BI11" i="44"/>
  <c r="BI12" i="44" s="1"/>
  <c r="BI4" i="295" s="1"/>
  <c r="BG48" i="261"/>
  <c r="BG10" i="265"/>
  <c r="BG14" i="265"/>
  <c r="BG89" i="261"/>
  <c r="BG81" i="261"/>
  <c r="BG2" i="265"/>
  <c r="BG16" i="258"/>
  <c r="BG24" i="258"/>
  <c r="BG25" i="258" s="1"/>
  <c r="BG32" i="258" s="1"/>
  <c r="BI3" i="258"/>
  <c r="BI3" i="260"/>
  <c r="BI3" i="261"/>
  <c r="BI3" i="259"/>
  <c r="BG53" i="261"/>
  <c r="BG21" i="259"/>
  <c r="BG2" i="261"/>
  <c r="BG2" i="259"/>
  <c r="BG2" i="260"/>
  <c r="BG4" i="258"/>
  <c r="BG4" i="261"/>
  <c r="BG4" i="259"/>
  <c r="BG4" i="260"/>
  <c r="BG2" i="258"/>
  <c r="BH4" i="265"/>
  <c r="BI3" i="257"/>
  <c r="BI3" i="46"/>
  <c r="BI3" i="49"/>
  <c r="BI3" i="252"/>
  <c r="BJ8" i="44"/>
  <c r="BJ3" i="295" s="1"/>
  <c r="BI3" i="44"/>
  <c r="BG2" i="44"/>
  <c r="BG2" i="257"/>
  <c r="BG2" i="46"/>
  <c r="BG2" i="49"/>
  <c r="BG2" i="252"/>
  <c r="BG4" i="44"/>
  <c r="BG4" i="257"/>
  <c r="BG4" i="49"/>
  <c r="BG4" i="252"/>
  <c r="BG4" i="46"/>
  <c r="BG9" i="257"/>
  <c r="BG14" i="257" s="1"/>
  <c r="BH11" i="257" s="1"/>
  <c r="BB40" i="49" l="1"/>
  <c r="BB41" i="277" s="1"/>
  <c r="BH55" i="295"/>
  <c r="BH31" i="261"/>
  <c r="BH2" i="283"/>
  <c r="BH2" i="295"/>
  <c r="BH8" i="260"/>
  <c r="BH11" i="260" s="1"/>
  <c r="BH19" i="260" s="1"/>
  <c r="BH21" i="260" s="1"/>
  <c r="BH24" i="260" s="1"/>
  <c r="BH26" i="260" s="1"/>
  <c r="BH28" i="260" s="1"/>
  <c r="BI28" i="44"/>
  <c r="BI29" i="44" s="1"/>
  <c r="BI8" i="260" s="1"/>
  <c r="BI11" i="260" s="1"/>
  <c r="BI19" i="260" s="1"/>
  <c r="BI21" i="260" s="1"/>
  <c r="BI24" i="260" s="1"/>
  <c r="BI4" i="283"/>
  <c r="BJ3" i="277"/>
  <c r="BJ3" i="283"/>
  <c r="BH26" i="252"/>
  <c r="BH8" i="283"/>
  <c r="BH11" i="283" s="1"/>
  <c r="BH17" i="283"/>
  <c r="V77" i="281"/>
  <c r="V78" i="281" s="1"/>
  <c r="V81" i="281" s="1"/>
  <c r="V83" i="281" s="1"/>
  <c r="V88" i="281" s="1"/>
  <c r="BH23" i="258"/>
  <c r="BH99" i="46"/>
  <c r="BG17" i="258"/>
  <c r="BG31" i="258" s="1"/>
  <c r="BH15" i="258"/>
  <c r="BH10" i="258"/>
  <c r="BH61" i="260"/>
  <c r="BH2" i="277"/>
  <c r="BI48" i="44"/>
  <c r="BI49" i="44" s="1"/>
  <c r="BI99" i="46" s="1"/>
  <c r="BI4" i="277"/>
  <c r="BC8" i="49"/>
  <c r="BC10" i="49" s="1"/>
  <c r="BE34" i="258"/>
  <c r="BE9" i="49" s="1"/>
  <c r="BF35" i="46"/>
  <c r="BF9" i="258" s="1"/>
  <c r="BF11" i="258" s="1"/>
  <c r="BF30" i="258" s="1"/>
  <c r="BF33" i="258" s="1"/>
  <c r="BF25" i="265" s="1"/>
  <c r="BH57" i="46"/>
  <c r="BH58" i="46" s="1"/>
  <c r="BH76" i="46" s="1"/>
  <c r="BH17" i="46"/>
  <c r="BH18" i="46" s="1"/>
  <c r="BH22" i="46"/>
  <c r="BH23" i="46" s="1"/>
  <c r="BH47" i="46"/>
  <c r="BH48" i="46" s="1"/>
  <c r="BH68" i="46" s="1"/>
  <c r="BH42" i="46"/>
  <c r="BH43" i="46" s="1"/>
  <c r="BH64" i="46" s="1"/>
  <c r="BH27" i="46"/>
  <c r="BH28" i="46" s="1"/>
  <c r="BH52" i="46"/>
  <c r="BH53" i="46" s="1"/>
  <c r="BH72" i="46" s="1"/>
  <c r="BH12" i="46"/>
  <c r="BH13" i="46" s="1"/>
  <c r="BG75" i="46"/>
  <c r="BG77" i="46" s="1"/>
  <c r="BG83" i="46" s="1"/>
  <c r="BG34" i="46"/>
  <c r="BG63" i="46"/>
  <c r="BG65" i="46" s="1"/>
  <c r="BG80" i="46" s="1"/>
  <c r="BG31" i="46"/>
  <c r="BG67" i="46"/>
  <c r="BG69" i="46" s="1"/>
  <c r="BG81" i="46" s="1"/>
  <c r="BG32" i="46"/>
  <c r="BE100" i="46"/>
  <c r="BE101" i="46" s="1"/>
  <c r="BE112" i="46" s="1"/>
  <c r="BE91" i="46"/>
  <c r="BE92" i="46" s="1"/>
  <c r="BE111" i="46" s="1"/>
  <c r="BF84" i="46"/>
  <c r="BG71" i="46"/>
  <c r="BG73" i="46" s="1"/>
  <c r="BG82" i="46" s="1"/>
  <c r="BG33" i="46"/>
  <c r="BD114" i="46"/>
  <c r="BI37" i="44"/>
  <c r="BI38" i="44" s="1"/>
  <c r="BI23" i="44"/>
  <c r="BI24" i="44" s="1"/>
  <c r="BI9" i="295" s="1"/>
  <c r="BI18" i="44"/>
  <c r="BI19" i="44" s="1"/>
  <c r="BI33" i="44"/>
  <c r="BI34" i="44" s="1"/>
  <c r="BI13" i="259" s="1"/>
  <c r="BH44" i="265"/>
  <c r="BH69" i="260"/>
  <c r="BJ3" i="265"/>
  <c r="BJ11" i="44"/>
  <c r="BJ12" i="44" s="1"/>
  <c r="BJ4" i="295" s="1"/>
  <c r="BH48" i="261"/>
  <c r="BH10" i="265"/>
  <c r="BH14" i="265"/>
  <c r="BH81" i="261"/>
  <c r="BH89" i="261"/>
  <c r="BH2" i="265"/>
  <c r="BH16" i="258"/>
  <c r="BH24" i="258"/>
  <c r="BH53" i="261"/>
  <c r="BH21" i="259"/>
  <c r="BH2" i="261"/>
  <c r="BH2" i="260"/>
  <c r="BH2" i="259"/>
  <c r="BH4" i="258"/>
  <c r="BH4" i="261"/>
  <c r="BH4" i="260"/>
  <c r="BH4" i="259"/>
  <c r="BJ3" i="258"/>
  <c r="BJ3" i="261"/>
  <c r="BJ3" i="260"/>
  <c r="BJ3" i="259"/>
  <c r="BH2" i="258"/>
  <c r="BJ3" i="257"/>
  <c r="BJ3" i="49"/>
  <c r="BJ3" i="252"/>
  <c r="BJ3" i="46"/>
  <c r="BK8" i="44"/>
  <c r="BK3" i="295" s="1"/>
  <c r="BJ3" i="44"/>
  <c r="BH9" i="257"/>
  <c r="BH14" i="257" s="1"/>
  <c r="BI11" i="257" s="1"/>
  <c r="BH2" i="44"/>
  <c r="BH2" i="257"/>
  <c r="BH2" i="49"/>
  <c r="BH2" i="46"/>
  <c r="BH2" i="252"/>
  <c r="BI4" i="265"/>
  <c r="BH4" i="44"/>
  <c r="BH4" i="46"/>
  <c r="BH4" i="49"/>
  <c r="BH4" i="252"/>
  <c r="BH4" i="257"/>
  <c r="BC40" i="49" l="1"/>
  <c r="BC41" i="277" s="1"/>
  <c r="BI55" i="295"/>
  <c r="BI31" i="261"/>
  <c r="BI2" i="283"/>
  <c r="BI2" i="295"/>
  <c r="BI25" i="260"/>
  <c r="BI26" i="260" s="1"/>
  <c r="BI28" i="260" s="1"/>
  <c r="BJ28" i="44"/>
  <c r="BJ29" i="44" s="1"/>
  <c r="BJ8" i="260" s="1"/>
  <c r="BJ11" i="260" s="1"/>
  <c r="BJ19" i="260" s="1"/>
  <c r="BJ21" i="260" s="1"/>
  <c r="BJ24" i="260" s="1"/>
  <c r="BJ4" i="283"/>
  <c r="BK3" i="277"/>
  <c r="BK3" i="283"/>
  <c r="BI26" i="252"/>
  <c r="BI17" i="283"/>
  <c r="BI8" i="283"/>
  <c r="BI11" i="283" s="1"/>
  <c r="V87" i="281"/>
  <c r="V89" i="281" s="1"/>
  <c r="W86" i="281" s="1"/>
  <c r="V95" i="281"/>
  <c r="V96" i="281" s="1"/>
  <c r="BH25" i="258"/>
  <c r="BH32" i="258" s="1"/>
  <c r="BH17" i="258"/>
  <c r="BH31" i="258" s="1"/>
  <c r="BI90" i="46"/>
  <c r="BI15" i="258"/>
  <c r="BI23" i="258"/>
  <c r="BI10" i="258"/>
  <c r="BJ48" i="44"/>
  <c r="BJ49" i="44" s="1"/>
  <c r="BJ15" i="258" s="1"/>
  <c r="BJ4" i="277"/>
  <c r="BI61" i="260"/>
  <c r="BI2" i="277"/>
  <c r="BE114" i="46"/>
  <c r="BE24" i="265" s="1"/>
  <c r="BG84" i="46"/>
  <c r="BG91" i="46" s="1"/>
  <c r="BG92" i="46" s="1"/>
  <c r="BG111" i="46" s="1"/>
  <c r="BG35" i="46"/>
  <c r="BG9" i="258" s="1"/>
  <c r="BG11" i="258" s="1"/>
  <c r="BG30" i="258" s="1"/>
  <c r="BG33" i="258" s="1"/>
  <c r="BG25" i="265" s="1"/>
  <c r="BF34" i="258"/>
  <c r="BF9" i="49" s="1"/>
  <c r="BH33" i="46"/>
  <c r="BH71" i="46"/>
  <c r="BH73" i="46" s="1"/>
  <c r="BH82" i="46" s="1"/>
  <c r="BD8" i="49"/>
  <c r="BD10" i="49" s="1"/>
  <c r="BD24" i="265"/>
  <c r="BH32" i="46"/>
  <c r="BH67" i="46"/>
  <c r="BH69" i="46" s="1"/>
  <c r="BH81" i="46" s="1"/>
  <c r="BI47" i="46"/>
  <c r="BI48" i="46" s="1"/>
  <c r="BI68" i="46" s="1"/>
  <c r="BI42" i="46"/>
  <c r="BI43" i="46" s="1"/>
  <c r="BI64" i="46" s="1"/>
  <c r="BI52" i="46"/>
  <c r="BI53" i="46" s="1"/>
  <c r="BI72" i="46" s="1"/>
  <c r="BI22" i="46"/>
  <c r="BI23" i="46" s="1"/>
  <c r="BI17" i="46"/>
  <c r="BI18" i="46" s="1"/>
  <c r="BI12" i="46"/>
  <c r="BI13" i="46" s="1"/>
  <c r="BI27" i="46"/>
  <c r="BI28" i="46" s="1"/>
  <c r="BI57" i="46"/>
  <c r="BI58" i="46" s="1"/>
  <c r="BI76" i="46" s="1"/>
  <c r="BH31" i="46"/>
  <c r="BH63" i="46"/>
  <c r="BH65" i="46" s="1"/>
  <c r="BH80" i="46" s="1"/>
  <c r="BF91" i="46"/>
  <c r="BF92" i="46" s="1"/>
  <c r="BF111" i="46" s="1"/>
  <c r="BF100" i="46"/>
  <c r="BF101" i="46" s="1"/>
  <c r="BF112" i="46" s="1"/>
  <c r="BH75" i="46"/>
  <c r="BH77" i="46" s="1"/>
  <c r="BH83" i="46" s="1"/>
  <c r="BH34" i="46"/>
  <c r="BJ18" i="44"/>
  <c r="BJ19" i="44" s="1"/>
  <c r="BJ37" i="44"/>
  <c r="BJ38" i="44" s="1"/>
  <c r="BJ33" i="44"/>
  <c r="BJ34" i="44" s="1"/>
  <c r="BJ13" i="259" s="1"/>
  <c r="BJ23" i="44"/>
  <c r="BJ24" i="44" s="1"/>
  <c r="BJ9" i="295" s="1"/>
  <c r="BI44" i="265"/>
  <c r="BI69" i="260"/>
  <c r="BK3" i="265"/>
  <c r="BK11" i="44"/>
  <c r="BK12" i="44" s="1"/>
  <c r="BK4" i="295" s="1"/>
  <c r="BI48" i="261"/>
  <c r="BI10" i="265"/>
  <c r="BI14" i="265"/>
  <c r="BI89" i="261"/>
  <c r="BI81" i="261"/>
  <c r="BI2" i="265"/>
  <c r="BI24" i="258"/>
  <c r="BI16" i="258"/>
  <c r="BK3" i="258"/>
  <c r="BK3" i="261"/>
  <c r="BK3" i="260"/>
  <c r="BK3" i="259"/>
  <c r="BI4" i="258"/>
  <c r="BI4" i="260"/>
  <c r="BI4" i="261"/>
  <c r="BI4" i="259"/>
  <c r="BI53" i="261"/>
  <c r="BI21" i="259"/>
  <c r="BI2" i="261"/>
  <c r="BI2" i="259"/>
  <c r="BI2" i="260"/>
  <c r="BI2" i="258"/>
  <c r="BJ4" i="265"/>
  <c r="BI4" i="44"/>
  <c r="BI4" i="257"/>
  <c r="BI4" i="49"/>
  <c r="BI4" i="252"/>
  <c r="BI4" i="46"/>
  <c r="BK3" i="46"/>
  <c r="BK3" i="257"/>
  <c r="BK3" i="49"/>
  <c r="BK3" i="252"/>
  <c r="BK3" i="44"/>
  <c r="BL8" i="44"/>
  <c r="BL3" i="295" s="1"/>
  <c r="BI9" i="257"/>
  <c r="BI14" i="257" s="1"/>
  <c r="BJ11" i="257" s="1"/>
  <c r="BI2" i="44"/>
  <c r="BI2" i="49"/>
  <c r="BI2" i="257"/>
  <c r="BI2" i="46"/>
  <c r="BI2" i="252"/>
  <c r="BD40" i="49" l="1"/>
  <c r="BD41" i="277" s="1"/>
  <c r="BJ55" i="295"/>
  <c r="BJ31" i="261"/>
  <c r="BJ2" i="283"/>
  <c r="BJ2" i="295"/>
  <c r="BJ25" i="260"/>
  <c r="BJ26" i="260" s="1"/>
  <c r="BJ28" i="260" s="1"/>
  <c r="BL3" i="277"/>
  <c r="BL3" i="283"/>
  <c r="BK28" i="44"/>
  <c r="BK29" i="44" s="1"/>
  <c r="BK8" i="260" s="1"/>
  <c r="BK11" i="260" s="1"/>
  <c r="BK19" i="260" s="1"/>
  <c r="BK21" i="260" s="1"/>
  <c r="BK24" i="260" s="1"/>
  <c r="BK4" i="283"/>
  <c r="BJ26" i="252"/>
  <c r="BJ17" i="283"/>
  <c r="BJ8" i="283"/>
  <c r="BJ11" i="283" s="1"/>
  <c r="V99" i="281"/>
  <c r="V100" i="281" s="1"/>
  <c r="V29" i="277" s="1"/>
  <c r="V114" i="281"/>
  <c r="V116" i="281" s="1"/>
  <c r="W46" i="281"/>
  <c r="W47" i="281" s="1"/>
  <c r="W50" i="281" s="1"/>
  <c r="W52" i="281" s="1"/>
  <c r="W35" i="281"/>
  <c r="W37" i="281" s="1"/>
  <c r="W80" i="281"/>
  <c r="BJ90" i="46"/>
  <c r="BI25" i="258"/>
  <c r="BI32" i="258" s="1"/>
  <c r="BI17" i="258"/>
  <c r="BI31" i="258" s="1"/>
  <c r="BJ10" i="258"/>
  <c r="BJ23" i="258"/>
  <c r="BJ99" i="46"/>
  <c r="BJ61" i="260"/>
  <c r="BJ2" i="277"/>
  <c r="BK48" i="44"/>
  <c r="BK49" i="44" s="1"/>
  <c r="BK90" i="46" s="1"/>
  <c r="BK4" i="277"/>
  <c r="BE8" i="49"/>
  <c r="BE10" i="49" s="1"/>
  <c r="BG100" i="46"/>
  <c r="BG101" i="46" s="1"/>
  <c r="BG112" i="46" s="1"/>
  <c r="BG114" i="46" s="1"/>
  <c r="BG34" i="258"/>
  <c r="BG9" i="49" s="1"/>
  <c r="BI75" i="46"/>
  <c r="BI77" i="46" s="1"/>
  <c r="BI83" i="46" s="1"/>
  <c r="BI34" i="46"/>
  <c r="BI67" i="46"/>
  <c r="BI69" i="46" s="1"/>
  <c r="BI81" i="46" s="1"/>
  <c r="BI32" i="46"/>
  <c r="BH84" i="46"/>
  <c r="BH35" i="46"/>
  <c r="BH9" i="258" s="1"/>
  <c r="BH11" i="258" s="1"/>
  <c r="BH30" i="258" s="1"/>
  <c r="BH33" i="258" s="1"/>
  <c r="BH25" i="265" s="1"/>
  <c r="BI63" i="46"/>
  <c r="BI65" i="46" s="1"/>
  <c r="BI80" i="46" s="1"/>
  <c r="BI31" i="46"/>
  <c r="BJ17" i="46"/>
  <c r="BJ18" i="46" s="1"/>
  <c r="BJ52" i="46"/>
  <c r="BJ53" i="46" s="1"/>
  <c r="BJ72" i="46" s="1"/>
  <c r="BJ27" i="46"/>
  <c r="BJ28" i="46" s="1"/>
  <c r="BJ47" i="46"/>
  <c r="BJ48" i="46" s="1"/>
  <c r="BJ68" i="46" s="1"/>
  <c r="BJ42" i="46"/>
  <c r="BJ43" i="46" s="1"/>
  <c r="BJ64" i="46" s="1"/>
  <c r="BJ57" i="46"/>
  <c r="BJ58" i="46" s="1"/>
  <c r="BJ76" i="46" s="1"/>
  <c r="BJ12" i="46"/>
  <c r="BJ13" i="46" s="1"/>
  <c r="BJ22" i="46"/>
  <c r="BJ23" i="46" s="1"/>
  <c r="BF114" i="46"/>
  <c r="BI71" i="46"/>
  <c r="BI73" i="46" s="1"/>
  <c r="BI82" i="46" s="1"/>
  <c r="BI33" i="46"/>
  <c r="BK33" i="44"/>
  <c r="BK34" i="44" s="1"/>
  <c r="BK13" i="259" s="1"/>
  <c r="BK23" i="44"/>
  <c r="BK24" i="44" s="1"/>
  <c r="BK9" i="295" s="1"/>
  <c r="BK18" i="44"/>
  <c r="BK19" i="44" s="1"/>
  <c r="BK37" i="44"/>
  <c r="BK38" i="44" s="1"/>
  <c r="BJ44" i="265"/>
  <c r="BJ69" i="260"/>
  <c r="BL3" i="265"/>
  <c r="BL11" i="44"/>
  <c r="BL12" i="44" s="1"/>
  <c r="BL4" i="295" s="1"/>
  <c r="BJ48" i="261"/>
  <c r="BJ10" i="265"/>
  <c r="BJ14" i="265"/>
  <c r="BJ81" i="261"/>
  <c r="BJ89" i="261"/>
  <c r="BJ2" i="265"/>
  <c r="BJ24" i="258"/>
  <c r="BJ16" i="258"/>
  <c r="BJ17" i="258" s="1"/>
  <c r="BJ31" i="258" s="1"/>
  <c r="BJ53" i="261"/>
  <c r="BJ21" i="259"/>
  <c r="BJ4" i="258"/>
  <c r="BJ4" i="261"/>
  <c r="BJ4" i="260"/>
  <c r="BJ4" i="259"/>
  <c r="BJ2" i="261"/>
  <c r="BJ2" i="260"/>
  <c r="BJ2" i="259"/>
  <c r="BL3" i="258"/>
  <c r="BL3" i="260"/>
  <c r="BL3" i="261"/>
  <c r="BL3" i="259"/>
  <c r="BJ2" i="258"/>
  <c r="BJ2" i="44"/>
  <c r="BJ2" i="49"/>
  <c r="BJ2" i="257"/>
  <c r="BJ2" i="46"/>
  <c r="BJ2" i="252"/>
  <c r="BK4" i="265"/>
  <c r="BJ9" i="257"/>
  <c r="BJ14" i="257" s="1"/>
  <c r="BK11" i="257" s="1"/>
  <c r="BJ4" i="44"/>
  <c r="BJ4" i="49"/>
  <c r="BJ4" i="257"/>
  <c r="BJ4" i="46"/>
  <c r="BJ4" i="252"/>
  <c r="BL3" i="257"/>
  <c r="BL3" i="49"/>
  <c r="BL3" i="46"/>
  <c r="BL3" i="252"/>
  <c r="BL3" i="44"/>
  <c r="BM8" i="44"/>
  <c r="BM3" i="295" s="1"/>
  <c r="BE40" i="49" l="1"/>
  <c r="BE41" i="277" s="1"/>
  <c r="BK55" i="295"/>
  <c r="BK31" i="261"/>
  <c r="BK2" i="283"/>
  <c r="BK2" i="295"/>
  <c r="BK25" i="260"/>
  <c r="BK26" i="260" s="1"/>
  <c r="BK28" i="260" s="1"/>
  <c r="BL28" i="44"/>
  <c r="BL29" i="44" s="1"/>
  <c r="BL8" i="260" s="1"/>
  <c r="BL11" i="260" s="1"/>
  <c r="BL19" i="260" s="1"/>
  <c r="BL21" i="260" s="1"/>
  <c r="BL24" i="260" s="1"/>
  <c r="BL4" i="283"/>
  <c r="BK26" i="252"/>
  <c r="BK17" i="283"/>
  <c r="BK8" i="283"/>
  <c r="BK11" i="283" s="1"/>
  <c r="BM3" i="277"/>
  <c r="BM3" i="283"/>
  <c r="V20" i="277"/>
  <c r="W125" i="281"/>
  <c r="W40" i="281"/>
  <c r="W64" i="281"/>
  <c r="W126" i="281"/>
  <c r="W65" i="281"/>
  <c r="BJ25" i="258"/>
  <c r="BJ32" i="258" s="1"/>
  <c r="BK99" i="46"/>
  <c r="BK61" i="260"/>
  <c r="BK2" i="277"/>
  <c r="BK10" i="258"/>
  <c r="BL48" i="44"/>
  <c r="BL49" i="44" s="1"/>
  <c r="BL10" i="258" s="1"/>
  <c r="BL4" i="277"/>
  <c r="BK15" i="258"/>
  <c r="BK23" i="258"/>
  <c r="BH34" i="258"/>
  <c r="BH9" i="49" s="1"/>
  <c r="BI35" i="46"/>
  <c r="BI9" i="258" s="1"/>
  <c r="BI11" i="258" s="1"/>
  <c r="BI30" i="258" s="1"/>
  <c r="BI33" i="258" s="1"/>
  <c r="BI25" i="265" s="1"/>
  <c r="BH100" i="46"/>
  <c r="BH101" i="46" s="1"/>
  <c r="BH112" i="46" s="1"/>
  <c r="BH91" i="46"/>
  <c r="BH92" i="46" s="1"/>
  <c r="BH111" i="46" s="1"/>
  <c r="BJ67" i="46"/>
  <c r="BJ69" i="46" s="1"/>
  <c r="BJ81" i="46" s="1"/>
  <c r="BJ32" i="46"/>
  <c r="BJ71" i="46"/>
  <c r="BJ73" i="46" s="1"/>
  <c r="BJ82" i="46" s="1"/>
  <c r="BJ33" i="46"/>
  <c r="BI84" i="46"/>
  <c r="BG8" i="49"/>
  <c r="BG10" i="49" s="1"/>
  <c r="BG24" i="265"/>
  <c r="BF24" i="265"/>
  <c r="BF8" i="49"/>
  <c r="BF10" i="49" s="1"/>
  <c r="BK57" i="46"/>
  <c r="BK58" i="46" s="1"/>
  <c r="BK76" i="46" s="1"/>
  <c r="BK52" i="46"/>
  <c r="BK53" i="46" s="1"/>
  <c r="BK72" i="46" s="1"/>
  <c r="BK12" i="46"/>
  <c r="BK13" i="46" s="1"/>
  <c r="BK17" i="46"/>
  <c r="BK18" i="46" s="1"/>
  <c r="BK47" i="46"/>
  <c r="BK48" i="46" s="1"/>
  <c r="BK68" i="46" s="1"/>
  <c r="BK42" i="46"/>
  <c r="BK43" i="46" s="1"/>
  <c r="BK64" i="46" s="1"/>
  <c r="BK27" i="46"/>
  <c r="BK28" i="46" s="1"/>
  <c r="BK22" i="46"/>
  <c r="BK23" i="46" s="1"/>
  <c r="BJ31" i="46"/>
  <c r="BJ63" i="46"/>
  <c r="BJ65" i="46" s="1"/>
  <c r="BJ80" i="46" s="1"/>
  <c r="BJ75" i="46"/>
  <c r="BJ77" i="46" s="1"/>
  <c r="BJ83" i="46" s="1"/>
  <c r="BJ34" i="46"/>
  <c r="BL33" i="44"/>
  <c r="BL34" i="44" s="1"/>
  <c r="BL13" i="259" s="1"/>
  <c r="BL37" i="44"/>
  <c r="BL38" i="44" s="1"/>
  <c r="BL23" i="44"/>
  <c r="BL24" i="44" s="1"/>
  <c r="BL9" i="295" s="1"/>
  <c r="BL18" i="44"/>
  <c r="BL19" i="44" s="1"/>
  <c r="BK44" i="265"/>
  <c r="BK69" i="260"/>
  <c r="BM3" i="265"/>
  <c r="BM11" i="44"/>
  <c r="BM12" i="44" s="1"/>
  <c r="BM4" i="295" s="1"/>
  <c r="BK48" i="261"/>
  <c r="BK10" i="265"/>
  <c r="BK14" i="265"/>
  <c r="BK81" i="261"/>
  <c r="BK89" i="261"/>
  <c r="BK2" i="265"/>
  <c r="BK24" i="258"/>
  <c r="BK16" i="258"/>
  <c r="BK2" i="261"/>
  <c r="BK2" i="260"/>
  <c r="BK2" i="259"/>
  <c r="BK4" i="258"/>
  <c r="BK4" i="261"/>
  <c r="BK4" i="260"/>
  <c r="BK4" i="259"/>
  <c r="BM3" i="258"/>
  <c r="BM3" i="261"/>
  <c r="BM3" i="260"/>
  <c r="BM3" i="259"/>
  <c r="BK53" i="261"/>
  <c r="BK21" i="259"/>
  <c r="BK2" i="258"/>
  <c r="BK9" i="257"/>
  <c r="BK14" i="257" s="1"/>
  <c r="BL11" i="257" s="1"/>
  <c r="BK4" i="44"/>
  <c r="BK4" i="257"/>
  <c r="BK4" i="49"/>
  <c r="BK4" i="46"/>
  <c r="BK4" i="252"/>
  <c r="BM3" i="257"/>
  <c r="BM3" i="49"/>
  <c r="BM3" i="252"/>
  <c r="BM3" i="46"/>
  <c r="BM3" i="44"/>
  <c r="BN8" i="44"/>
  <c r="BN3" i="295" s="1"/>
  <c r="BL4" i="265"/>
  <c r="BK2" i="44"/>
  <c r="BK2" i="257"/>
  <c r="BK2" i="46"/>
  <c r="BK2" i="49"/>
  <c r="BK2" i="252"/>
  <c r="BG40" i="49" l="1"/>
  <c r="BG41" i="277" s="1"/>
  <c r="BF40" i="49"/>
  <c r="BF41" i="277" s="1"/>
  <c r="BL55" i="295"/>
  <c r="BL31" i="261"/>
  <c r="BL2" i="283"/>
  <c r="BL2" i="295"/>
  <c r="BL25" i="260"/>
  <c r="BL26" i="260" s="1"/>
  <c r="BL28" i="260" s="1"/>
  <c r="BN3" i="277"/>
  <c r="BN3" i="283"/>
  <c r="BM28" i="44"/>
  <c r="BM29" i="44" s="1"/>
  <c r="BM25" i="260" s="1"/>
  <c r="BM4" i="283"/>
  <c r="BL26" i="252"/>
  <c r="BL8" i="283"/>
  <c r="BL11" i="283" s="1"/>
  <c r="BL17" i="283"/>
  <c r="W67" i="281"/>
  <c r="W73" i="281" s="1"/>
  <c r="W74" i="281" s="1"/>
  <c r="W127" i="281"/>
  <c r="BL23" i="258"/>
  <c r="BL15" i="258"/>
  <c r="BL61" i="260"/>
  <c r="BL2" i="277"/>
  <c r="BK17" i="258"/>
  <c r="BK31" i="258" s="1"/>
  <c r="BL90" i="46"/>
  <c r="BM48" i="44"/>
  <c r="BM49" i="44" s="1"/>
  <c r="BM99" i="46" s="1"/>
  <c r="BM4" i="277"/>
  <c r="BK25" i="258"/>
  <c r="BK32" i="258" s="1"/>
  <c r="BL99" i="46"/>
  <c r="BH114" i="46"/>
  <c r="BH8" i="49" s="1"/>
  <c r="BH10" i="49" s="1"/>
  <c r="BI34" i="258"/>
  <c r="BI9" i="49" s="1"/>
  <c r="BJ84" i="46"/>
  <c r="BJ91" i="46" s="1"/>
  <c r="BJ92" i="46" s="1"/>
  <c r="BJ111" i="46" s="1"/>
  <c r="BL42" i="46"/>
  <c r="BL43" i="46" s="1"/>
  <c r="BL64" i="46" s="1"/>
  <c r="BL27" i="46"/>
  <c r="BL28" i="46" s="1"/>
  <c r="BL47" i="46"/>
  <c r="BL48" i="46" s="1"/>
  <c r="BL68" i="46" s="1"/>
  <c r="BL12" i="46"/>
  <c r="BL13" i="46" s="1"/>
  <c r="BL57" i="46"/>
  <c r="BL58" i="46" s="1"/>
  <c r="BL76" i="46" s="1"/>
  <c r="BL52" i="46"/>
  <c r="BL53" i="46" s="1"/>
  <c r="BL72" i="46" s="1"/>
  <c r="BL22" i="46"/>
  <c r="BL23" i="46" s="1"/>
  <c r="BL17" i="46"/>
  <c r="BL18" i="46" s="1"/>
  <c r="BK33" i="46"/>
  <c r="BK71" i="46"/>
  <c r="BK73" i="46" s="1"/>
  <c r="BK82" i="46" s="1"/>
  <c r="BI100" i="46"/>
  <c r="BI101" i="46" s="1"/>
  <c r="BI112" i="46" s="1"/>
  <c r="BI91" i="46"/>
  <c r="BI92" i="46" s="1"/>
  <c r="BI111" i="46" s="1"/>
  <c r="BK67" i="46"/>
  <c r="BK69" i="46" s="1"/>
  <c r="BK81" i="46" s="1"/>
  <c r="BK32" i="46"/>
  <c r="BK63" i="46"/>
  <c r="BK65" i="46" s="1"/>
  <c r="BK80" i="46" s="1"/>
  <c r="BK31" i="46"/>
  <c r="BJ35" i="46"/>
  <c r="BJ9" i="258" s="1"/>
  <c r="BJ11" i="258" s="1"/>
  <c r="BJ30" i="258" s="1"/>
  <c r="BJ33" i="258" s="1"/>
  <c r="BJ25" i="265" s="1"/>
  <c r="BK75" i="46"/>
  <c r="BK77" i="46" s="1"/>
  <c r="BK83" i="46" s="1"/>
  <c r="BK34" i="46"/>
  <c r="BM37" i="44"/>
  <c r="BM38" i="44" s="1"/>
  <c r="BM33" i="44"/>
  <c r="BM34" i="44" s="1"/>
  <c r="BM13" i="259" s="1"/>
  <c r="BM18" i="44"/>
  <c r="BM19" i="44" s="1"/>
  <c r="BM23" i="44"/>
  <c r="BM24" i="44" s="1"/>
  <c r="BM9" i="295" s="1"/>
  <c r="BL44" i="265"/>
  <c r="BL69" i="260"/>
  <c r="BN3" i="265"/>
  <c r="BN11" i="44"/>
  <c r="BN12" i="44" s="1"/>
  <c r="BN4" i="295" s="1"/>
  <c r="BL48" i="261"/>
  <c r="BL10" i="265"/>
  <c r="BL14" i="265"/>
  <c r="BL81" i="261"/>
  <c r="BL89" i="261"/>
  <c r="BL2" i="265"/>
  <c r="BL24" i="258"/>
  <c r="BL16" i="258"/>
  <c r="BL53" i="261"/>
  <c r="BL21" i="259"/>
  <c r="BL4" i="258"/>
  <c r="BL4" i="261"/>
  <c r="BL4" i="260"/>
  <c r="BL4" i="259"/>
  <c r="BL2" i="260"/>
  <c r="BL2" i="261"/>
  <c r="BL2" i="259"/>
  <c r="BN3" i="258"/>
  <c r="BN3" i="261"/>
  <c r="BN3" i="259"/>
  <c r="BN3" i="260"/>
  <c r="BL2" i="258"/>
  <c r="BL4" i="44"/>
  <c r="BL4" i="257"/>
  <c r="BL4" i="49"/>
  <c r="BL4" i="252"/>
  <c r="BL4" i="46"/>
  <c r="BL9" i="257"/>
  <c r="BL14" i="257" s="1"/>
  <c r="BM11" i="257" s="1"/>
  <c r="BN3" i="257"/>
  <c r="BN3" i="252"/>
  <c r="BN3" i="46"/>
  <c r="BN3" i="49"/>
  <c r="BN3" i="44"/>
  <c r="BO8" i="44"/>
  <c r="BO3" i="295" s="1"/>
  <c r="BL2" i="44"/>
  <c r="BL2" i="257"/>
  <c r="BL2" i="49"/>
  <c r="BL2" i="252"/>
  <c r="BL2" i="46"/>
  <c r="BM4" i="265"/>
  <c r="BH40" i="49" l="1"/>
  <c r="BH41" i="277" s="1"/>
  <c r="BM55" i="295"/>
  <c r="BM31" i="261"/>
  <c r="BM2" i="283"/>
  <c r="BM2" i="295"/>
  <c r="BM8" i="260"/>
  <c r="BM11" i="260" s="1"/>
  <c r="BM19" i="260" s="1"/>
  <c r="BM21" i="260" s="1"/>
  <c r="BM24" i="260" s="1"/>
  <c r="BM26" i="260" s="1"/>
  <c r="BM28" i="260" s="1"/>
  <c r="BO3" i="277"/>
  <c r="BO3" i="283"/>
  <c r="BN28" i="44"/>
  <c r="BN29" i="44" s="1"/>
  <c r="BN25" i="260" s="1"/>
  <c r="BN4" i="283"/>
  <c r="BM26" i="252"/>
  <c r="BM17" i="283"/>
  <c r="BM8" i="283"/>
  <c r="BM11" i="283" s="1"/>
  <c r="W94" i="281"/>
  <c r="W77" i="281"/>
  <c r="W78" i="281" s="1"/>
  <c r="BL25" i="258"/>
  <c r="BL32" i="258" s="1"/>
  <c r="BL17" i="258"/>
  <c r="BL31" i="258" s="1"/>
  <c r="BM15" i="258"/>
  <c r="BM10" i="258"/>
  <c r="BN48" i="44"/>
  <c r="BN49" i="44" s="1"/>
  <c r="BN90" i="46" s="1"/>
  <c r="BN4" i="277"/>
  <c r="BM23" i="258"/>
  <c r="BM90" i="46"/>
  <c r="BM61" i="260"/>
  <c r="BM2" i="277"/>
  <c r="BH24" i="265"/>
  <c r="BJ100" i="46"/>
  <c r="BJ101" i="46" s="1"/>
  <c r="BJ112" i="46" s="1"/>
  <c r="BJ114" i="46" s="1"/>
  <c r="BI114" i="46"/>
  <c r="BI8" i="49" s="1"/>
  <c r="BI10" i="49" s="1"/>
  <c r="BJ34" i="258"/>
  <c r="BJ9" i="49" s="1"/>
  <c r="BL31" i="46"/>
  <c r="BL63" i="46"/>
  <c r="BL65" i="46" s="1"/>
  <c r="BL80" i="46" s="1"/>
  <c r="BK84" i="46"/>
  <c r="BL67" i="46"/>
  <c r="BL69" i="46" s="1"/>
  <c r="BL81" i="46" s="1"/>
  <c r="BL32" i="46"/>
  <c r="BL33" i="46"/>
  <c r="BL71" i="46"/>
  <c r="BL73" i="46" s="1"/>
  <c r="BL82" i="46" s="1"/>
  <c r="BK35" i="46"/>
  <c r="BK9" i="258" s="1"/>
  <c r="BK11" i="258" s="1"/>
  <c r="BK30" i="258" s="1"/>
  <c r="BK33" i="258" s="1"/>
  <c r="BK25" i="265" s="1"/>
  <c r="BL75" i="46"/>
  <c r="BL77" i="46" s="1"/>
  <c r="BL83" i="46" s="1"/>
  <c r="BL34" i="46"/>
  <c r="BM12" i="46"/>
  <c r="BM13" i="46" s="1"/>
  <c r="BM22" i="46"/>
  <c r="BM23" i="46" s="1"/>
  <c r="BM57" i="46"/>
  <c r="BM58" i="46" s="1"/>
  <c r="BM76" i="46" s="1"/>
  <c r="BM47" i="46"/>
  <c r="BM48" i="46" s="1"/>
  <c r="BM68" i="46" s="1"/>
  <c r="BM42" i="46"/>
  <c r="BM43" i="46" s="1"/>
  <c r="BM64" i="46" s="1"/>
  <c r="BM27" i="46"/>
  <c r="BM28" i="46" s="1"/>
  <c r="BM52" i="46"/>
  <c r="BM53" i="46" s="1"/>
  <c r="BM72" i="46" s="1"/>
  <c r="BM17" i="46"/>
  <c r="BM18" i="46" s="1"/>
  <c r="BN18" i="44"/>
  <c r="BN19" i="44" s="1"/>
  <c r="BN33" i="44"/>
  <c r="BN34" i="44" s="1"/>
  <c r="BN13" i="259" s="1"/>
  <c r="BN37" i="44"/>
  <c r="BN38" i="44" s="1"/>
  <c r="BN23" i="44"/>
  <c r="BN24" i="44" s="1"/>
  <c r="BN9" i="295" s="1"/>
  <c r="BM44" i="265"/>
  <c r="BM69" i="260"/>
  <c r="BO3" i="265"/>
  <c r="BO11" i="44"/>
  <c r="BO12" i="44" s="1"/>
  <c r="BO4" i="295" s="1"/>
  <c r="BM48" i="261"/>
  <c r="BM10" i="265"/>
  <c r="BM14" i="265"/>
  <c r="BM89" i="261"/>
  <c r="BM81" i="261"/>
  <c r="BM2" i="265"/>
  <c r="BM16" i="258"/>
  <c r="BM24" i="258"/>
  <c r="BM2" i="260"/>
  <c r="BM2" i="261"/>
  <c r="BM2" i="259"/>
  <c r="BM4" i="258"/>
  <c r="BM4" i="261"/>
  <c r="BM4" i="260"/>
  <c r="BM4" i="259"/>
  <c r="BM53" i="261"/>
  <c r="BM21" i="259"/>
  <c r="BO3" i="258"/>
  <c r="BO3" i="260"/>
  <c r="BO3" i="259"/>
  <c r="BO3" i="261"/>
  <c r="BM2" i="258"/>
  <c r="BM2" i="44"/>
  <c r="BM2" i="257"/>
  <c r="BM2" i="49"/>
  <c r="BM2" i="252"/>
  <c r="BM2" i="46"/>
  <c r="BM4" i="44"/>
  <c r="BM4" i="49"/>
  <c r="BM4" i="257"/>
  <c r="BM4" i="252"/>
  <c r="BM4" i="46"/>
  <c r="BO3" i="49"/>
  <c r="BO3" i="252"/>
  <c r="BO3" i="257"/>
  <c r="BO3" i="46"/>
  <c r="BP8" i="44"/>
  <c r="BP3" i="295" s="1"/>
  <c r="BO3" i="44"/>
  <c r="BM9" i="257"/>
  <c r="BM14" i="257" s="1"/>
  <c r="BN11" i="257" s="1"/>
  <c r="BN4" i="265"/>
  <c r="BI40" i="49" l="1"/>
  <c r="BI41" i="277" s="1"/>
  <c r="BN55" i="295"/>
  <c r="BN31" i="261"/>
  <c r="BN2" i="283"/>
  <c r="BN2" i="295"/>
  <c r="BN8" i="260"/>
  <c r="BN11" i="260" s="1"/>
  <c r="BN19" i="260" s="1"/>
  <c r="BN21" i="260" s="1"/>
  <c r="BN24" i="260" s="1"/>
  <c r="BN26" i="260" s="1"/>
  <c r="BN28" i="260" s="1"/>
  <c r="BO28" i="44"/>
  <c r="BO29" i="44" s="1"/>
  <c r="BO25" i="260" s="1"/>
  <c r="BO4" i="283"/>
  <c r="BN26" i="252"/>
  <c r="BN8" i="283"/>
  <c r="BN11" i="283" s="1"/>
  <c r="BN17" i="283"/>
  <c r="BP3" i="277"/>
  <c r="BP3" i="283"/>
  <c r="W81" i="281"/>
  <c r="W83" i="281" s="1"/>
  <c r="W88" i="281" s="1"/>
  <c r="W87" i="281"/>
  <c r="W95" i="281"/>
  <c r="W96" i="281" s="1"/>
  <c r="BM17" i="258"/>
  <c r="BM31" i="258" s="1"/>
  <c r="BN15" i="258"/>
  <c r="BN23" i="258"/>
  <c r="BM25" i="258"/>
  <c r="BM32" i="258" s="1"/>
  <c r="BN10" i="258"/>
  <c r="BN99" i="46"/>
  <c r="BN61" i="260"/>
  <c r="BN2" i="277"/>
  <c r="BO48" i="44"/>
  <c r="BO49" i="44" s="1"/>
  <c r="BO10" i="258" s="1"/>
  <c r="BO4" i="277"/>
  <c r="BI24" i="265"/>
  <c r="BL35" i="46"/>
  <c r="BL9" i="258" s="1"/>
  <c r="BL11" i="258" s="1"/>
  <c r="BL30" i="258" s="1"/>
  <c r="BL33" i="258" s="1"/>
  <c r="BL25" i="265" s="1"/>
  <c r="BK34" i="258"/>
  <c r="BK9" i="49" s="1"/>
  <c r="BM34" i="46"/>
  <c r="BM75" i="46"/>
  <c r="BM77" i="46" s="1"/>
  <c r="BM83" i="46" s="1"/>
  <c r="BN52" i="46"/>
  <c r="BN53" i="46" s="1"/>
  <c r="BN72" i="46" s="1"/>
  <c r="BN47" i="46"/>
  <c r="BN48" i="46" s="1"/>
  <c r="BN68" i="46" s="1"/>
  <c r="BN57" i="46"/>
  <c r="BN58" i="46" s="1"/>
  <c r="BN76" i="46" s="1"/>
  <c r="BN42" i="46"/>
  <c r="BN43" i="46" s="1"/>
  <c r="BN64" i="46" s="1"/>
  <c r="BN27" i="46"/>
  <c r="BN28" i="46" s="1"/>
  <c r="BN22" i="46"/>
  <c r="BN23" i="46" s="1"/>
  <c r="BN12" i="46"/>
  <c r="BN13" i="46" s="1"/>
  <c r="BN17" i="46"/>
  <c r="BN18" i="46" s="1"/>
  <c r="BK91" i="46"/>
  <c r="BK92" i="46" s="1"/>
  <c r="BK111" i="46" s="1"/>
  <c r="BK100" i="46"/>
  <c r="BK101" i="46" s="1"/>
  <c r="BK112" i="46" s="1"/>
  <c r="BL84" i="46"/>
  <c r="BM33" i="46"/>
  <c r="BM71" i="46"/>
  <c r="BM73" i="46" s="1"/>
  <c r="BM82" i="46" s="1"/>
  <c r="BM31" i="46"/>
  <c r="BM63" i="46"/>
  <c r="BM65" i="46" s="1"/>
  <c r="BM80" i="46" s="1"/>
  <c r="BJ8" i="49"/>
  <c r="BJ10" i="49" s="1"/>
  <c r="BJ24" i="265"/>
  <c r="BM67" i="46"/>
  <c r="BM69" i="46" s="1"/>
  <c r="BM81" i="46" s="1"/>
  <c r="BM32" i="46"/>
  <c r="BO23" i="44"/>
  <c r="BO24" i="44" s="1"/>
  <c r="BO9" i="295" s="1"/>
  <c r="BO37" i="44"/>
  <c r="BO38" i="44" s="1"/>
  <c r="BO33" i="44"/>
  <c r="BO34" i="44" s="1"/>
  <c r="BO13" i="259" s="1"/>
  <c r="BO18" i="44"/>
  <c r="BO19" i="44" s="1"/>
  <c r="BN44" i="265"/>
  <c r="BN69" i="260"/>
  <c r="BP3" i="265"/>
  <c r="BP11" i="44"/>
  <c r="BP12" i="44" s="1"/>
  <c r="BP4" i="295" s="1"/>
  <c r="BN48" i="261"/>
  <c r="BN10" i="265"/>
  <c r="BN14" i="265"/>
  <c r="BN89" i="261"/>
  <c r="BN81" i="261"/>
  <c r="BN2" i="265"/>
  <c r="BN16" i="258"/>
  <c r="BN24" i="258"/>
  <c r="BN53" i="261"/>
  <c r="BN21" i="259"/>
  <c r="BN4" i="258"/>
  <c r="BN4" i="260"/>
  <c r="BN4" i="261"/>
  <c r="BN4" i="259"/>
  <c r="BP3" i="258"/>
  <c r="BP3" i="261"/>
  <c r="BP3" i="260"/>
  <c r="BP3" i="259"/>
  <c r="BN2" i="261"/>
  <c r="BN2" i="260"/>
  <c r="BN2" i="259"/>
  <c r="BN2" i="258"/>
  <c r="BN9" i="257"/>
  <c r="BN14" i="257" s="1"/>
  <c r="BO11" i="257" s="1"/>
  <c r="BN4" i="44"/>
  <c r="BN4" i="257"/>
  <c r="BN4" i="49"/>
  <c r="BN4" i="46"/>
  <c r="BN4" i="252"/>
  <c r="BN2" i="44"/>
  <c r="BN2" i="46"/>
  <c r="BN2" i="257"/>
  <c r="BN2" i="49"/>
  <c r="BN2" i="252"/>
  <c r="BP3" i="257"/>
  <c r="BP3" i="49"/>
  <c r="BP3" i="46"/>
  <c r="BP3" i="252"/>
  <c r="BP3" i="44"/>
  <c r="BQ8" i="44"/>
  <c r="BQ3" i="295" s="1"/>
  <c r="BO4" i="265"/>
  <c r="BJ40" i="49" l="1"/>
  <c r="BJ41" i="277" s="1"/>
  <c r="BO55" i="295"/>
  <c r="BO31" i="261"/>
  <c r="BO2" i="283"/>
  <c r="BO2" i="295"/>
  <c r="BO8" i="260"/>
  <c r="BO11" i="260" s="1"/>
  <c r="BO19" i="260" s="1"/>
  <c r="BO21" i="260" s="1"/>
  <c r="BO24" i="260" s="1"/>
  <c r="BO26" i="260" s="1"/>
  <c r="BO28" i="260" s="1"/>
  <c r="BP28" i="44"/>
  <c r="BP29" i="44" s="1"/>
  <c r="BP25" i="260" s="1"/>
  <c r="BP4" i="283"/>
  <c r="BQ3" i="277"/>
  <c r="BQ3" i="283"/>
  <c r="BO26" i="252"/>
  <c r="BO8" i="283"/>
  <c r="BO11" i="283" s="1"/>
  <c r="BO17" i="283"/>
  <c r="W99" i="281"/>
  <c r="W100" i="281" s="1"/>
  <c r="W20" i="277" s="1"/>
  <c r="W114" i="281"/>
  <c r="W116" i="281" s="1"/>
  <c r="W89" i="281"/>
  <c r="X86" i="281" s="1"/>
  <c r="X46" i="281" s="1"/>
  <c r="X47" i="281" s="1"/>
  <c r="X50" i="281" s="1"/>
  <c r="X52" i="281" s="1"/>
  <c r="BN17" i="258"/>
  <c r="BN31" i="258" s="1"/>
  <c r="BN25" i="258"/>
  <c r="BN32" i="258" s="1"/>
  <c r="BO23" i="258"/>
  <c r="BO90" i="46"/>
  <c r="BO99" i="46"/>
  <c r="BO15" i="258"/>
  <c r="BP48" i="44"/>
  <c r="BP49" i="44" s="1"/>
  <c r="BP10" i="258" s="1"/>
  <c r="BP4" i="277"/>
  <c r="BO61" i="260"/>
  <c r="BO2" i="277"/>
  <c r="BL34" i="258"/>
  <c r="BL9" i="49" s="1"/>
  <c r="BM35" i="46"/>
  <c r="BM9" i="258" s="1"/>
  <c r="BM11" i="258" s="1"/>
  <c r="BM30" i="258" s="1"/>
  <c r="BM33" i="258" s="1"/>
  <c r="BM25" i="265" s="1"/>
  <c r="BK114" i="46"/>
  <c r="BL91" i="46"/>
  <c r="BL92" i="46" s="1"/>
  <c r="BL111" i="46" s="1"/>
  <c r="BL100" i="46"/>
  <c r="BL101" i="46" s="1"/>
  <c r="BL112" i="46" s="1"/>
  <c r="BO27" i="46"/>
  <c r="BO28" i="46" s="1"/>
  <c r="BO22" i="46"/>
  <c r="BO23" i="46" s="1"/>
  <c r="BO57" i="46"/>
  <c r="BO58" i="46" s="1"/>
  <c r="BO76" i="46" s="1"/>
  <c r="BO42" i="46"/>
  <c r="BO43" i="46" s="1"/>
  <c r="BO64" i="46" s="1"/>
  <c r="BO47" i="46"/>
  <c r="BO48" i="46" s="1"/>
  <c r="BO68" i="46" s="1"/>
  <c r="BO52" i="46"/>
  <c r="BO53" i="46" s="1"/>
  <c r="BO72" i="46" s="1"/>
  <c r="BO17" i="46"/>
  <c r="BO18" i="46" s="1"/>
  <c r="BO12" i="46"/>
  <c r="BO13" i="46" s="1"/>
  <c r="BN67" i="46"/>
  <c r="BN69" i="46" s="1"/>
  <c r="BN81" i="46" s="1"/>
  <c r="BN32" i="46"/>
  <c r="BN31" i="46"/>
  <c r="BN63" i="46"/>
  <c r="BN65" i="46" s="1"/>
  <c r="BN80" i="46" s="1"/>
  <c r="BN71" i="46"/>
  <c r="BN73" i="46" s="1"/>
  <c r="BN82" i="46" s="1"/>
  <c r="BN33" i="46"/>
  <c r="BM84" i="46"/>
  <c r="BN75" i="46"/>
  <c r="BN77" i="46" s="1"/>
  <c r="BN83" i="46" s="1"/>
  <c r="BN34" i="46"/>
  <c r="BP37" i="44"/>
  <c r="BP38" i="44" s="1"/>
  <c r="BP33" i="44"/>
  <c r="BP34" i="44" s="1"/>
  <c r="BP13" i="259" s="1"/>
  <c r="BP23" i="44"/>
  <c r="BP24" i="44" s="1"/>
  <c r="BP9" i="295" s="1"/>
  <c r="BP18" i="44"/>
  <c r="BP19" i="44" s="1"/>
  <c r="BO44" i="265"/>
  <c r="BO69" i="260"/>
  <c r="BQ3" i="265"/>
  <c r="BQ11" i="44"/>
  <c r="BQ12" i="44" s="1"/>
  <c r="BQ4" i="295" s="1"/>
  <c r="BO48" i="261"/>
  <c r="BO10" i="265"/>
  <c r="BO14" i="265"/>
  <c r="BO89" i="261"/>
  <c r="BO81" i="261"/>
  <c r="BO2" i="265"/>
  <c r="BO16" i="258"/>
  <c r="BO24" i="258"/>
  <c r="BQ3" i="258"/>
  <c r="BQ3" i="260"/>
  <c r="BQ3" i="261"/>
  <c r="BQ3" i="259"/>
  <c r="BO53" i="261"/>
  <c r="BO21" i="259"/>
  <c r="BO2" i="261"/>
  <c r="BO2" i="260"/>
  <c r="BO2" i="259"/>
  <c r="BO4" i="258"/>
  <c r="BO4" i="261"/>
  <c r="BO4" i="259"/>
  <c r="BO4" i="260"/>
  <c r="BO2" i="258"/>
  <c r="BO2" i="44"/>
  <c r="BO2" i="257"/>
  <c r="BO2" i="49"/>
  <c r="BO2" i="46"/>
  <c r="BO2" i="252"/>
  <c r="BQ3" i="257"/>
  <c r="BQ3" i="49"/>
  <c r="BQ3" i="46"/>
  <c r="BQ3" i="252"/>
  <c r="BR8" i="44"/>
  <c r="BR3" i="295" s="1"/>
  <c r="BQ3" i="44"/>
  <c r="BO9" i="257"/>
  <c r="BO14" i="257" s="1"/>
  <c r="BP11" i="257" s="1"/>
  <c r="BO4" i="44"/>
  <c r="BO4" i="252"/>
  <c r="BO4" i="257"/>
  <c r="BO4" i="46"/>
  <c r="BO4" i="49"/>
  <c r="BP4" i="265"/>
  <c r="BP55" i="295" l="1"/>
  <c r="BP31" i="261"/>
  <c r="BP2" i="283"/>
  <c r="BP2" i="295"/>
  <c r="BP8" i="260"/>
  <c r="BP11" i="260" s="1"/>
  <c r="BP19" i="260" s="1"/>
  <c r="BP21" i="260" s="1"/>
  <c r="BP24" i="260" s="1"/>
  <c r="BP26" i="260" s="1"/>
  <c r="BP28" i="260" s="1"/>
  <c r="BR3" i="277"/>
  <c r="BR3" i="283"/>
  <c r="BQ28" i="44"/>
  <c r="BQ29" i="44" s="1"/>
  <c r="BQ8" i="260" s="1"/>
  <c r="BQ11" i="260" s="1"/>
  <c r="BQ19" i="260" s="1"/>
  <c r="BQ21" i="260" s="1"/>
  <c r="BQ24" i="260" s="1"/>
  <c r="BQ4" i="283"/>
  <c r="BP26" i="252"/>
  <c r="BP8" i="283"/>
  <c r="BP11" i="283" s="1"/>
  <c r="BP17" i="283"/>
  <c r="W29" i="277"/>
  <c r="X80" i="281"/>
  <c r="X35" i="281"/>
  <c r="X37" i="281" s="1"/>
  <c r="X40" i="281" s="1"/>
  <c r="X65" i="281"/>
  <c r="X126" i="281"/>
  <c r="BO25" i="258"/>
  <c r="BO32" i="258" s="1"/>
  <c r="BO17" i="258"/>
  <c r="BO31" i="258" s="1"/>
  <c r="BP99" i="46"/>
  <c r="BP90" i="46"/>
  <c r="BP23" i="258"/>
  <c r="BP15" i="258"/>
  <c r="BQ48" i="44"/>
  <c r="BQ49" i="44" s="1"/>
  <c r="BQ10" i="258" s="1"/>
  <c r="BQ4" i="277"/>
  <c r="BP61" i="260"/>
  <c r="BP2" i="277"/>
  <c r="BM34" i="258"/>
  <c r="BM9" i="49" s="1"/>
  <c r="BL114" i="46"/>
  <c r="BL24" i="265" s="1"/>
  <c r="BO33" i="46"/>
  <c r="BO71" i="46"/>
  <c r="BO73" i="46" s="1"/>
  <c r="BO82" i="46" s="1"/>
  <c r="BO75" i="46"/>
  <c r="BO77" i="46" s="1"/>
  <c r="BO83" i="46" s="1"/>
  <c r="BO34" i="46"/>
  <c r="BN84" i="46"/>
  <c r="BO63" i="46"/>
  <c r="BO65" i="46" s="1"/>
  <c r="BO80" i="46" s="1"/>
  <c r="BO31" i="46"/>
  <c r="BP57" i="46"/>
  <c r="BP58" i="46" s="1"/>
  <c r="BP76" i="46" s="1"/>
  <c r="BP17" i="46"/>
  <c r="BP18" i="46" s="1"/>
  <c r="BP52" i="46"/>
  <c r="BP53" i="46" s="1"/>
  <c r="BP72" i="46" s="1"/>
  <c r="BP22" i="46"/>
  <c r="BP23" i="46" s="1"/>
  <c r="BP42" i="46"/>
  <c r="BP43" i="46" s="1"/>
  <c r="BP64" i="46" s="1"/>
  <c r="BP47" i="46"/>
  <c r="BP48" i="46" s="1"/>
  <c r="BP68" i="46" s="1"/>
  <c r="BP12" i="46"/>
  <c r="BP13" i="46" s="1"/>
  <c r="BP27" i="46"/>
  <c r="BP28" i="46" s="1"/>
  <c r="BM100" i="46"/>
  <c r="BM101" i="46" s="1"/>
  <c r="BM112" i="46" s="1"/>
  <c r="BM91" i="46"/>
  <c r="BM92" i="46" s="1"/>
  <c r="BM111" i="46" s="1"/>
  <c r="BK24" i="265"/>
  <c r="BK8" i="49"/>
  <c r="BK10" i="49" s="1"/>
  <c r="BN35" i="46"/>
  <c r="BN9" i="258" s="1"/>
  <c r="BN11" i="258" s="1"/>
  <c r="BN30" i="258" s="1"/>
  <c r="BN33" i="258" s="1"/>
  <c r="BN25" i="265" s="1"/>
  <c r="BO67" i="46"/>
  <c r="BO69" i="46" s="1"/>
  <c r="BO81" i="46" s="1"/>
  <c r="BO32" i="46"/>
  <c r="BQ37" i="44"/>
  <c r="BQ38" i="44" s="1"/>
  <c r="BQ23" i="44"/>
  <c r="BQ24" i="44" s="1"/>
  <c r="BQ9" i="295" s="1"/>
  <c r="BQ18" i="44"/>
  <c r="BQ19" i="44" s="1"/>
  <c r="BQ33" i="44"/>
  <c r="BQ34" i="44" s="1"/>
  <c r="BQ13" i="259" s="1"/>
  <c r="BP44" i="265"/>
  <c r="BP69" i="260"/>
  <c r="BR3" i="265"/>
  <c r="BR11" i="44"/>
  <c r="BR12" i="44" s="1"/>
  <c r="BR4" i="295" s="1"/>
  <c r="BP48" i="261"/>
  <c r="BP10" i="265"/>
  <c r="BP14" i="265"/>
  <c r="BP89" i="261"/>
  <c r="BP81" i="261"/>
  <c r="BP2" i="265"/>
  <c r="BP16" i="258"/>
  <c r="BP24" i="258"/>
  <c r="BP53" i="261"/>
  <c r="BP21" i="259"/>
  <c r="BR3" i="258"/>
  <c r="BR3" i="261"/>
  <c r="BR3" i="259"/>
  <c r="BR3" i="260"/>
  <c r="BP2" i="261"/>
  <c r="BP2" i="260"/>
  <c r="BP2" i="259"/>
  <c r="BP4" i="258"/>
  <c r="BP4" i="261"/>
  <c r="BP4" i="260"/>
  <c r="BP4" i="259"/>
  <c r="BP2" i="258"/>
  <c r="BQ4" i="265"/>
  <c r="BR3" i="257"/>
  <c r="BR3" i="252"/>
  <c r="BR3" i="49"/>
  <c r="BR3" i="46"/>
  <c r="BR3" i="44"/>
  <c r="BS8" i="44"/>
  <c r="BS3" i="295" s="1"/>
  <c r="BP2" i="44"/>
  <c r="BP2" i="257"/>
  <c r="BP2" i="49"/>
  <c r="BP2" i="46"/>
  <c r="BP2" i="252"/>
  <c r="BP4" i="44"/>
  <c r="BP4" i="49"/>
  <c r="BP4" i="46"/>
  <c r="BP4" i="257"/>
  <c r="BP4" i="252"/>
  <c r="BP9" i="257"/>
  <c r="BP14" i="257" s="1"/>
  <c r="BQ11" i="257" s="1"/>
  <c r="BK40" i="49" l="1"/>
  <c r="BK41" i="277" s="1"/>
  <c r="BQ55" i="295"/>
  <c r="BQ31" i="261"/>
  <c r="BQ2" i="283"/>
  <c r="BQ2" i="295"/>
  <c r="BQ25" i="260"/>
  <c r="BQ26" i="260" s="1"/>
  <c r="BQ28" i="260" s="1"/>
  <c r="BS3" i="277"/>
  <c r="BS3" i="283"/>
  <c r="BQ26" i="252"/>
  <c r="BQ17" i="283"/>
  <c r="BQ8" i="283"/>
  <c r="BQ11" i="283" s="1"/>
  <c r="BR28" i="44"/>
  <c r="BR29" i="44" s="1"/>
  <c r="BR25" i="260" s="1"/>
  <c r="BR4" i="283"/>
  <c r="X125" i="281"/>
  <c r="X127" i="281" s="1"/>
  <c r="X64" i="281"/>
  <c r="X67" i="281" s="1"/>
  <c r="X73" i="281" s="1"/>
  <c r="X74" i="281" s="1"/>
  <c r="X77" i="281" s="1"/>
  <c r="X78" i="281" s="1"/>
  <c r="BP25" i="258"/>
  <c r="BP32" i="258" s="1"/>
  <c r="BP17" i="258"/>
  <c r="BP31" i="258" s="1"/>
  <c r="BQ23" i="258"/>
  <c r="BQ61" i="260"/>
  <c r="BQ2" i="277"/>
  <c r="BR48" i="44"/>
  <c r="BR49" i="44" s="1"/>
  <c r="BR15" i="258" s="1"/>
  <c r="BR4" i="277"/>
  <c r="BQ90" i="46"/>
  <c r="BQ99" i="46"/>
  <c r="BQ15" i="258"/>
  <c r="BL8" i="49"/>
  <c r="BL10" i="49" s="1"/>
  <c r="BN91" i="46"/>
  <c r="BN92" i="46" s="1"/>
  <c r="BN111" i="46" s="1"/>
  <c r="BN100" i="46"/>
  <c r="BN101" i="46" s="1"/>
  <c r="BN112" i="46" s="1"/>
  <c r="BM114" i="46"/>
  <c r="BP33" i="46"/>
  <c r="BP71" i="46"/>
  <c r="BP73" i="46" s="1"/>
  <c r="BP82" i="46" s="1"/>
  <c r="BN34" i="258"/>
  <c r="BN9" i="49" s="1"/>
  <c r="BQ47" i="46"/>
  <c r="BQ48" i="46" s="1"/>
  <c r="BQ68" i="46" s="1"/>
  <c r="BQ42" i="46"/>
  <c r="BQ43" i="46" s="1"/>
  <c r="BQ64" i="46" s="1"/>
  <c r="BQ52" i="46"/>
  <c r="BQ53" i="46" s="1"/>
  <c r="BQ72" i="46" s="1"/>
  <c r="BQ22" i="46"/>
  <c r="BQ23" i="46" s="1"/>
  <c r="BQ57" i="46"/>
  <c r="BQ58" i="46" s="1"/>
  <c r="BQ76" i="46" s="1"/>
  <c r="BQ12" i="46"/>
  <c r="BQ13" i="46" s="1"/>
  <c r="BQ17" i="46"/>
  <c r="BQ18" i="46" s="1"/>
  <c r="BQ27" i="46"/>
  <c r="BQ28" i="46" s="1"/>
  <c r="BP67" i="46"/>
  <c r="BP69" i="46" s="1"/>
  <c r="BP81" i="46" s="1"/>
  <c r="BP32" i="46"/>
  <c r="BO35" i="46"/>
  <c r="BO9" i="258" s="1"/>
  <c r="BO11" i="258" s="1"/>
  <c r="BO30" i="258" s="1"/>
  <c r="BO33" i="258" s="1"/>
  <c r="BO25" i="265" s="1"/>
  <c r="BP75" i="46"/>
  <c r="BP77" i="46" s="1"/>
  <c r="BP83" i="46" s="1"/>
  <c r="BP34" i="46"/>
  <c r="BP63" i="46"/>
  <c r="BP65" i="46" s="1"/>
  <c r="BP80" i="46" s="1"/>
  <c r="BP31" i="46"/>
  <c r="BO84" i="46"/>
  <c r="BR18" i="44"/>
  <c r="BR19" i="44" s="1"/>
  <c r="BR23" i="44"/>
  <c r="BR24" i="44" s="1"/>
  <c r="BR9" i="295" s="1"/>
  <c r="BR37" i="44"/>
  <c r="BR38" i="44" s="1"/>
  <c r="BR33" i="44"/>
  <c r="BR34" i="44" s="1"/>
  <c r="BR13" i="259" s="1"/>
  <c r="BQ44" i="265"/>
  <c r="BQ69" i="260"/>
  <c r="BS3" i="265"/>
  <c r="BS11" i="44"/>
  <c r="BS12" i="44" s="1"/>
  <c r="BS4" i="295" s="1"/>
  <c r="BQ48" i="261"/>
  <c r="BQ10" i="265"/>
  <c r="BQ14" i="265"/>
  <c r="BQ89" i="261"/>
  <c r="BQ81" i="261"/>
  <c r="BQ2" i="265"/>
  <c r="BQ24" i="258"/>
  <c r="BQ16" i="258"/>
  <c r="BQ2" i="261"/>
  <c r="BQ2" i="259"/>
  <c r="BQ2" i="260"/>
  <c r="BQ4" i="258"/>
  <c r="BQ4" i="261"/>
  <c r="BQ4" i="260"/>
  <c r="BQ4" i="259"/>
  <c r="BS3" i="258"/>
  <c r="BS3" i="261"/>
  <c r="BS3" i="260"/>
  <c r="BS3" i="259"/>
  <c r="BQ53" i="261"/>
  <c r="BQ21" i="259"/>
  <c r="BQ2" i="258"/>
  <c r="BR4" i="265"/>
  <c r="BQ4" i="44"/>
  <c r="BQ4" i="257"/>
  <c r="BQ4" i="49"/>
  <c r="BQ4" i="252"/>
  <c r="BQ4" i="46"/>
  <c r="BQ2" i="44"/>
  <c r="BQ2" i="252"/>
  <c r="BQ2" i="257"/>
  <c r="BQ2" i="46"/>
  <c r="BQ2" i="49"/>
  <c r="BQ9" i="257"/>
  <c r="BQ14" i="257" s="1"/>
  <c r="BR11" i="257" s="1"/>
  <c r="BS3" i="257"/>
  <c r="BS3" i="49"/>
  <c r="BS3" i="46"/>
  <c r="BS3" i="252"/>
  <c r="BT8" i="44"/>
  <c r="BT3" i="295" s="1"/>
  <c r="BS3" i="44"/>
  <c r="BL40" i="49" l="1"/>
  <c r="BL41" i="277" s="1"/>
  <c r="BR55" i="295"/>
  <c r="BR31" i="261"/>
  <c r="BR2" i="283"/>
  <c r="BR2" i="295"/>
  <c r="BR26" i="252"/>
  <c r="BR17" i="283"/>
  <c r="BR8" i="283"/>
  <c r="BR11" i="283" s="1"/>
  <c r="BS28" i="44"/>
  <c r="BS29" i="44" s="1"/>
  <c r="BS25" i="260" s="1"/>
  <c r="BS4" i="283"/>
  <c r="BR8" i="260"/>
  <c r="BR11" i="260" s="1"/>
  <c r="BR19" i="260" s="1"/>
  <c r="BR21" i="260" s="1"/>
  <c r="BR24" i="260" s="1"/>
  <c r="BR26" i="260" s="1"/>
  <c r="BR28" i="260" s="1"/>
  <c r="BT3" i="277"/>
  <c r="BT3" i="283"/>
  <c r="X94" i="281"/>
  <c r="X95" i="281"/>
  <c r="X87" i="281"/>
  <c r="X81" i="281"/>
  <c r="X83" i="281" s="1"/>
  <c r="X88" i="281" s="1"/>
  <c r="BQ25" i="258"/>
  <c r="BQ32" i="258" s="1"/>
  <c r="BR99" i="46"/>
  <c r="BR23" i="258"/>
  <c r="BR10" i="258"/>
  <c r="BR90" i="46"/>
  <c r="BQ17" i="258"/>
  <c r="BQ31" i="258" s="1"/>
  <c r="BR61" i="260"/>
  <c r="BR2" i="277"/>
  <c r="BS48" i="44"/>
  <c r="BS49" i="44" s="1"/>
  <c r="BS23" i="258" s="1"/>
  <c r="BS4" i="277"/>
  <c r="BO34" i="258"/>
  <c r="BO9" i="49" s="1"/>
  <c r="BQ34" i="46"/>
  <c r="BQ75" i="46"/>
  <c r="BQ77" i="46" s="1"/>
  <c r="BQ83" i="46" s="1"/>
  <c r="BQ32" i="46"/>
  <c r="BQ67" i="46"/>
  <c r="BQ69" i="46" s="1"/>
  <c r="BQ81" i="46" s="1"/>
  <c r="BP84" i="46"/>
  <c r="BQ63" i="46"/>
  <c r="BQ65" i="46" s="1"/>
  <c r="BQ80" i="46" s="1"/>
  <c r="BQ31" i="46"/>
  <c r="BM24" i="265"/>
  <c r="BM8" i="49"/>
  <c r="BM10" i="49" s="1"/>
  <c r="BP35" i="46"/>
  <c r="BP9" i="258" s="1"/>
  <c r="BP11" i="258" s="1"/>
  <c r="BP30" i="258" s="1"/>
  <c r="BP33" i="258" s="1"/>
  <c r="BP25" i="265" s="1"/>
  <c r="BR17" i="46"/>
  <c r="BR18" i="46" s="1"/>
  <c r="BR52" i="46"/>
  <c r="BR53" i="46" s="1"/>
  <c r="BR72" i="46" s="1"/>
  <c r="BR27" i="46"/>
  <c r="BR28" i="46" s="1"/>
  <c r="BR22" i="46"/>
  <c r="BR23" i="46" s="1"/>
  <c r="BR57" i="46"/>
  <c r="BR58" i="46" s="1"/>
  <c r="BR76" i="46" s="1"/>
  <c r="BR47" i="46"/>
  <c r="BR48" i="46" s="1"/>
  <c r="BR68" i="46" s="1"/>
  <c r="BR12" i="46"/>
  <c r="BR13" i="46" s="1"/>
  <c r="BR42" i="46"/>
  <c r="BR43" i="46" s="1"/>
  <c r="BR64" i="46" s="1"/>
  <c r="BO91" i="46"/>
  <c r="BO92" i="46" s="1"/>
  <c r="BO111" i="46" s="1"/>
  <c r="BO100" i="46"/>
  <c r="BO101" i="46" s="1"/>
  <c r="BO112" i="46" s="1"/>
  <c r="BQ71" i="46"/>
  <c r="BQ73" i="46" s="1"/>
  <c r="BQ82" i="46" s="1"/>
  <c r="BQ33" i="46"/>
  <c r="BN114" i="46"/>
  <c r="BS33" i="44"/>
  <c r="BS34" i="44" s="1"/>
  <c r="BS13" i="259" s="1"/>
  <c r="BS23" i="44"/>
  <c r="BS24" i="44" s="1"/>
  <c r="BS9" i="295" s="1"/>
  <c r="BS18" i="44"/>
  <c r="BS19" i="44" s="1"/>
  <c r="BS37" i="44"/>
  <c r="BS38" i="44" s="1"/>
  <c r="BR44" i="265"/>
  <c r="BR69" i="260"/>
  <c r="BT3" i="265"/>
  <c r="BT11" i="44"/>
  <c r="BT12" i="44" s="1"/>
  <c r="BT4" i="295" s="1"/>
  <c r="BR48" i="261"/>
  <c r="BR10" i="265"/>
  <c r="BR14" i="265"/>
  <c r="BR81" i="261"/>
  <c r="BR89" i="261"/>
  <c r="BR2" i="265"/>
  <c r="BR24" i="258"/>
  <c r="BR16" i="258"/>
  <c r="BR17" i="258" s="1"/>
  <c r="BR31" i="258" s="1"/>
  <c r="BR53" i="261"/>
  <c r="BR21" i="259"/>
  <c r="BT3" i="258"/>
  <c r="BT3" i="260"/>
  <c r="BT3" i="259"/>
  <c r="BT3" i="261"/>
  <c r="BR2" i="261"/>
  <c r="BR2" i="260"/>
  <c r="BR2" i="259"/>
  <c r="BR4" i="258"/>
  <c r="BR4" i="261"/>
  <c r="BR4" i="259"/>
  <c r="BR4" i="260"/>
  <c r="BR2" i="258"/>
  <c r="BT3" i="257"/>
  <c r="BT3" i="46"/>
  <c r="BT3" i="49"/>
  <c r="BT3" i="252"/>
  <c r="BU8" i="44"/>
  <c r="BU3" i="295" s="1"/>
  <c r="BT3" i="44"/>
  <c r="BR9" i="257"/>
  <c r="BR14" i="257" s="1"/>
  <c r="BS11" i="257" s="1"/>
  <c r="BR4" i="44"/>
  <c r="BR4" i="49"/>
  <c r="BR4" i="257"/>
  <c r="BR4" i="252"/>
  <c r="BR4" i="46"/>
  <c r="BR2" i="44"/>
  <c r="BR2" i="257"/>
  <c r="BR2" i="49"/>
  <c r="BR2" i="252"/>
  <c r="BR2" i="46"/>
  <c r="BS4" i="265"/>
  <c r="BM40" i="49" l="1"/>
  <c r="BM41" i="277" s="1"/>
  <c r="BS55" i="295"/>
  <c r="BS31" i="261"/>
  <c r="BS2" i="283"/>
  <c r="BS2" i="295"/>
  <c r="BS8" i="260"/>
  <c r="BS11" i="260" s="1"/>
  <c r="BS19" i="260" s="1"/>
  <c r="BS21" i="260" s="1"/>
  <c r="BS24" i="260" s="1"/>
  <c r="BS26" i="260" s="1"/>
  <c r="BS28" i="260" s="1"/>
  <c r="BU3" i="277"/>
  <c r="BU3" i="283"/>
  <c r="BS26" i="252"/>
  <c r="BS8" i="283"/>
  <c r="BS11" i="283" s="1"/>
  <c r="BS17" i="283"/>
  <c r="BT28" i="44"/>
  <c r="BT29" i="44" s="1"/>
  <c r="BT4" i="283"/>
  <c r="X96" i="281"/>
  <c r="X89" i="281"/>
  <c r="Y86" i="281" s="1"/>
  <c r="BS10" i="258"/>
  <c r="BR25" i="258"/>
  <c r="BR32" i="258" s="1"/>
  <c r="BS99" i="46"/>
  <c r="BS15" i="258"/>
  <c r="BS90" i="46"/>
  <c r="BT48" i="44"/>
  <c r="BT49" i="44" s="1"/>
  <c r="BT10" i="258" s="1"/>
  <c r="BT4" i="277"/>
  <c r="BS61" i="260"/>
  <c r="BS2" i="277"/>
  <c r="BP34" i="258"/>
  <c r="BP9" i="49" s="1"/>
  <c r="BO114" i="46"/>
  <c r="BO24" i="265" s="1"/>
  <c r="BR67" i="46"/>
  <c r="BR69" i="46" s="1"/>
  <c r="BR81" i="46" s="1"/>
  <c r="BR32" i="46"/>
  <c r="BP91" i="46"/>
  <c r="BP92" i="46" s="1"/>
  <c r="BP111" i="46" s="1"/>
  <c r="BP100" i="46"/>
  <c r="BP101" i="46" s="1"/>
  <c r="BP112" i="46" s="1"/>
  <c r="BN24" i="265"/>
  <c r="BN8" i="49"/>
  <c r="BN10" i="49" s="1"/>
  <c r="BR63" i="46"/>
  <c r="BR65" i="46" s="1"/>
  <c r="BR80" i="46" s="1"/>
  <c r="BR31" i="46"/>
  <c r="BS57" i="46"/>
  <c r="BS58" i="46" s="1"/>
  <c r="BS76" i="46" s="1"/>
  <c r="BS52" i="46"/>
  <c r="BS53" i="46" s="1"/>
  <c r="BS72" i="46" s="1"/>
  <c r="BS12" i="46"/>
  <c r="BS13" i="46" s="1"/>
  <c r="BS22" i="46"/>
  <c r="BS23" i="46" s="1"/>
  <c r="BS17" i="46"/>
  <c r="BS18" i="46" s="1"/>
  <c r="BS47" i="46"/>
  <c r="BS48" i="46" s="1"/>
  <c r="BS68" i="46" s="1"/>
  <c r="BS42" i="46"/>
  <c r="BS43" i="46" s="1"/>
  <c r="BS64" i="46" s="1"/>
  <c r="BS27" i="46"/>
  <c r="BS28" i="46" s="1"/>
  <c r="BQ84" i="46"/>
  <c r="BR75" i="46"/>
  <c r="BR77" i="46" s="1"/>
  <c r="BR83" i="46" s="1"/>
  <c r="BR34" i="46"/>
  <c r="BQ35" i="46"/>
  <c r="BQ9" i="258" s="1"/>
  <c r="BQ11" i="258" s="1"/>
  <c r="BQ30" i="258" s="1"/>
  <c r="BQ33" i="258" s="1"/>
  <c r="BQ25" i="265" s="1"/>
  <c r="BR71" i="46"/>
  <c r="BR73" i="46" s="1"/>
  <c r="BR82" i="46" s="1"/>
  <c r="BR33" i="46"/>
  <c r="BT33" i="44"/>
  <c r="BT34" i="44" s="1"/>
  <c r="BT13" i="259" s="1"/>
  <c r="BT23" i="44"/>
  <c r="BT24" i="44" s="1"/>
  <c r="BT9" i="295" s="1"/>
  <c r="BT18" i="44"/>
  <c r="BT19" i="44" s="1"/>
  <c r="BT37" i="44"/>
  <c r="BT38" i="44" s="1"/>
  <c r="BS44" i="265"/>
  <c r="BS69" i="260"/>
  <c r="BU3" i="265"/>
  <c r="BU11" i="44"/>
  <c r="BU12" i="44" s="1"/>
  <c r="BU4" i="295" s="1"/>
  <c r="BS48" i="261"/>
  <c r="BS10" i="265"/>
  <c r="BS14" i="265"/>
  <c r="BS89" i="261"/>
  <c r="BS81" i="261"/>
  <c r="BS2" i="265"/>
  <c r="BS24" i="258"/>
  <c r="BS25" i="258" s="1"/>
  <c r="BS32" i="258" s="1"/>
  <c r="BS16" i="258"/>
  <c r="BS2" i="261"/>
  <c r="BS2" i="260"/>
  <c r="BS2" i="259"/>
  <c r="BS21" i="259"/>
  <c r="BS53" i="261"/>
  <c r="BU3" i="258"/>
  <c r="BU3" i="261"/>
  <c r="BU3" i="260"/>
  <c r="BU3" i="259"/>
  <c r="BS4" i="258"/>
  <c r="BS4" i="260"/>
  <c r="BS4" i="259"/>
  <c r="BS4" i="261"/>
  <c r="BS2" i="258"/>
  <c r="BT4" i="265"/>
  <c r="BS2" i="44"/>
  <c r="BS2" i="257"/>
  <c r="BS2" i="49"/>
  <c r="BS2" i="46"/>
  <c r="BS2" i="252"/>
  <c r="BS9" i="257"/>
  <c r="BS14" i="257" s="1"/>
  <c r="BT11" i="257" s="1"/>
  <c r="BU3" i="257"/>
  <c r="BU3" i="49"/>
  <c r="BU3" i="46"/>
  <c r="BU3" i="252"/>
  <c r="BV8" i="44"/>
  <c r="BV3" i="295" s="1"/>
  <c r="BU3" i="44"/>
  <c r="BS4" i="44"/>
  <c r="BS4" i="257"/>
  <c r="BS4" i="49"/>
  <c r="BS4" i="46"/>
  <c r="BS4" i="252"/>
  <c r="BN40" i="49" l="1"/>
  <c r="BN41" i="277" s="1"/>
  <c r="BT55" i="295"/>
  <c r="BT31" i="261"/>
  <c r="BT2" i="283"/>
  <c r="BT2" i="295"/>
  <c r="BU28" i="44"/>
  <c r="BU29" i="44" s="1"/>
  <c r="BU25" i="260" s="1"/>
  <c r="BU4" i="283"/>
  <c r="BV3" i="277"/>
  <c r="BV3" i="283"/>
  <c r="BT26" i="252"/>
  <c r="BT17" i="283"/>
  <c r="BT8" i="283"/>
  <c r="BT11" i="283" s="1"/>
  <c r="BT25" i="260"/>
  <c r="BT8" i="260"/>
  <c r="BT11" i="260" s="1"/>
  <c r="BT19" i="260" s="1"/>
  <c r="BT21" i="260" s="1"/>
  <c r="BT24" i="260" s="1"/>
  <c r="X99" i="281"/>
  <c r="X100" i="281" s="1"/>
  <c r="X29" i="277" s="1"/>
  <c r="X114" i="281"/>
  <c r="X116" i="281" s="1"/>
  <c r="Y35" i="281"/>
  <c r="Y37" i="281" s="1"/>
  <c r="Y80" i="281"/>
  <c r="Y46" i="281"/>
  <c r="Y47" i="281" s="1"/>
  <c r="Y50" i="281" s="1"/>
  <c r="Y52" i="281" s="1"/>
  <c r="BS17" i="258"/>
  <c r="BS31" i="258" s="1"/>
  <c r="BT15" i="258"/>
  <c r="BT90" i="46"/>
  <c r="BT99" i="46"/>
  <c r="BT23" i="258"/>
  <c r="BU48" i="44"/>
  <c r="BU49" i="44" s="1"/>
  <c r="BU15" i="258" s="1"/>
  <c r="BU4" i="277"/>
  <c r="BT61" i="260"/>
  <c r="BT2" i="277"/>
  <c r="BO8" i="49"/>
  <c r="BO10" i="49" s="1"/>
  <c r="BQ34" i="258"/>
  <c r="BQ9" i="49" s="1"/>
  <c r="BR35" i="46"/>
  <c r="BR9" i="258" s="1"/>
  <c r="BR11" i="258" s="1"/>
  <c r="BR30" i="258" s="1"/>
  <c r="BR33" i="258" s="1"/>
  <c r="BR25" i="265" s="1"/>
  <c r="BP114" i="46"/>
  <c r="BR84" i="46"/>
  <c r="BS67" i="46"/>
  <c r="BS69" i="46" s="1"/>
  <c r="BS81" i="46" s="1"/>
  <c r="BS32" i="46"/>
  <c r="BS33" i="46"/>
  <c r="BS71" i="46"/>
  <c r="BS73" i="46" s="1"/>
  <c r="BS82" i="46" s="1"/>
  <c r="BS34" i="46"/>
  <c r="BS75" i="46"/>
  <c r="BS77" i="46" s="1"/>
  <c r="BS83" i="46" s="1"/>
  <c r="BS31" i="46"/>
  <c r="BS63" i="46"/>
  <c r="BS65" i="46" s="1"/>
  <c r="BS80" i="46" s="1"/>
  <c r="BT42" i="46"/>
  <c r="BT43" i="46" s="1"/>
  <c r="BT64" i="46" s="1"/>
  <c r="BT27" i="46"/>
  <c r="BT28" i="46" s="1"/>
  <c r="BT47" i="46"/>
  <c r="BT48" i="46" s="1"/>
  <c r="BT68" i="46" s="1"/>
  <c r="BT52" i="46"/>
  <c r="BT53" i="46" s="1"/>
  <c r="BT72" i="46" s="1"/>
  <c r="BT57" i="46"/>
  <c r="BT58" i="46" s="1"/>
  <c r="BT76" i="46" s="1"/>
  <c r="BT17" i="46"/>
  <c r="BT18" i="46" s="1"/>
  <c r="BT12" i="46"/>
  <c r="BT13" i="46" s="1"/>
  <c r="BT22" i="46"/>
  <c r="BT23" i="46" s="1"/>
  <c r="BQ91" i="46"/>
  <c r="BQ92" i="46" s="1"/>
  <c r="BQ111" i="46" s="1"/>
  <c r="BQ100" i="46"/>
  <c r="BQ101" i="46" s="1"/>
  <c r="BQ112" i="46" s="1"/>
  <c r="BU37" i="44"/>
  <c r="BU38" i="44" s="1"/>
  <c r="BU18" i="44"/>
  <c r="BU19" i="44" s="1"/>
  <c r="BU23" i="44"/>
  <c r="BU24" i="44" s="1"/>
  <c r="BU9" i="295" s="1"/>
  <c r="BU33" i="44"/>
  <c r="BU34" i="44" s="1"/>
  <c r="BU13" i="259" s="1"/>
  <c r="BT44" i="265"/>
  <c r="BT69" i="260"/>
  <c r="BV3" i="265"/>
  <c r="BV11" i="44"/>
  <c r="BV12" i="44" s="1"/>
  <c r="BV4" i="295" s="1"/>
  <c r="BT48" i="261"/>
  <c r="BT10" i="265"/>
  <c r="BT14" i="265"/>
  <c r="BT89" i="261"/>
  <c r="BT81" i="261"/>
  <c r="BT2" i="265"/>
  <c r="BT24" i="258"/>
  <c r="BT16" i="258"/>
  <c r="BV3" i="258"/>
  <c r="BV3" i="261"/>
  <c r="BV3" i="260"/>
  <c r="BV3" i="259"/>
  <c r="BT4" i="258"/>
  <c r="BT4" i="261"/>
  <c r="BT4" i="260"/>
  <c r="BT4" i="259"/>
  <c r="BT2" i="260"/>
  <c r="BT2" i="261"/>
  <c r="BT2" i="259"/>
  <c r="BT53" i="261"/>
  <c r="BT21" i="259"/>
  <c r="BT2" i="258"/>
  <c r="BT2" i="44"/>
  <c r="BT2" i="257"/>
  <c r="BT2" i="46"/>
  <c r="BT2" i="49"/>
  <c r="BT2" i="252"/>
  <c r="BU4" i="265"/>
  <c r="BT9" i="257"/>
  <c r="BT14" i="257" s="1"/>
  <c r="BU11" i="257" s="1"/>
  <c r="BV3" i="49"/>
  <c r="BV3" i="46"/>
  <c r="BV3" i="257"/>
  <c r="BV3" i="252"/>
  <c r="BV3" i="44"/>
  <c r="BW8" i="44"/>
  <c r="BW3" i="295" s="1"/>
  <c r="BT4" i="44"/>
  <c r="BT4" i="257"/>
  <c r="BT4" i="46"/>
  <c r="BT4" i="49"/>
  <c r="BT4" i="252"/>
  <c r="BO40" i="49" l="1"/>
  <c r="BO41" i="277" s="1"/>
  <c r="BU55" i="295"/>
  <c r="BU31" i="261"/>
  <c r="BU2" i="283"/>
  <c r="BU2" i="295"/>
  <c r="BT26" i="260"/>
  <c r="BT28" i="260" s="1"/>
  <c r="BU8" i="260"/>
  <c r="BU11" i="260" s="1"/>
  <c r="BU19" i="260" s="1"/>
  <c r="BU21" i="260" s="1"/>
  <c r="BU24" i="260" s="1"/>
  <c r="BU26" i="260" s="1"/>
  <c r="BU28" i="260" s="1"/>
  <c r="BW3" i="277"/>
  <c r="BW3" i="283"/>
  <c r="BV28" i="44"/>
  <c r="BV29" i="44" s="1"/>
  <c r="BV25" i="260" s="1"/>
  <c r="BV4" i="283"/>
  <c r="BU26" i="252"/>
  <c r="BU17" i="283"/>
  <c r="BU8" i="283"/>
  <c r="BU11" i="283" s="1"/>
  <c r="X20" i="277"/>
  <c r="Y65" i="281"/>
  <c r="Y126" i="281"/>
  <c r="Y125" i="281"/>
  <c r="Y40" i="281"/>
  <c r="Y64" i="281"/>
  <c r="BT17" i="258"/>
  <c r="BT31" i="258" s="1"/>
  <c r="BU99" i="46"/>
  <c r="BU90" i="46"/>
  <c r="BU23" i="258"/>
  <c r="BU10" i="258"/>
  <c r="BT25" i="258"/>
  <c r="BT32" i="258" s="1"/>
  <c r="BV48" i="44"/>
  <c r="BV49" i="44" s="1"/>
  <c r="BV23" i="258" s="1"/>
  <c r="BV4" i="277"/>
  <c r="BU61" i="260"/>
  <c r="BU2" i="277"/>
  <c r="BR34" i="258"/>
  <c r="BR9" i="49" s="1"/>
  <c r="BU12" i="46"/>
  <c r="BU13" i="46" s="1"/>
  <c r="BU22" i="46"/>
  <c r="BU23" i="46" s="1"/>
  <c r="BU57" i="46"/>
  <c r="BU58" i="46" s="1"/>
  <c r="BU76" i="46" s="1"/>
  <c r="BU17" i="46"/>
  <c r="BU18" i="46" s="1"/>
  <c r="BU47" i="46"/>
  <c r="BU48" i="46" s="1"/>
  <c r="BU68" i="46" s="1"/>
  <c r="BU42" i="46"/>
  <c r="BU43" i="46" s="1"/>
  <c r="BU64" i="46" s="1"/>
  <c r="BU27" i="46"/>
  <c r="BU28" i="46" s="1"/>
  <c r="BU52" i="46"/>
  <c r="BU53" i="46" s="1"/>
  <c r="BU72" i="46" s="1"/>
  <c r="BQ114" i="46"/>
  <c r="BT75" i="46"/>
  <c r="BT77" i="46" s="1"/>
  <c r="BT83" i="46" s="1"/>
  <c r="BT34" i="46"/>
  <c r="BT67" i="46"/>
  <c r="BT69" i="46" s="1"/>
  <c r="BT81" i="46" s="1"/>
  <c r="BT32" i="46"/>
  <c r="BT33" i="46"/>
  <c r="BT71" i="46"/>
  <c r="BT73" i="46" s="1"/>
  <c r="BT82" i="46" s="1"/>
  <c r="BS84" i="46"/>
  <c r="BR91" i="46"/>
  <c r="BR92" i="46" s="1"/>
  <c r="BR111" i="46" s="1"/>
  <c r="BR100" i="46"/>
  <c r="BR101" i="46" s="1"/>
  <c r="BR112" i="46" s="1"/>
  <c r="BP24" i="265"/>
  <c r="BP8" i="49"/>
  <c r="BP10" i="49" s="1"/>
  <c r="BT63" i="46"/>
  <c r="BT65" i="46" s="1"/>
  <c r="BT80" i="46" s="1"/>
  <c r="BT31" i="46"/>
  <c r="BS35" i="46"/>
  <c r="BS9" i="258" s="1"/>
  <c r="BS11" i="258" s="1"/>
  <c r="BS30" i="258" s="1"/>
  <c r="BS33" i="258" s="1"/>
  <c r="BS25" i="265" s="1"/>
  <c r="BV18" i="44"/>
  <c r="BV19" i="44" s="1"/>
  <c r="BV23" i="44"/>
  <c r="BV24" i="44" s="1"/>
  <c r="BV9" i="295" s="1"/>
  <c r="BV37" i="44"/>
  <c r="BV38" i="44" s="1"/>
  <c r="BV33" i="44"/>
  <c r="BV34" i="44" s="1"/>
  <c r="BV13" i="259" s="1"/>
  <c r="BU44" i="265"/>
  <c r="BU69" i="260"/>
  <c r="BW3" i="265"/>
  <c r="BW11" i="44"/>
  <c r="BW12" i="44" s="1"/>
  <c r="BW4" i="295" s="1"/>
  <c r="BU48" i="261"/>
  <c r="BU10" i="265"/>
  <c r="BU14" i="265"/>
  <c r="BU89" i="261"/>
  <c r="BU81" i="261"/>
  <c r="BU2" i="265"/>
  <c r="BU16" i="258"/>
  <c r="BU17" i="258" s="1"/>
  <c r="BU31" i="258" s="1"/>
  <c r="BU24" i="258"/>
  <c r="BU2" i="261"/>
  <c r="BU2" i="260"/>
  <c r="BU2" i="259"/>
  <c r="BW3" i="258"/>
  <c r="BW3" i="261"/>
  <c r="BW3" i="260"/>
  <c r="BW3" i="259"/>
  <c r="BU4" i="258"/>
  <c r="BU4" i="261"/>
  <c r="BU4" i="260"/>
  <c r="BU4" i="259"/>
  <c r="BU53" i="261"/>
  <c r="BU21" i="259"/>
  <c r="BU2" i="258"/>
  <c r="BW3" i="252"/>
  <c r="BW3" i="49"/>
  <c r="BW3" i="257"/>
  <c r="BW3" i="46"/>
  <c r="BX8" i="44"/>
  <c r="BX3" i="295" s="1"/>
  <c r="BW3" i="44"/>
  <c r="BV4" i="265"/>
  <c r="BU4" i="44"/>
  <c r="BU4" i="49"/>
  <c r="BU4" i="252"/>
  <c r="BU4" i="257"/>
  <c r="BU4" i="46"/>
  <c r="BU2" i="44"/>
  <c r="BU2" i="257"/>
  <c r="BU2" i="252"/>
  <c r="BU2" i="46"/>
  <c r="BU2" i="49"/>
  <c r="BU9" i="257"/>
  <c r="BU14" i="257" s="1"/>
  <c r="BV11" i="257" s="1"/>
  <c r="BP40" i="49" l="1"/>
  <c r="BP41" i="277" s="1"/>
  <c r="BV55" i="295"/>
  <c r="BV31" i="261"/>
  <c r="BV2" i="283"/>
  <c r="BV2" i="295"/>
  <c r="BV8" i="260"/>
  <c r="BV11" i="260" s="1"/>
  <c r="BV19" i="260" s="1"/>
  <c r="BV21" i="260" s="1"/>
  <c r="BV24" i="260" s="1"/>
  <c r="BV26" i="260" s="1"/>
  <c r="BV28" i="260" s="1"/>
  <c r="BX3" i="277"/>
  <c r="BX3" i="283"/>
  <c r="BV26" i="252"/>
  <c r="BV17" i="283"/>
  <c r="BV8" i="283"/>
  <c r="BV11" i="283" s="1"/>
  <c r="BW28" i="44"/>
  <c r="BW29" i="44" s="1"/>
  <c r="BW4" i="283"/>
  <c r="Y67" i="281"/>
  <c r="Y73" i="281" s="1"/>
  <c r="Y74" i="281" s="1"/>
  <c r="Y94" i="281" s="1"/>
  <c r="Y127" i="281"/>
  <c r="BU25" i="258"/>
  <c r="BU32" i="258" s="1"/>
  <c r="BV10" i="258"/>
  <c r="BV90" i="46"/>
  <c r="BV99" i="46"/>
  <c r="BV15" i="258"/>
  <c r="BV61" i="260"/>
  <c r="BV2" i="277"/>
  <c r="BW48" i="44"/>
  <c r="BW49" i="44" s="1"/>
  <c r="BW23" i="258" s="1"/>
  <c r="BW4" i="277"/>
  <c r="BS34" i="258"/>
  <c r="BS9" i="49" s="1"/>
  <c r="BR114" i="46"/>
  <c r="BR24" i="265" s="1"/>
  <c r="BS100" i="46"/>
  <c r="BS101" i="46" s="1"/>
  <c r="BS112" i="46" s="1"/>
  <c r="BS91" i="46"/>
  <c r="BS92" i="46" s="1"/>
  <c r="BS111" i="46" s="1"/>
  <c r="BU32" i="46"/>
  <c r="BU67" i="46"/>
  <c r="BU69" i="46" s="1"/>
  <c r="BU81" i="46" s="1"/>
  <c r="BT84" i="46"/>
  <c r="BQ24" i="265"/>
  <c r="BQ8" i="49"/>
  <c r="BQ10" i="49" s="1"/>
  <c r="BU33" i="46"/>
  <c r="BU71" i="46"/>
  <c r="BU73" i="46" s="1"/>
  <c r="BU82" i="46" s="1"/>
  <c r="BT35" i="46"/>
  <c r="BT9" i="258" s="1"/>
  <c r="BT11" i="258" s="1"/>
  <c r="BT30" i="258" s="1"/>
  <c r="BT33" i="258" s="1"/>
  <c r="BU31" i="46"/>
  <c r="BU63" i="46"/>
  <c r="BU65" i="46" s="1"/>
  <c r="BU80" i="46" s="1"/>
  <c r="BV52" i="46"/>
  <c r="BV53" i="46" s="1"/>
  <c r="BV72" i="46" s="1"/>
  <c r="BV47" i="46"/>
  <c r="BV48" i="46" s="1"/>
  <c r="BV68" i="46" s="1"/>
  <c r="BV57" i="46"/>
  <c r="BV58" i="46" s="1"/>
  <c r="BV76" i="46" s="1"/>
  <c r="BV42" i="46"/>
  <c r="BV43" i="46" s="1"/>
  <c r="BV64" i="46" s="1"/>
  <c r="BV27" i="46"/>
  <c r="BV28" i="46" s="1"/>
  <c r="BV17" i="46"/>
  <c r="BV18" i="46" s="1"/>
  <c r="BV12" i="46"/>
  <c r="BV13" i="46" s="1"/>
  <c r="BV22" i="46"/>
  <c r="BV23" i="46" s="1"/>
  <c r="BU75" i="46"/>
  <c r="BU77" i="46" s="1"/>
  <c r="BU83" i="46" s="1"/>
  <c r="BU34" i="46"/>
  <c r="BW23" i="44"/>
  <c r="BW24" i="44" s="1"/>
  <c r="BW9" i="295" s="1"/>
  <c r="BW37" i="44"/>
  <c r="BW38" i="44" s="1"/>
  <c r="BW33" i="44"/>
  <c r="BW34" i="44" s="1"/>
  <c r="BW13" i="259" s="1"/>
  <c r="BW18" i="44"/>
  <c r="BW19" i="44" s="1"/>
  <c r="BV44" i="265"/>
  <c r="BV69" i="260"/>
  <c r="BX3" i="265"/>
  <c r="BX11" i="44"/>
  <c r="BX12" i="44" s="1"/>
  <c r="BX4" i="295" s="1"/>
  <c r="BV48" i="261"/>
  <c r="BV10" i="265"/>
  <c r="BV14" i="265"/>
  <c r="BV89" i="261"/>
  <c r="BV81" i="261"/>
  <c r="BV2" i="265"/>
  <c r="BV16" i="258"/>
  <c r="BV24" i="258"/>
  <c r="BV25" i="258" s="1"/>
  <c r="BV2" i="261"/>
  <c r="BV2" i="260"/>
  <c r="BV2" i="259"/>
  <c r="BX3" i="258"/>
  <c r="BX3" i="261"/>
  <c r="BX3" i="260"/>
  <c r="BX3" i="259"/>
  <c r="BV21" i="259"/>
  <c r="BV53" i="261"/>
  <c r="BV4" i="258"/>
  <c r="BV4" i="261"/>
  <c r="BV4" i="259"/>
  <c r="BV4" i="260"/>
  <c r="BV2" i="258"/>
  <c r="BX3" i="257"/>
  <c r="BX3" i="49"/>
  <c r="BX3" i="46"/>
  <c r="BX3" i="252"/>
  <c r="BY8" i="44"/>
  <c r="BY3" i="295" s="1"/>
  <c r="BX3" i="44"/>
  <c r="BW4" i="265"/>
  <c r="BV9" i="257"/>
  <c r="BV14" i="257" s="1"/>
  <c r="BW11" i="257" s="1"/>
  <c r="BV4" i="44"/>
  <c r="BV4" i="257"/>
  <c r="BV4" i="49"/>
  <c r="BV4" i="252"/>
  <c r="BV4" i="46"/>
  <c r="BV2" i="44"/>
  <c r="BV2" i="49"/>
  <c r="BV2" i="46"/>
  <c r="BV2" i="257"/>
  <c r="BV2" i="252"/>
  <c r="BQ40" i="49" l="1"/>
  <c r="BQ41" i="277" s="1"/>
  <c r="BW55" i="295"/>
  <c r="BW31" i="261"/>
  <c r="BW2" i="283"/>
  <c r="BW2" i="295"/>
  <c r="BW26" i="252"/>
  <c r="BW8" i="283"/>
  <c r="BW11" i="283" s="1"/>
  <c r="BW17" i="283"/>
  <c r="BX28" i="44"/>
  <c r="BX29" i="44" s="1"/>
  <c r="BX8" i="260" s="1"/>
  <c r="BX11" i="260" s="1"/>
  <c r="BX19" i="260" s="1"/>
  <c r="BX21" i="260" s="1"/>
  <c r="BX24" i="260" s="1"/>
  <c r="BX4" i="283"/>
  <c r="BY3" i="277"/>
  <c r="BY3" i="283"/>
  <c r="BW8" i="260"/>
  <c r="BW11" i="260" s="1"/>
  <c r="BW19" i="260" s="1"/>
  <c r="BW21" i="260" s="1"/>
  <c r="BW24" i="260" s="1"/>
  <c r="BW25" i="260"/>
  <c r="Y77" i="281"/>
  <c r="Y78" i="281" s="1"/>
  <c r="Y87" i="281" s="1"/>
  <c r="BV17" i="258"/>
  <c r="BV31" i="258" s="1"/>
  <c r="BW15" i="258"/>
  <c r="BW10" i="258"/>
  <c r="BW99" i="46"/>
  <c r="BW90" i="46"/>
  <c r="BW61" i="260"/>
  <c r="BW2" i="277"/>
  <c r="BX48" i="44"/>
  <c r="BX49" i="44" s="1"/>
  <c r="BX15" i="258" s="1"/>
  <c r="BX4" i="277"/>
  <c r="BS114" i="46"/>
  <c r="BS8" i="49" s="1"/>
  <c r="BS10" i="49" s="1"/>
  <c r="BR8" i="49"/>
  <c r="BR10" i="49" s="1"/>
  <c r="BT25" i="265"/>
  <c r="BT34" i="258"/>
  <c r="BT9" i="49" s="1"/>
  <c r="BW27" i="46"/>
  <c r="BW28" i="46" s="1"/>
  <c r="BW22" i="46"/>
  <c r="BW23" i="46" s="1"/>
  <c r="BW57" i="46"/>
  <c r="BW58" i="46" s="1"/>
  <c r="BW76" i="46" s="1"/>
  <c r="BW42" i="46"/>
  <c r="BW43" i="46" s="1"/>
  <c r="BW64" i="46" s="1"/>
  <c r="BW12" i="46"/>
  <c r="BW13" i="46" s="1"/>
  <c r="BW47" i="46"/>
  <c r="BW48" i="46" s="1"/>
  <c r="BW68" i="46" s="1"/>
  <c r="BW52" i="46"/>
  <c r="BW53" i="46" s="1"/>
  <c r="BW72" i="46" s="1"/>
  <c r="BW17" i="46"/>
  <c r="BW18" i="46" s="1"/>
  <c r="BU84" i="46"/>
  <c r="BV67" i="46"/>
  <c r="BV69" i="46" s="1"/>
  <c r="BV81" i="46" s="1"/>
  <c r="BV32" i="46"/>
  <c r="BV34" i="46"/>
  <c r="BV75" i="46"/>
  <c r="BV77" i="46" s="1"/>
  <c r="BV83" i="46" s="1"/>
  <c r="BV71" i="46"/>
  <c r="BV73" i="46" s="1"/>
  <c r="BV82" i="46" s="1"/>
  <c r="BV33" i="46"/>
  <c r="BT91" i="46"/>
  <c r="BT92" i="46" s="1"/>
  <c r="BT111" i="46" s="1"/>
  <c r="BT100" i="46"/>
  <c r="BT101" i="46" s="1"/>
  <c r="BT112" i="46" s="1"/>
  <c r="BV63" i="46"/>
  <c r="BV65" i="46" s="1"/>
  <c r="BV80" i="46" s="1"/>
  <c r="BV31" i="46"/>
  <c r="BU35" i="46"/>
  <c r="BU9" i="258" s="1"/>
  <c r="BU11" i="258" s="1"/>
  <c r="BU30" i="258" s="1"/>
  <c r="BU33" i="258" s="1"/>
  <c r="BU25" i="265" s="1"/>
  <c r="BX37" i="44"/>
  <c r="BX38" i="44" s="1"/>
  <c r="BX33" i="44"/>
  <c r="BX34" i="44" s="1"/>
  <c r="BX13" i="259" s="1"/>
  <c r="BX18" i="44"/>
  <c r="BX19" i="44" s="1"/>
  <c r="BX23" i="44"/>
  <c r="BX24" i="44" s="1"/>
  <c r="BX9" i="295" s="1"/>
  <c r="BW44" i="265"/>
  <c r="BW69" i="260"/>
  <c r="BY3" i="265"/>
  <c r="BY11" i="44"/>
  <c r="BY12" i="44" s="1"/>
  <c r="BY4" i="295" s="1"/>
  <c r="BW48" i="261"/>
  <c r="BW10" i="265"/>
  <c r="BW14" i="265"/>
  <c r="BW89" i="261"/>
  <c r="BW81" i="261"/>
  <c r="BW2" i="265"/>
  <c r="BW16" i="258"/>
  <c r="BW24" i="258"/>
  <c r="BW25" i="258" s="1"/>
  <c r="BW32" i="258" s="1"/>
  <c r="BV32" i="258"/>
  <c r="BW4" i="258"/>
  <c r="BW4" i="260"/>
  <c r="BW4" i="261"/>
  <c r="BW4" i="259"/>
  <c r="BW2" i="260"/>
  <c r="BW2" i="261"/>
  <c r="BW2" i="259"/>
  <c r="BY3" i="258"/>
  <c r="BY3" i="261"/>
  <c r="BY3" i="260"/>
  <c r="BY3" i="259"/>
  <c r="BW53" i="261"/>
  <c r="BW21" i="259"/>
  <c r="BW2" i="258"/>
  <c r="BW4" i="44"/>
  <c r="BW4" i="252"/>
  <c r="BW4" i="46"/>
  <c r="BW4" i="49"/>
  <c r="BW4" i="257"/>
  <c r="BY3" i="49"/>
  <c r="BY3" i="257"/>
  <c r="BY3" i="252"/>
  <c r="BY3" i="46"/>
  <c r="BZ8" i="44"/>
  <c r="BZ3" i="295" s="1"/>
  <c r="BY3" i="44"/>
  <c r="BW9" i="257"/>
  <c r="BW14" i="257" s="1"/>
  <c r="BX11" i="257" s="1"/>
  <c r="BW2" i="44"/>
  <c r="BW2" i="257"/>
  <c r="BW2" i="46"/>
  <c r="BW2" i="252"/>
  <c r="BW2" i="49"/>
  <c r="BX4" i="265"/>
  <c r="BR40" i="49" l="1"/>
  <c r="BR41" i="277" s="1"/>
  <c r="BS40" i="49"/>
  <c r="BS41" i="277" s="1"/>
  <c r="BX55" i="295"/>
  <c r="BX31" i="261"/>
  <c r="BX2" i="283"/>
  <c r="BX2" i="295"/>
  <c r="BW26" i="260"/>
  <c r="BW28" i="260" s="1"/>
  <c r="BY28" i="44"/>
  <c r="BY29" i="44" s="1"/>
  <c r="BY8" i="260" s="1"/>
  <c r="BY11" i="260" s="1"/>
  <c r="BY19" i="260" s="1"/>
  <c r="BY21" i="260" s="1"/>
  <c r="BY24" i="260" s="1"/>
  <c r="BY4" i="283"/>
  <c r="BX26" i="252"/>
  <c r="BX8" i="283"/>
  <c r="BX11" i="283" s="1"/>
  <c r="BX17" i="283"/>
  <c r="BZ3" i="277"/>
  <c r="BZ3" i="283"/>
  <c r="BX25" i="260"/>
  <c r="BX26" i="260" s="1"/>
  <c r="BX28" i="260" s="1"/>
  <c r="Y95" i="281"/>
  <c r="Y96" i="281" s="1"/>
  <c r="Y81" i="281"/>
  <c r="Y83" i="281" s="1"/>
  <c r="Y88" i="281" s="1"/>
  <c r="Y89" i="281" s="1"/>
  <c r="Z86" i="281" s="1"/>
  <c r="BW17" i="258"/>
  <c r="BW31" i="258" s="1"/>
  <c r="BX99" i="46"/>
  <c r="BX23" i="258"/>
  <c r="BX90" i="46"/>
  <c r="BX10" i="258"/>
  <c r="BY48" i="44"/>
  <c r="BY49" i="44" s="1"/>
  <c r="BY99" i="46" s="1"/>
  <c r="BY4" i="277"/>
  <c r="BX61" i="260"/>
  <c r="BX2" i="277"/>
  <c r="BS24" i="265"/>
  <c r="BU34" i="258"/>
  <c r="BU9" i="49" s="1"/>
  <c r="BW31" i="46"/>
  <c r="BW63" i="46"/>
  <c r="BW65" i="46" s="1"/>
  <c r="BW80" i="46" s="1"/>
  <c r="BV35" i="46"/>
  <c r="BV9" i="258" s="1"/>
  <c r="BV11" i="258" s="1"/>
  <c r="BV30" i="258" s="1"/>
  <c r="BV33" i="258" s="1"/>
  <c r="BV25" i="265" s="1"/>
  <c r="BX57" i="46"/>
  <c r="BX58" i="46" s="1"/>
  <c r="BX76" i="46" s="1"/>
  <c r="BX17" i="46"/>
  <c r="BX18" i="46" s="1"/>
  <c r="BX52" i="46"/>
  <c r="BX53" i="46" s="1"/>
  <c r="BX72" i="46" s="1"/>
  <c r="BX47" i="46"/>
  <c r="BX48" i="46" s="1"/>
  <c r="BX68" i="46" s="1"/>
  <c r="BX42" i="46"/>
  <c r="BX43" i="46" s="1"/>
  <c r="BX64" i="46" s="1"/>
  <c r="BX27" i="46"/>
  <c r="BX28" i="46" s="1"/>
  <c r="BX22" i="46"/>
  <c r="BX23" i="46" s="1"/>
  <c r="BX12" i="46"/>
  <c r="BX13" i="46" s="1"/>
  <c r="BV84" i="46"/>
  <c r="BW33" i="46"/>
  <c r="BW71" i="46"/>
  <c r="BW73" i="46" s="1"/>
  <c r="BW82" i="46" s="1"/>
  <c r="BU91" i="46"/>
  <c r="BU92" i="46" s="1"/>
  <c r="BU111" i="46" s="1"/>
  <c r="BU100" i="46"/>
  <c r="BU101" i="46" s="1"/>
  <c r="BU112" i="46" s="1"/>
  <c r="BT114" i="46"/>
  <c r="BW32" i="46"/>
  <c r="BW67" i="46"/>
  <c r="BW69" i="46" s="1"/>
  <c r="BW81" i="46" s="1"/>
  <c r="BW75" i="46"/>
  <c r="BW77" i="46" s="1"/>
  <c r="BW83" i="46" s="1"/>
  <c r="BW34" i="46"/>
  <c r="BY37" i="44"/>
  <c r="BY38" i="44" s="1"/>
  <c r="BY33" i="44"/>
  <c r="BY34" i="44" s="1"/>
  <c r="BY13" i="259" s="1"/>
  <c r="BY23" i="44"/>
  <c r="BY24" i="44" s="1"/>
  <c r="BY9" i="295" s="1"/>
  <c r="BY18" i="44"/>
  <c r="BY19" i="44" s="1"/>
  <c r="BX44" i="265"/>
  <c r="BX69" i="260"/>
  <c r="BZ3" i="265"/>
  <c r="BZ11" i="44"/>
  <c r="BZ12" i="44" s="1"/>
  <c r="BZ4" i="295" s="1"/>
  <c r="BX48" i="261"/>
  <c r="BX10" i="265"/>
  <c r="BX14" i="265"/>
  <c r="BX89" i="261"/>
  <c r="BX81" i="261"/>
  <c r="BX2" i="265"/>
  <c r="BX16" i="258"/>
  <c r="BX17" i="258" s="1"/>
  <c r="BX31" i="258" s="1"/>
  <c r="BX24" i="258"/>
  <c r="BX4" i="258"/>
  <c r="BX4" i="261"/>
  <c r="BX4" i="260"/>
  <c r="BX4" i="259"/>
  <c r="BZ3" i="258"/>
  <c r="BZ3" i="261"/>
  <c r="BZ3" i="260"/>
  <c r="BZ3" i="259"/>
  <c r="BX53" i="261"/>
  <c r="BX21" i="259"/>
  <c r="BX2" i="261"/>
  <c r="BX2" i="259"/>
  <c r="BX2" i="260"/>
  <c r="BX2" i="258"/>
  <c r="BX4" i="44"/>
  <c r="BX4" i="257"/>
  <c r="BX4" i="46"/>
  <c r="BX4" i="252"/>
  <c r="BX4" i="49"/>
  <c r="BZ3" i="257"/>
  <c r="BZ3" i="252"/>
  <c r="BZ3" i="46"/>
  <c r="BZ3" i="49"/>
  <c r="CA8" i="44"/>
  <c r="CA3" i="295" s="1"/>
  <c r="BZ3" i="44"/>
  <c r="BY4" i="265"/>
  <c r="BX9" i="257"/>
  <c r="BX14" i="257" s="1"/>
  <c r="BY11" i="257" s="1"/>
  <c r="BX2" i="44"/>
  <c r="BX2" i="257"/>
  <c r="BX2" i="49"/>
  <c r="BX2" i="46"/>
  <c r="BX2" i="252"/>
  <c r="BY55" i="295" l="1"/>
  <c r="BY31" i="261"/>
  <c r="BY2" i="283"/>
  <c r="BY2" i="295"/>
  <c r="BY25" i="260"/>
  <c r="BY26" i="260" s="1"/>
  <c r="BY28" i="260" s="1"/>
  <c r="CA3" i="277"/>
  <c r="CA3" i="283"/>
  <c r="BZ28" i="44"/>
  <c r="BZ29" i="44" s="1"/>
  <c r="BZ8" i="260" s="1"/>
  <c r="BZ11" i="260" s="1"/>
  <c r="BZ19" i="260" s="1"/>
  <c r="BZ21" i="260" s="1"/>
  <c r="BZ24" i="260" s="1"/>
  <c r="BZ4" i="283"/>
  <c r="BY26" i="252"/>
  <c r="BY8" i="283"/>
  <c r="BY11" i="283" s="1"/>
  <c r="BY17" i="283"/>
  <c r="Y99" i="281"/>
  <c r="Y100" i="281" s="1"/>
  <c r="Y20" i="277" s="1"/>
  <c r="Y114" i="281"/>
  <c r="Y116" i="281" s="1"/>
  <c r="Z35" i="281"/>
  <c r="Z37" i="281" s="1"/>
  <c r="Z46" i="281"/>
  <c r="Z47" i="281" s="1"/>
  <c r="Z50" i="281" s="1"/>
  <c r="Z52" i="281" s="1"/>
  <c r="Z80" i="281"/>
  <c r="BX25" i="258"/>
  <c r="BX32" i="258" s="1"/>
  <c r="BY15" i="258"/>
  <c r="BY90" i="46"/>
  <c r="BY10" i="258"/>
  <c r="BY23" i="258"/>
  <c r="BY61" i="260"/>
  <c r="BY2" i="277"/>
  <c r="BZ48" i="44"/>
  <c r="BZ49" i="44" s="1"/>
  <c r="BZ99" i="46" s="1"/>
  <c r="BZ4" i="277"/>
  <c r="BU114" i="46"/>
  <c r="BU8" i="49" s="1"/>
  <c r="BU10" i="49" s="1"/>
  <c r="BW35" i="46"/>
  <c r="BW9" i="258" s="1"/>
  <c r="BW11" i="258" s="1"/>
  <c r="BW30" i="258" s="1"/>
  <c r="BW33" i="258" s="1"/>
  <c r="BW25" i="265" s="1"/>
  <c r="BX63" i="46"/>
  <c r="BX65" i="46" s="1"/>
  <c r="BX80" i="46" s="1"/>
  <c r="BX31" i="46"/>
  <c r="BX67" i="46"/>
  <c r="BX69" i="46" s="1"/>
  <c r="BX81" i="46" s="1"/>
  <c r="BX32" i="46"/>
  <c r="BX33" i="46"/>
  <c r="BX71" i="46"/>
  <c r="BX73" i="46" s="1"/>
  <c r="BX82" i="46" s="1"/>
  <c r="BX75" i="46"/>
  <c r="BX77" i="46" s="1"/>
  <c r="BX83" i="46" s="1"/>
  <c r="BX34" i="46"/>
  <c r="BW84" i="46"/>
  <c r="BY47" i="46"/>
  <c r="BY48" i="46" s="1"/>
  <c r="BY68" i="46" s="1"/>
  <c r="BY42" i="46"/>
  <c r="BY43" i="46" s="1"/>
  <c r="BY64" i="46" s="1"/>
  <c r="BY52" i="46"/>
  <c r="BY53" i="46" s="1"/>
  <c r="BY72" i="46" s="1"/>
  <c r="BY57" i="46"/>
  <c r="BY58" i="46" s="1"/>
  <c r="BY76" i="46" s="1"/>
  <c r="BY27" i="46"/>
  <c r="BY28" i="46" s="1"/>
  <c r="BY22" i="46"/>
  <c r="BY23" i="46" s="1"/>
  <c r="BY17" i="46"/>
  <c r="BY18" i="46" s="1"/>
  <c r="BY12" i="46"/>
  <c r="BY13" i="46" s="1"/>
  <c r="BV100" i="46"/>
  <c r="BV101" i="46" s="1"/>
  <c r="BV112" i="46" s="1"/>
  <c r="BV91" i="46"/>
  <c r="BV92" i="46" s="1"/>
  <c r="BV111" i="46" s="1"/>
  <c r="BV34" i="258"/>
  <c r="BV9" i="49" s="1"/>
  <c r="BT24" i="265"/>
  <c r="BT8" i="49"/>
  <c r="BT10" i="49" s="1"/>
  <c r="BZ18" i="44"/>
  <c r="BZ19" i="44" s="1"/>
  <c r="BZ37" i="44"/>
  <c r="BZ38" i="44" s="1"/>
  <c r="BZ33" i="44"/>
  <c r="BZ34" i="44" s="1"/>
  <c r="BZ13" i="259" s="1"/>
  <c r="BZ23" i="44"/>
  <c r="BZ24" i="44" s="1"/>
  <c r="BZ9" i="295" s="1"/>
  <c r="BY44" i="265"/>
  <c r="BY69" i="260"/>
  <c r="CA3" i="265"/>
  <c r="CA11" i="44"/>
  <c r="CA12" i="44" s="1"/>
  <c r="CA4" i="295" s="1"/>
  <c r="BY48" i="261"/>
  <c r="BY10" i="265"/>
  <c r="BY14" i="265"/>
  <c r="BY89" i="261"/>
  <c r="BY81" i="261"/>
  <c r="BY2" i="265"/>
  <c r="BY24" i="258"/>
  <c r="BY16" i="258"/>
  <c r="CA3" i="258"/>
  <c r="CA3" i="261"/>
  <c r="CA3" i="259"/>
  <c r="CA3" i="260"/>
  <c r="BY53" i="261"/>
  <c r="BY21" i="259"/>
  <c r="BY4" i="258"/>
  <c r="BY4" i="261"/>
  <c r="BY4" i="260"/>
  <c r="BY4" i="259"/>
  <c r="BY2" i="260"/>
  <c r="BY2" i="259"/>
  <c r="BY2" i="261"/>
  <c r="BY2" i="258"/>
  <c r="BY4" i="44"/>
  <c r="BY4" i="257"/>
  <c r="BY4" i="49"/>
  <c r="BY4" i="46"/>
  <c r="BY4" i="252"/>
  <c r="BY2" i="44"/>
  <c r="BY2" i="49"/>
  <c r="BY2" i="252"/>
  <c r="BY2" i="46"/>
  <c r="BY2" i="257"/>
  <c r="BZ4" i="265"/>
  <c r="CA3" i="46"/>
  <c r="CA3" i="257"/>
  <c r="CA3" i="49"/>
  <c r="CA3" i="252"/>
  <c r="CA3" i="44"/>
  <c r="BY9" i="257"/>
  <c r="BY14" i="257" s="1"/>
  <c r="BZ11" i="257" s="1"/>
  <c r="BU40" i="49" l="1"/>
  <c r="BU41" i="277" s="1"/>
  <c r="BT40" i="49"/>
  <c r="BT41" i="277" s="1"/>
  <c r="BZ55" i="295"/>
  <c r="BZ31" i="261"/>
  <c r="BZ2" i="283"/>
  <c r="BZ2" i="295"/>
  <c r="BZ25" i="260"/>
  <c r="BZ26" i="260" s="1"/>
  <c r="BZ28" i="260" s="1"/>
  <c r="BZ26" i="252"/>
  <c r="BZ8" i="283"/>
  <c r="BZ11" i="283" s="1"/>
  <c r="BZ17" i="283"/>
  <c r="CA28" i="44"/>
  <c r="CA29" i="44" s="1"/>
  <c r="CA8" i="260" s="1"/>
  <c r="CA11" i="260" s="1"/>
  <c r="CA4" i="283"/>
  <c r="Y29" i="277"/>
  <c r="Z126" i="281"/>
  <c r="Z65" i="281"/>
  <c r="Z125" i="281"/>
  <c r="Z40" i="281"/>
  <c r="Z64" i="281"/>
  <c r="BZ23" i="258"/>
  <c r="BY17" i="258"/>
  <c r="BY31" i="258" s="1"/>
  <c r="BY25" i="258"/>
  <c r="BY32" i="258" s="1"/>
  <c r="BZ15" i="258"/>
  <c r="BZ90" i="46"/>
  <c r="CA48" i="44"/>
  <c r="CA49" i="44" s="1"/>
  <c r="CA23" i="258" s="1"/>
  <c r="CA4" i="277"/>
  <c r="BZ10" i="258"/>
  <c r="BZ61" i="260"/>
  <c r="BZ2" i="277"/>
  <c r="BU24" i="265"/>
  <c r="BW34" i="258"/>
  <c r="BW9" i="49" s="1"/>
  <c r="BX35" i="46"/>
  <c r="BX9" i="258" s="1"/>
  <c r="BX11" i="258" s="1"/>
  <c r="BX30" i="258" s="1"/>
  <c r="BX33" i="258" s="1"/>
  <c r="BX25" i="265" s="1"/>
  <c r="BV114" i="46"/>
  <c r="BV8" i="49" s="1"/>
  <c r="BV10" i="49" s="1"/>
  <c r="BY63" i="46"/>
  <c r="BY65" i="46" s="1"/>
  <c r="BY80" i="46" s="1"/>
  <c r="BY31" i="46"/>
  <c r="BY67" i="46"/>
  <c r="BY69" i="46" s="1"/>
  <c r="BY81" i="46" s="1"/>
  <c r="BY32" i="46"/>
  <c r="BX84" i="46"/>
  <c r="BY34" i="46"/>
  <c r="BY75" i="46"/>
  <c r="BY77" i="46" s="1"/>
  <c r="BY83" i="46" s="1"/>
  <c r="BZ17" i="46"/>
  <c r="BZ18" i="46" s="1"/>
  <c r="BZ52" i="46"/>
  <c r="BZ53" i="46" s="1"/>
  <c r="BZ72" i="46" s="1"/>
  <c r="BZ27" i="46"/>
  <c r="BZ28" i="46" s="1"/>
  <c r="BZ47" i="46"/>
  <c r="BZ48" i="46" s="1"/>
  <c r="BZ68" i="46" s="1"/>
  <c r="BZ42" i="46"/>
  <c r="BZ43" i="46" s="1"/>
  <c r="BZ64" i="46" s="1"/>
  <c r="BZ22" i="46"/>
  <c r="BZ23" i="46" s="1"/>
  <c r="BZ57" i="46"/>
  <c r="BZ58" i="46" s="1"/>
  <c r="BZ76" i="46" s="1"/>
  <c r="BZ12" i="46"/>
  <c r="BZ13" i="46" s="1"/>
  <c r="BW91" i="46"/>
  <c r="BW92" i="46" s="1"/>
  <c r="BW111" i="46" s="1"/>
  <c r="BW100" i="46"/>
  <c r="BW101" i="46" s="1"/>
  <c r="BW112" i="46" s="1"/>
  <c r="BY33" i="46"/>
  <c r="BY71" i="46"/>
  <c r="BY73" i="46" s="1"/>
  <c r="BY82" i="46" s="1"/>
  <c r="CA33" i="44"/>
  <c r="CA23" i="44"/>
  <c r="CA18" i="44"/>
  <c r="CA37" i="44"/>
  <c r="BZ44" i="265"/>
  <c r="BZ69" i="260"/>
  <c r="BZ48" i="261"/>
  <c r="BZ10" i="265"/>
  <c r="BZ14" i="265"/>
  <c r="BZ81" i="261"/>
  <c r="BZ89" i="261"/>
  <c r="BZ2" i="265"/>
  <c r="BZ24" i="258"/>
  <c r="BZ16" i="258"/>
  <c r="BZ2" i="260"/>
  <c r="BZ2" i="261"/>
  <c r="BZ2" i="259"/>
  <c r="BZ4" i="258"/>
  <c r="BZ4" i="261"/>
  <c r="BZ4" i="260"/>
  <c r="BZ4" i="259"/>
  <c r="BZ53" i="261"/>
  <c r="BZ21" i="259"/>
  <c r="BZ2" i="258"/>
  <c r="BZ2" i="44"/>
  <c r="BZ2" i="257"/>
  <c r="BZ2" i="252"/>
  <c r="BZ2" i="46"/>
  <c r="BZ2" i="49"/>
  <c r="BZ4" i="44"/>
  <c r="BZ4" i="49"/>
  <c r="BZ4" i="257"/>
  <c r="BZ4" i="252"/>
  <c r="BZ4" i="46"/>
  <c r="BZ9" i="257"/>
  <c r="BZ14" i="257" s="1"/>
  <c r="CA11" i="257" s="1"/>
  <c r="BV40" i="49" l="1"/>
  <c r="BV41" i="277" s="1"/>
  <c r="H29" i="44"/>
  <c r="H26" i="252" s="1"/>
  <c r="CA25" i="260"/>
  <c r="CA26" i="252"/>
  <c r="CA17" i="283"/>
  <c r="CA8" i="283"/>
  <c r="CA11" i="283" s="1"/>
  <c r="Z67" i="281"/>
  <c r="Z73" i="281" s="1"/>
  <c r="Z74" i="281" s="1"/>
  <c r="Z77" i="281" s="1"/>
  <c r="Z78" i="281" s="1"/>
  <c r="Z127" i="281"/>
  <c r="CA19" i="260"/>
  <c r="CA21" i="260" s="1"/>
  <c r="CA24" i="260" s="1"/>
  <c r="H11" i="260"/>
  <c r="H19" i="260" s="1"/>
  <c r="BZ25" i="258"/>
  <c r="BZ32" i="258" s="1"/>
  <c r="BZ17" i="258"/>
  <c r="BZ31" i="258" s="1"/>
  <c r="CA90" i="46"/>
  <c r="CA99" i="46"/>
  <c r="CA15" i="258"/>
  <c r="CA10" i="258"/>
  <c r="BV24" i="265"/>
  <c r="BX34" i="258"/>
  <c r="BX9" i="49" s="1"/>
  <c r="BZ33" i="46"/>
  <c r="BZ71" i="46"/>
  <c r="BZ73" i="46" s="1"/>
  <c r="BZ82" i="46" s="1"/>
  <c r="BZ75" i="46"/>
  <c r="BZ77" i="46" s="1"/>
  <c r="BZ83" i="46" s="1"/>
  <c r="BZ34" i="46"/>
  <c r="BX91" i="46"/>
  <c r="BX92" i="46" s="1"/>
  <c r="BX111" i="46" s="1"/>
  <c r="BX100" i="46"/>
  <c r="BX101" i="46" s="1"/>
  <c r="BX112" i="46" s="1"/>
  <c r="BW114" i="46"/>
  <c r="BZ67" i="46"/>
  <c r="BZ69" i="46" s="1"/>
  <c r="BZ81" i="46" s="1"/>
  <c r="BZ32" i="46"/>
  <c r="BY84" i="46"/>
  <c r="BY35" i="46"/>
  <c r="BY9" i="258" s="1"/>
  <c r="BY11" i="258" s="1"/>
  <c r="BY30" i="258" s="1"/>
  <c r="BY33" i="258" s="1"/>
  <c r="BY25" i="265" s="1"/>
  <c r="BZ31" i="46"/>
  <c r="BZ63" i="46"/>
  <c r="BZ65" i="46" s="1"/>
  <c r="BZ80" i="46" s="1"/>
  <c r="CA34" i="44"/>
  <c r="H34" i="44" s="1"/>
  <c r="H13" i="259" s="1"/>
  <c r="CA38" i="44"/>
  <c r="CA10" i="265" s="1"/>
  <c r="CA4" i="265"/>
  <c r="CA19" i="44"/>
  <c r="CA24" i="44"/>
  <c r="CA9" i="295" s="1"/>
  <c r="CA10" i="295" s="1"/>
  <c r="CA12" i="295" s="1"/>
  <c r="CA55" i="295" l="1"/>
  <c r="CA31" i="261"/>
  <c r="CA2" i="283"/>
  <c r="CA2" i="295"/>
  <c r="CA26" i="260"/>
  <c r="CA28" i="260" s="1"/>
  <c r="H25" i="260"/>
  <c r="H8" i="283"/>
  <c r="H17" i="283"/>
  <c r="H8" i="260"/>
  <c r="Z94" i="281"/>
  <c r="Z95" i="281"/>
  <c r="Z87" i="281"/>
  <c r="Z81" i="281"/>
  <c r="Z83" i="281" s="1"/>
  <c r="Z88" i="281" s="1"/>
  <c r="CA61" i="260"/>
  <c r="CA2" i="277"/>
  <c r="BY34" i="258"/>
  <c r="BY9" i="49" s="1"/>
  <c r="BY100" i="46"/>
  <c r="BY101" i="46" s="1"/>
  <c r="BY112" i="46" s="1"/>
  <c r="BY91" i="46"/>
  <c r="BY92" i="46" s="1"/>
  <c r="BY111" i="46" s="1"/>
  <c r="BX114" i="46"/>
  <c r="BZ35" i="46"/>
  <c r="BZ9" i="258" s="1"/>
  <c r="BZ11" i="258" s="1"/>
  <c r="BW8" i="49"/>
  <c r="BW10" i="49" s="1"/>
  <c r="BW24" i="265"/>
  <c r="CA57" i="46"/>
  <c r="CA58" i="46" s="1"/>
  <c r="CA76" i="46" s="1"/>
  <c r="CA52" i="46"/>
  <c r="CA53" i="46" s="1"/>
  <c r="CA72" i="46" s="1"/>
  <c r="CA12" i="46"/>
  <c r="CA13" i="46" s="1"/>
  <c r="CA47" i="46"/>
  <c r="CA48" i="46" s="1"/>
  <c r="CA68" i="46" s="1"/>
  <c r="CA42" i="46"/>
  <c r="CA43" i="46" s="1"/>
  <c r="CA64" i="46" s="1"/>
  <c r="CA27" i="46"/>
  <c r="CA28" i="46" s="1"/>
  <c r="CA22" i="46"/>
  <c r="CA23" i="46" s="1"/>
  <c r="CA17" i="46"/>
  <c r="CA18" i="46" s="1"/>
  <c r="BZ84" i="46"/>
  <c r="CA44" i="265"/>
  <c r="CA69" i="260"/>
  <c r="CA14" i="265"/>
  <c r="CA81" i="261"/>
  <c r="CA89" i="261"/>
  <c r="CA13" i="259"/>
  <c r="H38" i="44"/>
  <c r="CA48" i="261"/>
  <c r="CA2" i="265"/>
  <c r="CA24" i="258"/>
  <c r="CA25" i="258" s="1"/>
  <c r="CA16" i="258"/>
  <c r="CA17" i="258" s="1"/>
  <c r="CA2" i="261"/>
  <c r="CA2" i="260"/>
  <c r="CA2" i="259"/>
  <c r="CA53" i="261"/>
  <c r="CA21" i="259"/>
  <c r="CA4" i="258"/>
  <c r="CA4" i="260"/>
  <c r="CA4" i="261"/>
  <c r="CA4" i="259"/>
  <c r="CA2" i="258"/>
  <c r="CA2" i="257"/>
  <c r="CA2" i="49"/>
  <c r="CA2" i="46"/>
  <c r="CA2" i="252"/>
  <c r="CA2" i="44"/>
  <c r="H24" i="44"/>
  <c r="H9" i="295" s="1"/>
  <c r="CA9" i="257"/>
  <c r="CA14" i="257" s="1"/>
  <c r="H19" i="44"/>
  <c r="CA4" i="44"/>
  <c r="CA4" i="257"/>
  <c r="CA4" i="49"/>
  <c r="CA4" i="252"/>
  <c r="CA4" i="46"/>
  <c r="BW40" i="49" l="1"/>
  <c r="BW41" i="277" s="1"/>
  <c r="H55" i="295"/>
  <c r="H31" i="261"/>
  <c r="H2" i="283"/>
  <c r="H2" i="295"/>
  <c r="Z96" i="281"/>
  <c r="Z89" i="281"/>
  <c r="AA86" i="281" s="1"/>
  <c r="H61" i="260"/>
  <c r="H2" i="277"/>
  <c r="H42" i="46"/>
  <c r="H27" i="46"/>
  <c r="H47" i="46"/>
  <c r="H22" i="46"/>
  <c r="H57" i="46"/>
  <c r="H52" i="46"/>
  <c r="H12" i="46"/>
  <c r="H17" i="46"/>
  <c r="BZ91" i="46"/>
  <c r="BZ92" i="46" s="1"/>
  <c r="BZ100" i="46"/>
  <c r="BZ101" i="46" s="1"/>
  <c r="BZ112" i="46" s="1"/>
  <c r="BX8" i="49"/>
  <c r="BX10" i="49" s="1"/>
  <c r="BX24" i="265"/>
  <c r="CA33" i="46"/>
  <c r="CA71" i="46"/>
  <c r="CA73" i="46" s="1"/>
  <c r="H23" i="46"/>
  <c r="BY114" i="46"/>
  <c r="CA31" i="46"/>
  <c r="CA63" i="46"/>
  <c r="CA65" i="46" s="1"/>
  <c r="H13" i="46"/>
  <c r="BZ30" i="258"/>
  <c r="BZ33" i="258" s="1"/>
  <c r="CA67" i="46"/>
  <c r="CA69" i="46" s="1"/>
  <c r="CA32" i="46"/>
  <c r="H18" i="46"/>
  <c r="CA75" i="46"/>
  <c r="CA77" i="46" s="1"/>
  <c r="CA34" i="46"/>
  <c r="H28" i="46"/>
  <c r="H44" i="265"/>
  <c r="H69" i="260"/>
  <c r="H48" i="261"/>
  <c r="H10" i="265"/>
  <c r="H14" i="265"/>
  <c r="H89" i="261"/>
  <c r="H81" i="261"/>
  <c r="H2" i="265"/>
  <c r="H24" i="258"/>
  <c r="H16" i="258"/>
  <c r="CA31" i="258"/>
  <c r="H17" i="258"/>
  <c r="H31" i="258" s="1"/>
  <c r="CA32" i="258"/>
  <c r="H25" i="258"/>
  <c r="H32" i="258" s="1"/>
  <c r="H2" i="261"/>
  <c r="H2" i="260"/>
  <c r="H2" i="259"/>
  <c r="H53" i="261"/>
  <c r="H21" i="259"/>
  <c r="H2" i="258"/>
  <c r="H2" i="44"/>
  <c r="H2" i="49"/>
  <c r="H2" i="257"/>
  <c r="H2" i="252"/>
  <c r="H2" i="46"/>
  <c r="H9" i="257"/>
  <c r="BX40" i="49" l="1"/>
  <c r="BX41" i="277" s="1"/>
  <c r="Z99" i="281"/>
  <c r="Z100" i="281" s="1"/>
  <c r="Z29" i="277" s="1"/>
  <c r="Z114" i="281"/>
  <c r="Z116" i="281" s="1"/>
  <c r="AA46" i="281"/>
  <c r="AA47" i="281" s="1"/>
  <c r="AA50" i="281" s="1"/>
  <c r="AA52" i="281" s="1"/>
  <c r="AA80" i="281"/>
  <c r="AA35" i="281"/>
  <c r="AA37" i="281" s="1"/>
  <c r="H75" i="46"/>
  <c r="H34" i="46"/>
  <c r="CA83" i="46"/>
  <c r="H77" i="46"/>
  <c r="H83" i="46" s="1"/>
  <c r="H31" i="46"/>
  <c r="H63" i="46"/>
  <c r="CA80" i="46"/>
  <c r="H65" i="46"/>
  <c r="H80" i="46" s="1"/>
  <c r="CA82" i="46"/>
  <c r="H73" i="46"/>
  <c r="H82" i="46" s="1"/>
  <c r="CA81" i="46"/>
  <c r="H69" i="46"/>
  <c r="H81" i="46" s="1"/>
  <c r="CA35" i="46"/>
  <c r="BY8" i="49"/>
  <c r="BY10" i="49" s="1"/>
  <c r="BY24" i="265"/>
  <c r="BZ25" i="265"/>
  <c r="BZ34" i="258"/>
  <c r="BZ9" i="49" s="1"/>
  <c r="H32" i="46"/>
  <c r="H67" i="46"/>
  <c r="BZ111" i="46"/>
  <c r="BZ114" i="46" s="1"/>
  <c r="H33" i="46"/>
  <c r="H71" i="46"/>
  <c r="BY40" i="49" l="1"/>
  <c r="BY41" i="277" s="1"/>
  <c r="Z20" i="277"/>
  <c r="AA125" i="281"/>
  <c r="AA40" i="281"/>
  <c r="AA64" i="281"/>
  <c r="AA65" i="281"/>
  <c r="AA126" i="281"/>
  <c r="CA9" i="258"/>
  <c r="CA11" i="258" s="1"/>
  <c r="H35" i="46"/>
  <c r="H9" i="258" s="1"/>
  <c r="BZ8" i="49"/>
  <c r="BZ10" i="49" s="1"/>
  <c r="BZ24" i="265"/>
  <c r="CA84" i="46"/>
  <c r="BZ40" i="49" l="1"/>
  <c r="BZ41" i="277" s="1"/>
  <c r="AA67" i="281"/>
  <c r="AA73" i="281" s="1"/>
  <c r="AA74" i="281" s="1"/>
  <c r="AA127" i="281"/>
  <c r="CA91" i="46"/>
  <c r="CA92" i="46" s="1"/>
  <c r="CA100" i="46"/>
  <c r="CA101" i="46" s="1"/>
  <c r="H84" i="46"/>
  <c r="CA30" i="258"/>
  <c r="CA33" i="258" s="1"/>
  <c r="H11" i="258"/>
  <c r="H30" i="258" s="1"/>
  <c r="AA94" i="281" l="1"/>
  <c r="AA77" i="281"/>
  <c r="AA78" i="281" s="1"/>
  <c r="CA111" i="46"/>
  <c r="H92" i="46"/>
  <c r="H111" i="46" s="1"/>
  <c r="CA25" i="265"/>
  <c r="H33" i="258"/>
  <c r="H25" i="265" s="1"/>
  <c r="CA34" i="258"/>
  <c r="H91" i="46"/>
  <c r="H100" i="46"/>
  <c r="CA112" i="46"/>
  <c r="H101" i="46"/>
  <c r="H112" i="46" s="1"/>
  <c r="AA87" i="281" l="1"/>
  <c r="AA81" i="281"/>
  <c r="AA83" i="281" s="1"/>
  <c r="AA88" i="281" s="1"/>
  <c r="AA95" i="281"/>
  <c r="AA96" i="281" s="1"/>
  <c r="CA114" i="46"/>
  <c r="CA8" i="49" s="1"/>
  <c r="H34" i="258"/>
  <c r="H9" i="49" s="1"/>
  <c r="CA9" i="49"/>
  <c r="AA99" i="281" l="1"/>
  <c r="AA100" i="281" s="1"/>
  <c r="AA29" i="277" s="1"/>
  <c r="AA114" i="281"/>
  <c r="AA116" i="281" s="1"/>
  <c r="AA89" i="281"/>
  <c r="AB86" i="281" s="1"/>
  <c r="AB80" i="281" s="1"/>
  <c r="H114" i="46"/>
  <c r="H24" i="265" s="1"/>
  <c r="CA24" i="265"/>
  <c r="CA10" i="49"/>
  <c r="AA20" i="277" l="1"/>
  <c r="AB46" i="281"/>
  <c r="AB47" i="281" s="1"/>
  <c r="AB50" i="281" s="1"/>
  <c r="AB52" i="281" s="1"/>
  <c r="AB65" i="281" s="1"/>
  <c r="AB35" i="281"/>
  <c r="AB37" i="281" s="1"/>
  <c r="AB125" i="281" s="1"/>
  <c r="H8" i="49"/>
  <c r="CA40" i="49"/>
  <c r="CA41" i="277" s="1"/>
  <c r="F43" i="277" s="1"/>
  <c r="H10" i="49"/>
  <c r="H40" i="49" s="1"/>
  <c r="H41" i="277" s="1"/>
  <c r="AB126" i="281" l="1"/>
  <c r="AB127" i="281" s="1"/>
  <c r="AB40" i="281"/>
  <c r="AB64" i="281"/>
  <c r="AB67" i="281" s="1"/>
  <c r="AB73" i="281" s="1"/>
  <c r="AB74" i="281" s="1"/>
  <c r="AB77" i="281" l="1"/>
  <c r="AB78" i="281" s="1"/>
  <c r="AB95" i="281" s="1"/>
  <c r="AB94" i="281"/>
  <c r="AB96" i="281" l="1"/>
  <c r="AB99" i="281" s="1"/>
  <c r="AB100" i="281" s="1"/>
  <c r="AB29" i="277" s="1"/>
  <c r="AB87" i="281"/>
  <c r="AB81" i="281"/>
  <c r="AB83" i="281" s="1"/>
  <c r="AB88" i="281" s="1"/>
  <c r="AB20" i="277" l="1"/>
  <c r="AB89" i="281"/>
  <c r="AC86" i="281" s="1"/>
  <c r="AC46" i="281" s="1"/>
  <c r="AC47" i="281" s="1"/>
  <c r="AC50" i="281" s="1"/>
  <c r="AC52" i="281" s="1"/>
  <c r="AB114" i="281"/>
  <c r="AB116" i="281" s="1"/>
  <c r="AC80" i="281" l="1"/>
  <c r="AC35" i="281"/>
  <c r="AC37" i="281" s="1"/>
  <c r="AC125" i="281" s="1"/>
  <c r="AC65" i="281"/>
  <c r="AC126" i="281"/>
  <c r="AC40" i="281" l="1"/>
  <c r="AC64" i="281"/>
  <c r="AC67" i="281" s="1"/>
  <c r="AC73" i="281" s="1"/>
  <c r="AC74" i="281" s="1"/>
  <c r="AC127" i="281"/>
  <c r="AC77" i="281" l="1"/>
  <c r="AC78" i="281" s="1"/>
  <c r="AC94" i="281"/>
  <c r="AC95" i="281" l="1"/>
  <c r="AC96" i="281" s="1"/>
  <c r="AC81" i="281"/>
  <c r="AC83" i="281" s="1"/>
  <c r="AC88" i="281" s="1"/>
  <c r="AC87" i="281"/>
  <c r="AC99" i="281" l="1"/>
  <c r="AC100" i="281" s="1"/>
  <c r="AC29" i="277" s="1"/>
  <c r="AC114" i="281"/>
  <c r="AC116" i="281" s="1"/>
  <c r="AC89" i="281"/>
  <c r="AD86" i="281" s="1"/>
  <c r="AC20" i="277" l="1"/>
  <c r="AD46" i="281"/>
  <c r="AD47" i="281" s="1"/>
  <c r="AD50" i="281" s="1"/>
  <c r="AD52" i="281" s="1"/>
  <c r="AD35" i="281"/>
  <c r="AD37" i="281" s="1"/>
  <c r="AD80" i="281"/>
  <c r="AD125" i="281" l="1"/>
  <c r="AD64" i="281"/>
  <c r="AD40" i="281"/>
  <c r="AD126" i="281"/>
  <c r="AD65" i="281"/>
  <c r="AD127" i="281" l="1"/>
  <c r="AD67" i="281"/>
  <c r="AD73" i="281" s="1"/>
  <c r="AD74" i="281" s="1"/>
  <c r="AD94" i="281" l="1"/>
  <c r="AD77" i="281"/>
  <c r="AD78" i="281" s="1"/>
  <c r="AD81" i="281" l="1"/>
  <c r="AD83" i="281" s="1"/>
  <c r="AD88" i="281" s="1"/>
  <c r="AD87" i="281"/>
  <c r="AD95" i="281"/>
  <c r="AD96" i="281" s="1"/>
  <c r="AD99" i="281" l="1"/>
  <c r="AD100" i="281" s="1"/>
  <c r="AD20" i="277" s="1"/>
  <c r="AD114" i="281"/>
  <c r="AD116" i="281" s="1"/>
  <c r="AD89" i="281"/>
  <c r="AE86" i="281" s="1"/>
  <c r="AE80" i="281" s="1"/>
  <c r="AD29" i="277" l="1"/>
  <c r="AE35" i="281"/>
  <c r="AE37" i="281" s="1"/>
  <c r="AE125" i="281" s="1"/>
  <c r="AE46" i="281"/>
  <c r="AE47" i="281" s="1"/>
  <c r="AE50" i="281" s="1"/>
  <c r="AE52" i="281" s="1"/>
  <c r="AE126" i="281" s="1"/>
  <c r="AE127" i="281" l="1"/>
  <c r="AE65" i="281"/>
  <c r="AE40" i="281"/>
  <c r="AE64" i="281"/>
  <c r="AE67" i="281" l="1"/>
  <c r="AE73" i="281" s="1"/>
  <c r="AE74" i="281" s="1"/>
  <c r="AE94" i="281" s="1"/>
  <c r="AE77" i="281" l="1"/>
  <c r="AE78" i="281" s="1"/>
  <c r="AE87" i="281" s="1"/>
  <c r="AE81" i="281" l="1"/>
  <c r="AE83" i="281" s="1"/>
  <c r="AE88" i="281" s="1"/>
  <c r="AE89" i="281" s="1"/>
  <c r="AF86" i="281" s="1"/>
  <c r="AE95" i="281"/>
  <c r="AE96" i="281" s="1"/>
  <c r="AE99" i="281" s="1"/>
  <c r="AE100" i="281" s="1"/>
  <c r="AE29" i="277" l="1"/>
  <c r="AE20" i="277"/>
  <c r="AE114" i="281"/>
  <c r="AE116" i="281" s="1"/>
  <c r="AF46" i="281"/>
  <c r="AF47" i="281" s="1"/>
  <c r="AF50" i="281" s="1"/>
  <c r="AF52" i="281" s="1"/>
  <c r="AF35" i="281"/>
  <c r="AF37" i="281" s="1"/>
  <c r="AF80" i="281"/>
  <c r="AF40" i="281" l="1"/>
  <c r="AF125" i="281"/>
  <c r="AF64" i="281"/>
  <c r="AF126" i="281"/>
  <c r="AF65" i="281"/>
  <c r="AF67" i="281" l="1"/>
  <c r="AF73" i="281" s="1"/>
  <c r="AF74" i="281" s="1"/>
  <c r="AF127" i="281"/>
  <c r="AF77" i="281" l="1"/>
  <c r="AF78" i="281" s="1"/>
  <c r="AF94" i="281"/>
  <c r="AF81" i="281" l="1"/>
  <c r="AF83" i="281" s="1"/>
  <c r="AF88" i="281" s="1"/>
  <c r="AF87" i="281"/>
  <c r="AF95" i="281"/>
  <c r="AF96" i="281" s="1"/>
  <c r="AF89" i="281" l="1"/>
  <c r="AG86" i="281" s="1"/>
  <c r="AG80" i="281" s="1"/>
  <c r="AF99" i="281"/>
  <c r="AF100" i="281" s="1"/>
  <c r="AF29" i="277" s="1"/>
  <c r="AF114" i="281"/>
  <c r="AF116" i="281" s="1"/>
  <c r="AF20" i="277" l="1"/>
  <c r="AG46" i="281"/>
  <c r="AG47" i="281" s="1"/>
  <c r="AG50" i="281" s="1"/>
  <c r="AG52" i="281" s="1"/>
  <c r="AG65" i="281" s="1"/>
  <c r="AG35" i="281"/>
  <c r="AG37" i="281" s="1"/>
  <c r="AG125" i="281" s="1"/>
  <c r="AG64" i="281" l="1"/>
  <c r="AG67" i="281" s="1"/>
  <c r="AG73" i="281" s="1"/>
  <c r="AG74" i="281" s="1"/>
  <c r="AG77" i="281" s="1"/>
  <c r="AG78" i="281" s="1"/>
  <c r="AG40" i="281"/>
  <c r="AG126" i="281"/>
  <c r="AG127" i="281" s="1"/>
  <c r="AG94" i="281" l="1"/>
  <c r="AG87" i="281"/>
  <c r="AG81" i="281"/>
  <c r="AG83" i="281" s="1"/>
  <c r="AG88" i="281" s="1"/>
  <c r="AG95" i="281"/>
  <c r="AG96" i="281" l="1"/>
  <c r="AG89" i="281"/>
  <c r="AH86" i="281" s="1"/>
  <c r="AG99" i="281" l="1"/>
  <c r="AG100" i="281" s="1"/>
  <c r="AG29" i="277" s="1"/>
  <c r="AG114" i="281"/>
  <c r="AG116" i="281" s="1"/>
  <c r="AH35" i="281"/>
  <c r="AH37" i="281" s="1"/>
  <c r="AH46" i="281"/>
  <c r="AH47" i="281" s="1"/>
  <c r="AH50" i="281" s="1"/>
  <c r="AH52" i="281" s="1"/>
  <c r="AH80" i="281"/>
  <c r="AG20" i="277" l="1"/>
  <c r="AH65" i="281"/>
  <c r="AH126" i="281"/>
  <c r="AH64" i="281"/>
  <c r="AH40" i="281"/>
  <c r="AH125" i="281"/>
  <c r="AH67" i="281" l="1"/>
  <c r="AH73" i="281" s="1"/>
  <c r="AH74" i="281" s="1"/>
  <c r="AH77" i="281" s="1"/>
  <c r="AH78" i="281" s="1"/>
  <c r="AH127" i="281"/>
  <c r="AH94" i="281" l="1"/>
  <c r="AH95" i="281"/>
  <c r="AH81" i="281"/>
  <c r="AH83" i="281" s="1"/>
  <c r="AH88" i="281" s="1"/>
  <c r="AH87" i="281"/>
  <c r="AH96" i="281" l="1"/>
  <c r="AH99" i="281" s="1"/>
  <c r="AH100" i="281" s="1"/>
  <c r="AH29" i="277" s="1"/>
  <c r="AH89" i="281"/>
  <c r="AI86" i="281" s="1"/>
  <c r="AH114" i="281" l="1"/>
  <c r="AH116" i="281" s="1"/>
  <c r="AH20" i="277"/>
  <c r="AI46" i="281"/>
  <c r="AI47" i="281" s="1"/>
  <c r="AI50" i="281" s="1"/>
  <c r="AI52" i="281" s="1"/>
  <c r="AI80" i="281"/>
  <c r="AI35" i="281"/>
  <c r="AI37" i="281" s="1"/>
  <c r="AI125" i="281" l="1"/>
  <c r="AI64" i="281"/>
  <c r="AI40" i="281"/>
  <c r="AI65" i="281"/>
  <c r="AI126" i="281"/>
  <c r="AI127" i="281" l="1"/>
  <c r="AI67" i="281"/>
  <c r="AI73" i="281" s="1"/>
  <c r="AI74" i="281" s="1"/>
  <c r="AI77" i="281" l="1"/>
  <c r="AI78" i="281" s="1"/>
  <c r="AI94" i="281"/>
  <c r="AI81" i="281" l="1"/>
  <c r="AI83" i="281" s="1"/>
  <c r="AI88" i="281" s="1"/>
  <c r="AI87" i="281"/>
  <c r="AI95" i="281"/>
  <c r="AI96" i="281" s="1"/>
  <c r="AI99" i="281" l="1"/>
  <c r="AI100" i="281" s="1"/>
  <c r="AI20" i="277" s="1"/>
  <c r="AI114" i="281"/>
  <c r="AI116" i="281" s="1"/>
  <c r="AI89" i="281"/>
  <c r="AJ86" i="281" s="1"/>
  <c r="AJ46" i="281" s="1"/>
  <c r="AJ47" i="281" s="1"/>
  <c r="AJ50" i="281" s="1"/>
  <c r="AJ52" i="281" s="1"/>
  <c r="AI29" i="277" l="1"/>
  <c r="AJ35" i="281"/>
  <c r="AJ37" i="281" s="1"/>
  <c r="AJ64" i="281" s="1"/>
  <c r="AJ80" i="281"/>
  <c r="AJ126" i="281"/>
  <c r="AJ65" i="281"/>
  <c r="AJ125" i="281" l="1"/>
  <c r="AJ127" i="281" s="1"/>
  <c r="AJ40" i="281"/>
  <c r="AJ67" i="281"/>
  <c r="AJ73" i="281" s="1"/>
  <c r="AJ74" i="281" s="1"/>
  <c r="AJ94" i="281" l="1"/>
  <c r="AJ77" i="281"/>
  <c r="AJ78" i="281" s="1"/>
  <c r="AJ81" i="281" l="1"/>
  <c r="AJ83" i="281" s="1"/>
  <c r="AJ88" i="281" s="1"/>
  <c r="AJ95" i="281"/>
  <c r="AJ96" i="281" s="1"/>
  <c r="AJ87" i="281"/>
  <c r="AJ99" i="281" l="1"/>
  <c r="AJ100" i="281" s="1"/>
  <c r="AJ20" i="277" s="1"/>
  <c r="AJ114" i="281"/>
  <c r="AJ116" i="281" s="1"/>
  <c r="AJ89" i="281"/>
  <c r="AK86" i="281" s="1"/>
  <c r="AK46" i="281" s="1"/>
  <c r="AK47" i="281" s="1"/>
  <c r="AK50" i="281" s="1"/>
  <c r="AK52" i="281" s="1"/>
  <c r="AJ29" i="277" l="1"/>
  <c r="AK80" i="281"/>
  <c r="AK35" i="281"/>
  <c r="AK37" i="281" s="1"/>
  <c r="AK40" i="281" s="1"/>
  <c r="AK65" i="281"/>
  <c r="AK126" i="281"/>
  <c r="AK125" i="281" l="1"/>
  <c r="AK127" i="281" s="1"/>
  <c r="AK64" i="281"/>
  <c r="AK67" i="281" s="1"/>
  <c r="AK73" i="281" s="1"/>
  <c r="AK74" i="281" s="1"/>
  <c r="AK94" i="281" s="1"/>
  <c r="AK77" i="281" l="1"/>
  <c r="AK78" i="281" s="1"/>
  <c r="AK87" i="281" s="1"/>
  <c r="AK81" i="281" l="1"/>
  <c r="AK83" i="281" s="1"/>
  <c r="AK88" i="281" s="1"/>
  <c r="AK89" i="281" s="1"/>
  <c r="AL86" i="281" s="1"/>
  <c r="AK95" i="281"/>
  <c r="AK96" i="281" s="1"/>
  <c r="AK99" i="281" l="1"/>
  <c r="AK100" i="281" s="1"/>
  <c r="AK20" i="277" s="1"/>
  <c r="AK114" i="281"/>
  <c r="AK116" i="281" s="1"/>
  <c r="AL35" i="281"/>
  <c r="AL37" i="281" s="1"/>
  <c r="AL80" i="281"/>
  <c r="AL46" i="281"/>
  <c r="AL47" i="281" s="1"/>
  <c r="AL50" i="281" s="1"/>
  <c r="AL52" i="281" s="1"/>
  <c r="AK29" i="277" l="1"/>
  <c r="AL126" i="281"/>
  <c r="AL65" i="281"/>
  <c r="AL64" i="281"/>
  <c r="AL125" i="281"/>
  <c r="AL40" i="281"/>
  <c r="AL67" i="281" l="1"/>
  <c r="AL73" i="281" s="1"/>
  <c r="AL74" i="281" s="1"/>
  <c r="AL77" i="281" s="1"/>
  <c r="AL78" i="281" s="1"/>
  <c r="AL127" i="281"/>
  <c r="AL94" i="281" l="1"/>
  <c r="AL81" i="281"/>
  <c r="AL83" i="281" s="1"/>
  <c r="AL88" i="281" s="1"/>
  <c r="AL87" i="281"/>
  <c r="AL95" i="281"/>
  <c r="AL96" i="281" l="1"/>
  <c r="AL99" i="281" s="1"/>
  <c r="AL100" i="281" s="1"/>
  <c r="AL29" i="277" s="1"/>
  <c r="AL89" i="281"/>
  <c r="AM86" i="281" s="1"/>
  <c r="AM80" i="281" s="1"/>
  <c r="AL20" i="277" l="1"/>
  <c r="AL114" i="281"/>
  <c r="AL116" i="281" s="1"/>
  <c r="AM35" i="281"/>
  <c r="AM37" i="281" s="1"/>
  <c r="AM40" i="281" s="1"/>
  <c r="AM46" i="281"/>
  <c r="AM47" i="281" s="1"/>
  <c r="AM50" i="281" s="1"/>
  <c r="AM52" i="281" s="1"/>
  <c r="AM65" i="281" s="1"/>
  <c r="AM125" i="281" l="1"/>
  <c r="AM126" i="281"/>
  <c r="AM64" i="281"/>
  <c r="AM67" i="281" s="1"/>
  <c r="AM73" i="281" s="1"/>
  <c r="AM74" i="281" s="1"/>
  <c r="AM77" i="281" s="1"/>
  <c r="AM78" i="281" s="1"/>
  <c r="AM127" i="281" l="1"/>
  <c r="AM94" i="281"/>
  <c r="AM81" i="281"/>
  <c r="AM83" i="281" s="1"/>
  <c r="AM88" i="281" s="1"/>
  <c r="AM87" i="281"/>
  <c r="AM95" i="281"/>
  <c r="AM96" i="281" l="1"/>
  <c r="AM89" i="281"/>
  <c r="AN86" i="281" s="1"/>
  <c r="AN46" i="281" s="1"/>
  <c r="AN47" i="281" s="1"/>
  <c r="AN50" i="281" s="1"/>
  <c r="AN52" i="281" s="1"/>
  <c r="AM99" i="281" l="1"/>
  <c r="AM100" i="281" s="1"/>
  <c r="AM20" i="277" s="1"/>
  <c r="AM114" i="281"/>
  <c r="AM116" i="281" s="1"/>
  <c r="AN80" i="281"/>
  <c r="AN35" i="281"/>
  <c r="AN37" i="281" s="1"/>
  <c r="AN125" i="281" s="1"/>
  <c r="AN65" i="281"/>
  <c r="AN126" i="281"/>
  <c r="AM29" i="277" l="1"/>
  <c r="AN40" i="281"/>
  <c r="AN64" i="281"/>
  <c r="AN67" i="281" s="1"/>
  <c r="AN73" i="281" s="1"/>
  <c r="AN74" i="281" s="1"/>
  <c r="AN127" i="281"/>
  <c r="AN77" i="281" l="1"/>
  <c r="AN78" i="281" s="1"/>
  <c r="AN94" i="281"/>
  <c r="AN81" i="281" l="1"/>
  <c r="AN83" i="281" s="1"/>
  <c r="AN88" i="281" s="1"/>
  <c r="AN95" i="281"/>
  <c r="AN96" i="281" s="1"/>
  <c r="AN87" i="281"/>
  <c r="AN99" i="281" l="1"/>
  <c r="AN100" i="281" s="1"/>
  <c r="AN29" i="277" s="1"/>
  <c r="AN114" i="281"/>
  <c r="AN116" i="281" s="1"/>
  <c r="AN89" i="281"/>
  <c r="AO86" i="281" s="1"/>
  <c r="AN20" i="277" l="1"/>
  <c r="AO46" i="281"/>
  <c r="AO47" i="281" s="1"/>
  <c r="AO50" i="281" s="1"/>
  <c r="AO52" i="281" s="1"/>
  <c r="AO80" i="281"/>
  <c r="AO35" i="281"/>
  <c r="AO37" i="281" s="1"/>
  <c r="AO125" i="281" l="1"/>
  <c r="AO40" i="281"/>
  <c r="AO64" i="281"/>
  <c r="AO126" i="281"/>
  <c r="AO65" i="281"/>
  <c r="AO67" i="281" l="1"/>
  <c r="AO73" i="281" s="1"/>
  <c r="AO74" i="281" s="1"/>
  <c r="AO77" i="281" s="1"/>
  <c r="AO78" i="281" s="1"/>
  <c r="AO127" i="281"/>
  <c r="AO94" i="281" l="1"/>
  <c r="AO95" i="281"/>
  <c r="AO87" i="281"/>
  <c r="AO81" i="281"/>
  <c r="AO83" i="281" s="1"/>
  <c r="AO88" i="281" s="1"/>
  <c r="AO96" i="281" l="1"/>
  <c r="AO114" i="281" s="1"/>
  <c r="AO116" i="281" s="1"/>
  <c r="AO89" i="281"/>
  <c r="AP86" i="281" s="1"/>
  <c r="AO99" i="281" l="1"/>
  <c r="AO100" i="281" s="1"/>
  <c r="AO29" i="277" s="1"/>
  <c r="AP80" i="281"/>
  <c r="AP46" i="281"/>
  <c r="AP47" i="281" s="1"/>
  <c r="AP50" i="281" s="1"/>
  <c r="AP52" i="281" s="1"/>
  <c r="AP35" i="281"/>
  <c r="AP37" i="281" s="1"/>
  <c r="AO20" i="277" l="1"/>
  <c r="AP64" i="281"/>
  <c r="AP40" i="281"/>
  <c r="AP125" i="281"/>
  <c r="AP65" i="281"/>
  <c r="AP126" i="281"/>
  <c r="AP127" i="281" l="1"/>
  <c r="AP67" i="281"/>
  <c r="AP73" i="281" s="1"/>
  <c r="AP74" i="281" s="1"/>
  <c r="AP77" i="281" l="1"/>
  <c r="AP78" i="281" s="1"/>
  <c r="AP94" i="281"/>
  <c r="AP81" i="281" l="1"/>
  <c r="AP83" i="281" s="1"/>
  <c r="AP88" i="281" s="1"/>
  <c r="AP87" i="281"/>
  <c r="AP95" i="281"/>
  <c r="AP96" i="281" s="1"/>
  <c r="AP99" i="281" l="1"/>
  <c r="AP100" i="281" s="1"/>
  <c r="AP29" i="277" s="1"/>
  <c r="AP114" i="281"/>
  <c r="AP116" i="281" s="1"/>
  <c r="AP89" i="281"/>
  <c r="AQ86" i="281" s="1"/>
  <c r="AQ46" i="281" s="1"/>
  <c r="AQ47" i="281" s="1"/>
  <c r="AQ50" i="281" s="1"/>
  <c r="AQ52" i="281" s="1"/>
  <c r="AP20" i="277" l="1"/>
  <c r="AQ80" i="281"/>
  <c r="AQ35" i="281"/>
  <c r="AQ37" i="281" s="1"/>
  <c r="AQ125" i="281" s="1"/>
  <c r="AQ65" i="281"/>
  <c r="AQ126" i="281"/>
  <c r="AQ64" i="281" l="1"/>
  <c r="AQ67" i="281" s="1"/>
  <c r="AQ73" i="281" s="1"/>
  <c r="AQ74" i="281" s="1"/>
  <c r="AQ40" i="281"/>
  <c r="AQ127" i="281"/>
  <c r="AQ94" i="281" l="1"/>
  <c r="AQ77" i="281"/>
  <c r="AQ78" i="281" s="1"/>
  <c r="AQ81" i="281" l="1"/>
  <c r="AQ83" i="281" s="1"/>
  <c r="AQ88" i="281" s="1"/>
  <c r="AQ95" i="281"/>
  <c r="AQ96" i="281" s="1"/>
  <c r="AQ87" i="281"/>
  <c r="AQ99" i="281" l="1"/>
  <c r="AQ100" i="281" s="1"/>
  <c r="AQ29" i="277" s="1"/>
  <c r="AQ114" i="281"/>
  <c r="AQ116" i="281" s="1"/>
  <c r="AQ89" i="281"/>
  <c r="AR86" i="281" s="1"/>
  <c r="AR35" i="281" s="1"/>
  <c r="AR37" i="281" s="1"/>
  <c r="AQ20" i="277" l="1"/>
  <c r="AR46" i="281"/>
  <c r="AR47" i="281" s="1"/>
  <c r="AR50" i="281" s="1"/>
  <c r="AR52" i="281" s="1"/>
  <c r="AR65" i="281" s="1"/>
  <c r="AR80" i="281"/>
  <c r="AR125" i="281"/>
  <c r="AR40" i="281"/>
  <c r="AR64" i="281"/>
  <c r="AR126" i="281" l="1"/>
  <c r="AR127" i="281" s="1"/>
  <c r="AR67" i="281"/>
  <c r="AR73" i="281" s="1"/>
  <c r="AR74" i="281" s="1"/>
  <c r="AR77" i="281" l="1"/>
  <c r="AR78" i="281" s="1"/>
  <c r="AR94" i="281"/>
  <c r="AR81" i="281" l="1"/>
  <c r="AR83" i="281" s="1"/>
  <c r="AR88" i="281" s="1"/>
  <c r="AR95" i="281"/>
  <c r="AR96" i="281" s="1"/>
  <c r="AR87" i="281"/>
  <c r="AR99" i="281" l="1"/>
  <c r="AR100" i="281" s="1"/>
  <c r="AR29" i="277" s="1"/>
  <c r="AR114" i="281"/>
  <c r="AR116" i="281" s="1"/>
  <c r="AR89" i="281"/>
  <c r="AS86" i="281" s="1"/>
  <c r="AS46" i="281" s="1"/>
  <c r="AS47" i="281" s="1"/>
  <c r="AS50" i="281" s="1"/>
  <c r="AS52" i="281" s="1"/>
  <c r="AR20" i="277" l="1"/>
  <c r="AS35" i="281"/>
  <c r="AS37" i="281" s="1"/>
  <c r="AS64" i="281" s="1"/>
  <c r="AS80" i="281"/>
  <c r="AS126" i="281"/>
  <c r="AS65" i="281"/>
  <c r="AS67" i="281" l="1"/>
  <c r="AS73" i="281" s="1"/>
  <c r="AS74" i="281" s="1"/>
  <c r="AS77" i="281" s="1"/>
  <c r="AS78" i="281" s="1"/>
  <c r="AS125" i="281"/>
  <c r="AS127" i="281" s="1"/>
  <c r="AS40" i="281"/>
  <c r="AS94" i="281" l="1"/>
  <c r="AS81" i="281"/>
  <c r="AS83" i="281" s="1"/>
  <c r="AS88" i="281" s="1"/>
  <c r="AS87" i="281"/>
  <c r="AS95" i="281"/>
  <c r="AS96" i="281" l="1"/>
  <c r="AS99" i="281" s="1"/>
  <c r="AS100" i="281" s="1"/>
  <c r="AS29" i="277" s="1"/>
  <c r="AS89" i="281"/>
  <c r="AT86" i="281" s="1"/>
  <c r="AT46" i="281" s="1"/>
  <c r="AT47" i="281" s="1"/>
  <c r="AT50" i="281" s="1"/>
  <c r="AT52" i="281" s="1"/>
  <c r="AS114" i="281" l="1"/>
  <c r="AS116" i="281" s="1"/>
  <c r="AT35" i="281"/>
  <c r="AT37" i="281" s="1"/>
  <c r="AT125" i="281" s="1"/>
  <c r="AS20" i="277"/>
  <c r="AT80" i="281"/>
  <c r="AT126" i="281"/>
  <c r="AT65" i="281"/>
  <c r="AT64" i="281" l="1"/>
  <c r="AT67" i="281" s="1"/>
  <c r="AT73" i="281" s="1"/>
  <c r="AT74" i="281" s="1"/>
  <c r="AT40" i="281"/>
  <c r="AT127" i="281"/>
  <c r="AT77" i="281" l="1"/>
  <c r="AT78" i="281" s="1"/>
  <c r="AT94" i="281"/>
  <c r="AT95" i="281" l="1"/>
  <c r="AT96" i="281" s="1"/>
  <c r="AT87" i="281"/>
  <c r="AT81" i="281"/>
  <c r="AT83" i="281" s="1"/>
  <c r="AT88" i="281" s="1"/>
  <c r="AT99" i="281" l="1"/>
  <c r="AT100" i="281" s="1"/>
  <c r="AT20" i="277" s="1"/>
  <c r="AT114" i="281"/>
  <c r="AT116" i="281" s="1"/>
  <c r="AT89" i="281"/>
  <c r="AU86" i="281" s="1"/>
  <c r="AT29" i="277" l="1"/>
  <c r="AU46" i="281"/>
  <c r="AU47" i="281" s="1"/>
  <c r="AU50" i="281" s="1"/>
  <c r="AU52" i="281" s="1"/>
  <c r="AU35" i="281"/>
  <c r="AU37" i="281" s="1"/>
  <c r="AU80" i="281"/>
  <c r="AU40" i="281" l="1"/>
  <c r="AU64" i="281"/>
  <c r="AU125" i="281"/>
  <c r="AU65" i="281"/>
  <c r="AU126" i="281"/>
  <c r="AU127" i="281" l="1"/>
  <c r="AU67" i="281"/>
  <c r="AU73" i="281" s="1"/>
  <c r="AU74" i="281" s="1"/>
  <c r="AU94" i="281" l="1"/>
  <c r="AU77" i="281"/>
  <c r="AU78" i="281" s="1"/>
  <c r="AU95" i="281" l="1"/>
  <c r="AU96" i="281" s="1"/>
  <c r="AU81" i="281"/>
  <c r="AU83" i="281" s="1"/>
  <c r="AU88" i="281" s="1"/>
  <c r="AU87" i="281"/>
  <c r="AU99" i="281" l="1"/>
  <c r="AU100" i="281" s="1"/>
  <c r="AU29" i="277" s="1"/>
  <c r="AU114" i="281"/>
  <c r="AU116" i="281" s="1"/>
  <c r="AU89" i="281"/>
  <c r="AV86" i="281" s="1"/>
  <c r="AV35" i="281" s="1"/>
  <c r="AV37" i="281" s="1"/>
  <c r="AU20" i="277" l="1"/>
  <c r="AV46" i="281"/>
  <c r="AV47" i="281" s="1"/>
  <c r="AV50" i="281" s="1"/>
  <c r="AV52" i="281" s="1"/>
  <c r="AV126" i="281" s="1"/>
  <c r="AV80" i="281"/>
  <c r="AV40" i="281"/>
  <c r="AV64" i="281"/>
  <c r="AV125" i="281"/>
  <c r="AV65" i="281" l="1"/>
  <c r="AV67" i="281" s="1"/>
  <c r="AV73" i="281" s="1"/>
  <c r="AV74" i="281" s="1"/>
  <c r="AV127" i="281"/>
  <c r="AV77" i="281" l="1"/>
  <c r="AV78" i="281" s="1"/>
  <c r="AV94" i="281"/>
  <c r="AV81" i="281" l="1"/>
  <c r="AV83" i="281" s="1"/>
  <c r="AV88" i="281" s="1"/>
  <c r="AV87" i="281"/>
  <c r="AV95" i="281"/>
  <c r="AV96" i="281" s="1"/>
  <c r="AV99" i="281" l="1"/>
  <c r="AV100" i="281" s="1"/>
  <c r="AV29" i="277" s="1"/>
  <c r="AV114" i="281"/>
  <c r="AV116" i="281" s="1"/>
  <c r="AV89" i="281"/>
  <c r="AW86" i="281" s="1"/>
  <c r="AW80" i="281" s="1"/>
  <c r="AV20" i="277" l="1"/>
  <c r="AW46" i="281"/>
  <c r="AW47" i="281" s="1"/>
  <c r="AW50" i="281" s="1"/>
  <c r="AW52" i="281" s="1"/>
  <c r="AW126" i="281" s="1"/>
  <c r="AW35" i="281"/>
  <c r="AW37" i="281" s="1"/>
  <c r="AW125" i="281" s="1"/>
  <c r="AW40" i="281" l="1"/>
  <c r="AW64" i="281"/>
  <c r="AW65" i="281"/>
  <c r="AW127" i="281"/>
  <c r="AW67" i="281" l="1"/>
  <c r="AW73" i="281" s="1"/>
  <c r="AW74" i="281" s="1"/>
  <c r="AW77" i="281" s="1"/>
  <c r="AW78" i="281" s="1"/>
  <c r="AW94" i="281" l="1"/>
  <c r="AW95" i="281"/>
  <c r="AW87" i="281"/>
  <c r="AW81" i="281"/>
  <c r="AW83" i="281" s="1"/>
  <c r="AW88" i="281" s="1"/>
  <c r="AW96" i="281" l="1"/>
  <c r="AW114" i="281" s="1"/>
  <c r="AW116" i="281" s="1"/>
  <c r="AW89" i="281"/>
  <c r="AX86" i="281" s="1"/>
  <c r="AW99" i="281" l="1"/>
  <c r="AW100" i="281" s="1"/>
  <c r="AW20" i="277" s="1"/>
  <c r="AX35" i="281"/>
  <c r="AX37" i="281" s="1"/>
  <c r="AX46" i="281"/>
  <c r="AX47" i="281" s="1"/>
  <c r="AX50" i="281" s="1"/>
  <c r="AX52" i="281" s="1"/>
  <c r="AX80" i="281"/>
  <c r="AW29" i="277" l="1"/>
  <c r="AX126" i="281"/>
  <c r="AX65" i="281"/>
  <c r="AX125" i="281"/>
  <c r="AX64" i="281"/>
  <c r="AX40" i="281"/>
  <c r="AX67" i="281" l="1"/>
  <c r="AX73" i="281" s="1"/>
  <c r="AX74" i="281" s="1"/>
  <c r="AX77" i="281" s="1"/>
  <c r="AX78" i="281" s="1"/>
  <c r="AX127" i="281"/>
  <c r="AX94" i="281" l="1"/>
  <c r="AX95" i="281"/>
  <c r="AX87" i="281"/>
  <c r="AX81" i="281"/>
  <c r="AX83" i="281" s="1"/>
  <c r="AX88" i="281" s="1"/>
  <c r="AX89" i="281" l="1"/>
  <c r="AY86" i="281" s="1"/>
  <c r="AY46" i="281" s="1"/>
  <c r="AY47" i="281" s="1"/>
  <c r="AY50" i="281" s="1"/>
  <c r="AY52" i="281" s="1"/>
  <c r="AX96" i="281"/>
  <c r="AX99" i="281" s="1"/>
  <c r="AX100" i="281" s="1"/>
  <c r="AX20" i="277" s="1"/>
  <c r="AX29" i="277" l="1"/>
  <c r="AY80" i="281"/>
  <c r="AY35" i="281"/>
  <c r="AY37" i="281" s="1"/>
  <c r="AY125" i="281" s="1"/>
  <c r="AX114" i="281"/>
  <c r="AX116" i="281" s="1"/>
  <c r="AY126" i="281"/>
  <c r="AY65" i="281"/>
  <c r="AY64" i="281" l="1"/>
  <c r="AY67" i="281" s="1"/>
  <c r="AY73" i="281" s="1"/>
  <c r="AY74" i="281" s="1"/>
  <c r="AY40" i="281"/>
  <c r="AY127" i="281"/>
  <c r="AY94" i="281" l="1"/>
  <c r="AY77" i="281"/>
  <c r="AY78" i="281" s="1"/>
  <c r="AY95" i="281" l="1"/>
  <c r="AY96" i="281" s="1"/>
  <c r="AY81" i="281"/>
  <c r="AY83" i="281" s="1"/>
  <c r="AY88" i="281" s="1"/>
  <c r="AY87" i="281"/>
  <c r="AY99" i="281" l="1"/>
  <c r="AY100" i="281" s="1"/>
  <c r="AY20" i="277" s="1"/>
  <c r="AY114" i="281"/>
  <c r="AY116" i="281" s="1"/>
  <c r="AY89" i="281"/>
  <c r="AZ86" i="281" s="1"/>
  <c r="AY29" i="277" l="1"/>
  <c r="AZ46" i="281"/>
  <c r="AZ47" i="281" s="1"/>
  <c r="AZ50" i="281" s="1"/>
  <c r="AZ52" i="281" s="1"/>
  <c r="AZ35" i="281"/>
  <c r="AZ37" i="281" s="1"/>
  <c r="AZ80" i="281"/>
  <c r="H37" i="281" l="1"/>
  <c r="AZ125" i="281"/>
  <c r="AZ40" i="281"/>
  <c r="H40" i="281" s="1"/>
  <c r="AZ64" i="281"/>
  <c r="AZ126" i="281"/>
  <c r="H52" i="281"/>
  <c r="AZ65" i="281"/>
  <c r="AZ67" i="281" l="1"/>
  <c r="AZ73" i="281" s="1"/>
  <c r="AZ74" i="281" s="1"/>
  <c r="H126" i="281"/>
  <c r="H65" i="281"/>
  <c r="AZ127" i="281"/>
  <c r="H64" i="281"/>
  <c r="H125" i="281"/>
  <c r="H67" i="281" l="1"/>
  <c r="H73" i="281" s="1"/>
  <c r="F128" i="281"/>
  <c r="H127" i="281"/>
  <c r="AZ94" i="281"/>
  <c r="H74" i="281"/>
  <c r="AZ77" i="281"/>
  <c r="AZ78" i="281" s="1"/>
  <c r="AZ95" i="281" l="1"/>
  <c r="AZ96" i="281" s="1"/>
  <c r="AZ81" i="281"/>
  <c r="AZ83" i="281" s="1"/>
  <c r="AZ87" i="281"/>
  <c r="H78" i="281"/>
  <c r="H94" i="281"/>
  <c r="H77" i="281"/>
  <c r="F13" i="265"/>
  <c r="N19" i="265" s="1"/>
  <c r="O16" i="265" s="1"/>
  <c r="O9" i="265" s="1"/>
  <c r="O11" i="265" s="1"/>
  <c r="F8" i="259"/>
  <c r="F10" i="259" s="1"/>
  <c r="F12" i="259" s="1"/>
  <c r="F20" i="259"/>
  <c r="AZ99" i="281" l="1"/>
  <c r="AZ100" i="281" s="1"/>
  <c r="H100" i="281" s="1"/>
  <c r="AZ114" i="281"/>
  <c r="AZ116" i="281" s="1"/>
  <c r="O18" i="265"/>
  <c r="O19" i="265" s="1"/>
  <c r="P16" i="265" s="1"/>
  <c r="P9" i="265" s="1"/>
  <c r="P11" i="265" s="1"/>
  <c r="O26" i="265"/>
  <c r="H81" i="281"/>
  <c r="H87" i="281"/>
  <c r="H95" i="281"/>
  <c r="AP14" i="259"/>
  <c r="AK14" i="259"/>
  <c r="BV14" i="259"/>
  <c r="AN14" i="259"/>
  <c r="L14" i="259"/>
  <c r="R14" i="259"/>
  <c r="Q14" i="259"/>
  <c r="AQ14" i="259"/>
  <c r="AH14" i="259"/>
  <c r="CA14" i="259"/>
  <c r="BM14" i="259"/>
  <c r="BO14" i="259"/>
  <c r="BN14" i="259"/>
  <c r="BT14" i="259"/>
  <c r="S14" i="259"/>
  <c r="W14" i="259"/>
  <c r="AO14" i="259"/>
  <c r="O14" i="259"/>
  <c r="BJ14" i="259"/>
  <c r="AB14" i="259"/>
  <c r="N14" i="259"/>
  <c r="Y14" i="259"/>
  <c r="AT14" i="259"/>
  <c r="AV14" i="259"/>
  <c r="AW14" i="259"/>
  <c r="T14" i="259"/>
  <c r="X14" i="259"/>
  <c r="BR14" i="259"/>
  <c r="M14" i="259"/>
  <c r="BQ14" i="259"/>
  <c r="BU14" i="259"/>
  <c r="BP14" i="259"/>
  <c r="J14" i="259"/>
  <c r="AY14" i="259"/>
  <c r="BZ14" i="259"/>
  <c r="P14" i="259"/>
  <c r="BC14" i="259"/>
  <c r="BA14" i="259"/>
  <c r="BB14" i="259"/>
  <c r="BD14" i="259"/>
  <c r="BE14" i="259"/>
  <c r="BF14" i="259"/>
  <c r="BG14" i="259"/>
  <c r="AG14" i="259"/>
  <c r="BI14" i="259"/>
  <c r="BL14" i="259"/>
  <c r="AI14" i="259"/>
  <c r="BS14" i="259"/>
  <c r="AX14" i="259"/>
  <c r="AE14" i="259"/>
  <c r="AS14" i="259"/>
  <c r="BW14" i="259"/>
  <c r="AU14" i="259"/>
  <c r="V14" i="259"/>
  <c r="AM14" i="259"/>
  <c r="BY14" i="259"/>
  <c r="Z14" i="259"/>
  <c r="AC14" i="259"/>
  <c r="AR14" i="259"/>
  <c r="AJ14" i="259"/>
  <c r="AZ14" i="259"/>
  <c r="BK14" i="259"/>
  <c r="BH14" i="259"/>
  <c r="AL14" i="259"/>
  <c r="AD14" i="259"/>
  <c r="K14" i="259"/>
  <c r="AF14" i="259"/>
  <c r="AA14" i="259"/>
  <c r="BX14" i="259"/>
  <c r="U14" i="259"/>
  <c r="AZ88" i="281"/>
  <c r="AZ89" i="281" s="1"/>
  <c r="H83" i="281"/>
  <c r="H88" i="281" s="1"/>
  <c r="F84" i="281"/>
  <c r="F44" i="260" s="1"/>
  <c r="J46" i="260" s="1"/>
  <c r="J50" i="260" s="1"/>
  <c r="J51" i="260" s="1"/>
  <c r="F97" i="281"/>
  <c r="H96" i="281"/>
  <c r="N58" i="261" l="1"/>
  <c r="N31" i="49" s="1"/>
  <c r="F26" i="261"/>
  <c r="F28" i="261" s="1"/>
  <c r="F30" i="261" s="1"/>
  <c r="N36" i="261" s="1"/>
  <c r="J52" i="260"/>
  <c r="J55" i="260"/>
  <c r="J57" i="260" s="1"/>
  <c r="J60" i="260" s="1"/>
  <c r="AZ20" i="277"/>
  <c r="AZ29" i="277"/>
  <c r="H99" i="281"/>
  <c r="H114" i="281"/>
  <c r="F117" i="281"/>
  <c r="F63" i="277" s="1"/>
  <c r="H116" i="281"/>
  <c r="H29" i="277"/>
  <c r="H20" i="277"/>
  <c r="AF15" i="259"/>
  <c r="AF12" i="49" s="1"/>
  <c r="AF25" i="259"/>
  <c r="AS15" i="259"/>
  <c r="AS12" i="49" s="1"/>
  <c r="AS25" i="259"/>
  <c r="BJ15" i="259"/>
  <c r="BJ12" i="49" s="1"/>
  <c r="BJ25" i="259"/>
  <c r="K15" i="259"/>
  <c r="K12" i="49" s="1"/>
  <c r="K25" i="259"/>
  <c r="AC25" i="259"/>
  <c r="AC15" i="259"/>
  <c r="AC12" i="49" s="1"/>
  <c r="AE25" i="259"/>
  <c r="AE15" i="259"/>
  <c r="AE12" i="49" s="1"/>
  <c r="BF15" i="259"/>
  <c r="BF12" i="49" s="1"/>
  <c r="BF25" i="259"/>
  <c r="AY25" i="259"/>
  <c r="AY15" i="259"/>
  <c r="AY12" i="49" s="1"/>
  <c r="T15" i="259"/>
  <c r="T12" i="49" s="1"/>
  <c r="T25" i="259"/>
  <c r="O25" i="259"/>
  <c r="O15" i="259"/>
  <c r="O12" i="49" s="1"/>
  <c r="CA25" i="259"/>
  <c r="CA15" i="259"/>
  <c r="CA12" i="49" s="1"/>
  <c r="AK25" i="259"/>
  <c r="AK15" i="259"/>
  <c r="AK12" i="49" s="1"/>
  <c r="F59" i="260"/>
  <c r="F68" i="260"/>
  <c r="N74" i="260" s="1"/>
  <c r="AD15" i="259"/>
  <c r="AD12" i="49" s="1"/>
  <c r="AD25" i="259"/>
  <c r="Z15" i="259"/>
  <c r="Z12" i="49" s="1"/>
  <c r="Z25" i="259"/>
  <c r="AX15" i="259"/>
  <c r="AX12" i="49" s="1"/>
  <c r="AX25" i="259"/>
  <c r="BE25" i="259"/>
  <c r="BE15" i="259"/>
  <c r="BE12" i="49" s="1"/>
  <c r="J15" i="259"/>
  <c r="H14" i="259"/>
  <c r="H25" i="259" s="1"/>
  <c r="J25" i="259"/>
  <c r="J26" i="259" s="1"/>
  <c r="AW25" i="259"/>
  <c r="AW15" i="259"/>
  <c r="AW12" i="49" s="1"/>
  <c r="AO15" i="259"/>
  <c r="AO12" i="49" s="1"/>
  <c r="AO25" i="259"/>
  <c r="AH15" i="259"/>
  <c r="AH12" i="49" s="1"/>
  <c r="AH25" i="259"/>
  <c r="AP15" i="259"/>
  <c r="AP12" i="49" s="1"/>
  <c r="AP25" i="259"/>
  <c r="AR25" i="259"/>
  <c r="AR15" i="259"/>
  <c r="AR12" i="49" s="1"/>
  <c r="BZ25" i="259"/>
  <c r="BZ15" i="259"/>
  <c r="BZ12" i="49" s="1"/>
  <c r="BM15" i="259"/>
  <c r="BM12" i="49" s="1"/>
  <c r="BM25" i="259"/>
  <c r="AL25" i="259"/>
  <c r="AL15" i="259"/>
  <c r="AL12" i="49" s="1"/>
  <c r="BS25" i="259"/>
  <c r="BS15" i="259"/>
  <c r="BS12" i="49" s="1"/>
  <c r="BP25" i="259"/>
  <c r="BP15" i="259"/>
  <c r="BP12" i="49" s="1"/>
  <c r="W25" i="259"/>
  <c r="W15" i="259"/>
  <c r="W12" i="49" s="1"/>
  <c r="BH15" i="259"/>
  <c r="BH12" i="49" s="1"/>
  <c r="BH25" i="259"/>
  <c r="AI25" i="259"/>
  <c r="AI15" i="259"/>
  <c r="AI12" i="49" s="1"/>
  <c r="AT15" i="259"/>
  <c r="AT12" i="49" s="1"/>
  <c r="AT25" i="259"/>
  <c r="S15" i="259"/>
  <c r="S12" i="49" s="1"/>
  <c r="S25" i="259"/>
  <c r="U25" i="259"/>
  <c r="U15" i="259"/>
  <c r="U12" i="49" s="1"/>
  <c r="BK25" i="259"/>
  <c r="BK15" i="259"/>
  <c r="BK12" i="49" s="1"/>
  <c r="V25" i="259"/>
  <c r="V15" i="259"/>
  <c r="V12" i="49" s="1"/>
  <c r="BL25" i="259"/>
  <c r="BL15" i="259"/>
  <c r="BL12" i="49" s="1"/>
  <c r="BA25" i="259"/>
  <c r="BA15" i="259"/>
  <c r="BA12" i="49" s="1"/>
  <c r="BQ15" i="259"/>
  <c r="BQ12" i="49" s="1"/>
  <c r="BQ25" i="259"/>
  <c r="Y25" i="259"/>
  <c r="Y15" i="259"/>
  <c r="Y12" i="49" s="1"/>
  <c r="BT25" i="259"/>
  <c r="BT15" i="259"/>
  <c r="BT12" i="49" s="1"/>
  <c r="R15" i="259"/>
  <c r="R12" i="49" s="1"/>
  <c r="R25" i="259"/>
  <c r="BG25" i="259"/>
  <c r="BG15" i="259"/>
  <c r="BG12" i="49" s="1"/>
  <c r="BV25" i="259"/>
  <c r="BV15" i="259"/>
  <c r="BV12" i="49" s="1"/>
  <c r="BY25" i="259"/>
  <c r="BY15" i="259"/>
  <c r="BY12" i="49" s="1"/>
  <c r="BD25" i="259"/>
  <c r="BD15" i="259"/>
  <c r="BD12" i="49" s="1"/>
  <c r="AV25" i="259"/>
  <c r="AV15" i="259"/>
  <c r="AV12" i="49" s="1"/>
  <c r="AQ15" i="259"/>
  <c r="AQ12" i="49" s="1"/>
  <c r="AQ25" i="259"/>
  <c r="AM15" i="259"/>
  <c r="AM12" i="49" s="1"/>
  <c r="AM25" i="259"/>
  <c r="BB15" i="259"/>
  <c r="BB12" i="49" s="1"/>
  <c r="BB25" i="259"/>
  <c r="BU25" i="259"/>
  <c r="BU15" i="259"/>
  <c r="BU12" i="49" s="1"/>
  <c r="Q15" i="259"/>
  <c r="Q12" i="49" s="1"/>
  <c r="Q25" i="259"/>
  <c r="BX15" i="259"/>
  <c r="BX12" i="49" s="1"/>
  <c r="BX25" i="259"/>
  <c r="AZ15" i="259"/>
  <c r="AZ12" i="49" s="1"/>
  <c r="AZ25" i="259"/>
  <c r="AU25" i="259"/>
  <c r="AU15" i="259"/>
  <c r="AU12" i="49" s="1"/>
  <c r="BI25" i="259"/>
  <c r="BI15" i="259"/>
  <c r="BI12" i="49" s="1"/>
  <c r="BC25" i="259"/>
  <c r="BC15" i="259"/>
  <c r="BC12" i="49" s="1"/>
  <c r="M25" i="259"/>
  <c r="M15" i="259"/>
  <c r="M12" i="49" s="1"/>
  <c r="N25" i="259"/>
  <c r="N15" i="259"/>
  <c r="N12" i="49" s="1"/>
  <c r="BN25" i="259"/>
  <c r="BN15" i="259"/>
  <c r="BN12" i="49" s="1"/>
  <c r="L15" i="259"/>
  <c r="L12" i="49" s="1"/>
  <c r="L25" i="259"/>
  <c r="X15" i="259"/>
  <c r="X12" i="49" s="1"/>
  <c r="X25" i="259"/>
  <c r="AA15" i="259"/>
  <c r="AA12" i="49" s="1"/>
  <c r="AA25" i="259"/>
  <c r="AJ25" i="259"/>
  <c r="AJ15" i="259"/>
  <c r="AJ12" i="49" s="1"/>
  <c r="BW15" i="259"/>
  <c r="BW12" i="49" s="1"/>
  <c r="BW25" i="259"/>
  <c r="AG25" i="259"/>
  <c r="AG15" i="259"/>
  <c r="AG12" i="49" s="1"/>
  <c r="P15" i="259"/>
  <c r="P12" i="49" s="1"/>
  <c r="P25" i="259"/>
  <c r="BR25" i="259"/>
  <c r="BR15" i="259"/>
  <c r="BR12" i="49" s="1"/>
  <c r="AB25" i="259"/>
  <c r="AB15" i="259"/>
  <c r="AB12" i="49" s="1"/>
  <c r="BO25" i="259"/>
  <c r="BO15" i="259"/>
  <c r="BO12" i="49" s="1"/>
  <c r="AN15" i="259"/>
  <c r="AN12" i="49" s="1"/>
  <c r="AN25" i="259"/>
  <c r="P26" i="265"/>
  <c r="P18" i="265"/>
  <c r="P19" i="265" s="1"/>
  <c r="Q16" i="265" s="1"/>
  <c r="Q9" i="265" s="1"/>
  <c r="Q11" i="265" s="1"/>
  <c r="O55" i="261" l="1"/>
  <c r="O47" i="261" s="1"/>
  <c r="O49" i="261" s="1"/>
  <c r="O57" i="261" s="1"/>
  <c r="O58" i="261" s="1"/>
  <c r="O33" i="261"/>
  <c r="N30" i="49"/>
  <c r="J37" i="252"/>
  <c r="J12" i="49"/>
  <c r="H15" i="259"/>
  <c r="H12" i="49" s="1"/>
  <c r="K23" i="259"/>
  <c r="K26" i="259" s="1"/>
  <c r="J23" i="49"/>
  <c r="J62" i="260"/>
  <c r="J78" i="260" s="1"/>
  <c r="J79" i="260" s="1"/>
  <c r="J8" i="295" s="1"/>
  <c r="Q18" i="265"/>
  <c r="Q19" i="265" s="1"/>
  <c r="R16" i="265" s="1"/>
  <c r="R9" i="265" s="1"/>
  <c r="R11" i="265" s="1"/>
  <c r="Q26" i="265"/>
  <c r="O50" i="261"/>
  <c r="O58" i="49" s="1"/>
  <c r="O71" i="260"/>
  <c r="O29" i="260" s="1"/>
  <c r="O30" i="260" s="1"/>
  <c r="N28" i="49"/>
  <c r="O12" i="277" l="1"/>
  <c r="O19" i="261"/>
  <c r="J15" i="49"/>
  <c r="J39" i="265" s="1"/>
  <c r="J40" i="265" s="1"/>
  <c r="O77" i="260"/>
  <c r="O41" i="260"/>
  <c r="J40" i="283"/>
  <c r="J33" i="283"/>
  <c r="J10" i="283"/>
  <c r="J21" i="283"/>
  <c r="O31" i="260"/>
  <c r="O27" i="265"/>
  <c r="O28" i="265" s="1"/>
  <c r="O31" i="265" s="1"/>
  <c r="O32" i="265" s="1"/>
  <c r="P55" i="261"/>
  <c r="P47" i="261" s="1"/>
  <c r="P49" i="261" s="1"/>
  <c r="O31" i="49"/>
  <c r="R18" i="265"/>
  <c r="R19" i="265" s="1"/>
  <c r="S16" i="265" s="1"/>
  <c r="S9" i="265" s="1"/>
  <c r="S11" i="265" s="1"/>
  <c r="R26" i="265"/>
  <c r="K23" i="49"/>
  <c r="L23" i="259"/>
  <c r="L26" i="259" s="1"/>
  <c r="J73" i="260"/>
  <c r="J74" i="260" s="1"/>
  <c r="J63" i="260"/>
  <c r="J47" i="265" l="1"/>
  <c r="J49" i="265" s="1"/>
  <c r="K46" i="265" s="1"/>
  <c r="J41" i="265"/>
  <c r="J17" i="49" s="1"/>
  <c r="J18" i="49" s="1"/>
  <c r="J70" i="261" s="1"/>
  <c r="J46" i="49"/>
  <c r="S26" i="265"/>
  <c r="S18" i="265"/>
  <c r="S19" i="265" s="1"/>
  <c r="T16" i="265" s="1"/>
  <c r="T9" i="265" s="1"/>
  <c r="T11" i="265" s="1"/>
  <c r="J28" i="49"/>
  <c r="K71" i="260"/>
  <c r="O48" i="265"/>
  <c r="O33" i="265"/>
  <c r="O41" i="49" s="1"/>
  <c r="O43" i="49" s="1"/>
  <c r="L23" i="49"/>
  <c r="M23" i="259"/>
  <c r="M26" i="259" s="1"/>
  <c r="P57" i="261"/>
  <c r="P58" i="261" s="1"/>
  <c r="P50" i="261"/>
  <c r="P58" i="49" s="1"/>
  <c r="P12" i="277"/>
  <c r="O45" i="49"/>
  <c r="O13" i="49"/>
  <c r="J29" i="49" l="1"/>
  <c r="J92" i="261"/>
  <c r="O15" i="49"/>
  <c r="O39" i="265" s="1"/>
  <c r="O40" i="265" s="1"/>
  <c r="O39" i="283"/>
  <c r="O32" i="283"/>
  <c r="O16" i="283"/>
  <c r="O18" i="283" s="1"/>
  <c r="O37" i="260" s="1"/>
  <c r="O38" i="260" s="1"/>
  <c r="O40" i="260" s="1"/>
  <c r="O42" i="260" s="1"/>
  <c r="O45" i="260" s="1"/>
  <c r="O46" i="260" s="1"/>
  <c r="O9" i="283"/>
  <c r="J71" i="261"/>
  <c r="J74" i="261" s="1"/>
  <c r="J47" i="49"/>
  <c r="N23" i="259"/>
  <c r="N26" i="259" s="1"/>
  <c r="M23" i="49"/>
  <c r="K29" i="260"/>
  <c r="K30" i="260" s="1"/>
  <c r="T18" i="265"/>
  <c r="T19" i="265" s="1"/>
  <c r="U16" i="265" s="1"/>
  <c r="U9" i="265" s="1"/>
  <c r="U11" i="265" s="1"/>
  <c r="T26" i="265"/>
  <c r="Q55" i="261"/>
  <c r="Q47" i="261" s="1"/>
  <c r="Q49" i="261" s="1"/>
  <c r="P31" i="49"/>
  <c r="O41" i="265" l="1"/>
  <c r="O17" i="49" s="1"/>
  <c r="O18" i="49" s="1"/>
  <c r="O92" i="261" s="1"/>
  <c r="O47" i="265"/>
  <c r="J21" i="295"/>
  <c r="J22" i="295" s="1"/>
  <c r="J24" i="295" s="1"/>
  <c r="O55" i="260"/>
  <c r="O57" i="260" s="1"/>
  <c r="O60" i="260" s="1"/>
  <c r="O62" i="260" s="1"/>
  <c r="O78" i="260" s="1"/>
  <c r="O79" i="260" s="1"/>
  <c r="O8" i="295" s="1"/>
  <c r="N10" i="295" s="1"/>
  <c r="N12" i="295" s="1"/>
  <c r="O50" i="260"/>
  <c r="O51" i="260" s="1"/>
  <c r="O52" i="260" s="1"/>
  <c r="O37" i="252" s="1"/>
  <c r="K77" i="260"/>
  <c r="K41" i="260"/>
  <c r="U18" i="265"/>
  <c r="U19" i="265" s="1"/>
  <c r="V16" i="265" s="1"/>
  <c r="V9" i="265" s="1"/>
  <c r="V11" i="265" s="1"/>
  <c r="U26" i="265"/>
  <c r="K27" i="265"/>
  <c r="K28" i="265" s="1"/>
  <c r="K31" i="265" s="1"/>
  <c r="K32" i="265" s="1"/>
  <c r="K31" i="260"/>
  <c r="Q50" i="261"/>
  <c r="Q58" i="49" s="1"/>
  <c r="Q57" i="261"/>
  <c r="Q58" i="261" s="1"/>
  <c r="Q12" i="277"/>
  <c r="N23" i="49"/>
  <c r="O23" i="259"/>
  <c r="O26" i="259" s="1"/>
  <c r="O70" i="261" l="1"/>
  <c r="J26" i="295"/>
  <c r="J40" i="295" s="1"/>
  <c r="J41" i="295" s="1"/>
  <c r="J43" i="295" s="1"/>
  <c r="J25" i="295"/>
  <c r="J31" i="295" s="1"/>
  <c r="O73" i="260"/>
  <c r="O74" i="260" s="1"/>
  <c r="P71" i="260" s="1"/>
  <c r="P29" i="260" s="1"/>
  <c r="P30" i="260" s="1"/>
  <c r="O63" i="260"/>
  <c r="O46" i="49" s="1"/>
  <c r="O47" i="49" s="1"/>
  <c r="O21" i="283"/>
  <c r="O10" i="283"/>
  <c r="O11" i="283" s="1"/>
  <c r="O40" i="283"/>
  <c r="O33" i="283"/>
  <c r="R55" i="261"/>
  <c r="R47" i="261" s="1"/>
  <c r="R49" i="261" s="1"/>
  <c r="Q31" i="49"/>
  <c r="V26" i="265"/>
  <c r="V18" i="265"/>
  <c r="V19" i="265" s="1"/>
  <c r="W16" i="265" s="1"/>
  <c r="W9" i="265" s="1"/>
  <c r="W11" i="265" s="1"/>
  <c r="O23" i="49"/>
  <c r="P23" i="259"/>
  <c r="P26" i="259" s="1"/>
  <c r="K13" i="49"/>
  <c r="K45" i="49"/>
  <c r="K33" i="265"/>
  <c r="K41" i="49" s="1"/>
  <c r="K43" i="49" s="1"/>
  <c r="K48" i="265"/>
  <c r="K15" i="49" l="1"/>
  <c r="K39" i="265" s="1"/>
  <c r="K40" i="265" s="1"/>
  <c r="J48" i="295"/>
  <c r="J50" i="49" s="1"/>
  <c r="O21" i="295"/>
  <c r="O28" i="49"/>
  <c r="P27" i="265"/>
  <c r="P28" i="265" s="1"/>
  <c r="P31" i="265" s="1"/>
  <c r="P32" i="265" s="1"/>
  <c r="P77" i="260"/>
  <c r="P31" i="260"/>
  <c r="P41" i="260"/>
  <c r="K32" i="283"/>
  <c r="K9" i="283"/>
  <c r="K16" i="283"/>
  <c r="K18" i="283" s="1"/>
  <c r="K37" i="260" s="1"/>
  <c r="K38" i="260" s="1"/>
  <c r="K39" i="283"/>
  <c r="W26" i="265"/>
  <c r="W18" i="265"/>
  <c r="W19" i="265" s="1"/>
  <c r="X16" i="265" s="1"/>
  <c r="X9" i="265" s="1"/>
  <c r="X11" i="265" s="1"/>
  <c r="Q23" i="259"/>
  <c r="Q26" i="259" s="1"/>
  <c r="P23" i="49"/>
  <c r="R50" i="261"/>
  <c r="R58" i="49" s="1"/>
  <c r="R57" i="261"/>
  <c r="R58" i="261" s="1"/>
  <c r="R12" i="277"/>
  <c r="K41" i="265" l="1"/>
  <c r="K17" i="49" s="1"/>
  <c r="K18" i="49" s="1"/>
  <c r="K70" i="261" s="1"/>
  <c r="K47" i="265"/>
  <c r="K49" i="265" s="1"/>
  <c r="K40" i="260"/>
  <c r="K42" i="260" s="1"/>
  <c r="K45" i="260" s="1"/>
  <c r="K46" i="260" s="1"/>
  <c r="K50" i="260" s="1"/>
  <c r="K51" i="260" s="1"/>
  <c r="P45" i="49"/>
  <c r="P13" i="49"/>
  <c r="P33" i="265"/>
  <c r="P41" i="49" s="1"/>
  <c r="P43" i="49" s="1"/>
  <c r="P48" i="265"/>
  <c r="S55" i="261"/>
  <c r="S47" i="261" s="1"/>
  <c r="S49" i="261" s="1"/>
  <c r="R31" i="49"/>
  <c r="X26" i="265"/>
  <c r="X18" i="265"/>
  <c r="X19" i="265" s="1"/>
  <c r="Y16" i="265" s="1"/>
  <c r="Y9" i="265" s="1"/>
  <c r="Y11" i="265" s="1"/>
  <c r="L46" i="265"/>
  <c r="K29" i="49"/>
  <c r="R23" i="259"/>
  <c r="R26" i="259" s="1"/>
  <c r="Q23" i="49"/>
  <c r="K92" i="261" l="1"/>
  <c r="P15" i="49"/>
  <c r="P39" i="265" s="1"/>
  <c r="P40" i="265" s="1"/>
  <c r="K52" i="260"/>
  <c r="K55" i="260"/>
  <c r="K57" i="260" s="1"/>
  <c r="K60" i="260" s="1"/>
  <c r="K62" i="260" s="1"/>
  <c r="K63" i="260" s="1"/>
  <c r="K46" i="49" s="1"/>
  <c r="K47" i="49" s="1"/>
  <c r="P16" i="283"/>
  <c r="P18" i="283" s="1"/>
  <c r="P37" i="260" s="1"/>
  <c r="P38" i="260" s="1"/>
  <c r="P40" i="260" s="1"/>
  <c r="P42" i="260" s="1"/>
  <c r="P45" i="260" s="1"/>
  <c r="P46" i="260" s="1"/>
  <c r="P32" i="283"/>
  <c r="P9" i="283"/>
  <c r="P39" i="283"/>
  <c r="Y18" i="265"/>
  <c r="Y19" i="265" s="1"/>
  <c r="Z16" i="265" s="1"/>
  <c r="Z9" i="265" s="1"/>
  <c r="Z11" i="265" s="1"/>
  <c r="Y26" i="265"/>
  <c r="R23" i="49"/>
  <c r="S23" i="259"/>
  <c r="S26" i="259" s="1"/>
  <c r="S50" i="261"/>
  <c r="S58" i="49" s="1"/>
  <c r="S57" i="261"/>
  <c r="S58" i="261" s="1"/>
  <c r="S12" i="277"/>
  <c r="P41" i="265" l="1"/>
  <c r="P17" i="49" s="1"/>
  <c r="P18" i="49" s="1"/>
  <c r="P70" i="261" s="1"/>
  <c r="P47" i="265"/>
  <c r="K21" i="295"/>
  <c r="K37" i="252"/>
  <c r="K73" i="260"/>
  <c r="K74" i="260" s="1"/>
  <c r="K28" i="49" s="1"/>
  <c r="K78" i="260"/>
  <c r="K79" i="260" s="1"/>
  <c r="P55" i="260"/>
  <c r="P57" i="260" s="1"/>
  <c r="P60" i="260" s="1"/>
  <c r="P62" i="260" s="1"/>
  <c r="P73" i="260" s="1"/>
  <c r="P74" i="260" s="1"/>
  <c r="P50" i="260"/>
  <c r="P51" i="260" s="1"/>
  <c r="P52" i="260" s="1"/>
  <c r="P37" i="252" s="1"/>
  <c r="P92" i="261"/>
  <c r="S23" i="49"/>
  <c r="T23" i="259"/>
  <c r="T26" i="259" s="1"/>
  <c r="T55" i="261"/>
  <c r="T47" i="261" s="1"/>
  <c r="T49" i="261" s="1"/>
  <c r="S31" i="49"/>
  <c r="Z18" i="265"/>
  <c r="Z19" i="265" s="1"/>
  <c r="AA16" i="265" s="1"/>
  <c r="AA9" i="265" s="1"/>
  <c r="AA11" i="265" s="1"/>
  <c r="Z26" i="265"/>
  <c r="K10" i="283" l="1"/>
  <c r="K8" i="295"/>
  <c r="J10" i="295" s="1"/>
  <c r="J12" i="295" s="1"/>
  <c r="J14" i="295" s="1"/>
  <c r="J16" i="295" s="1"/>
  <c r="K33" i="283"/>
  <c r="K40" i="283"/>
  <c r="K21" i="283"/>
  <c r="L71" i="260"/>
  <c r="L29" i="260" s="1"/>
  <c r="L30" i="260" s="1"/>
  <c r="L41" i="260" s="1"/>
  <c r="P63" i="260"/>
  <c r="P46" i="49" s="1"/>
  <c r="P47" i="49" s="1"/>
  <c r="P78" i="260"/>
  <c r="P79" i="260" s="1"/>
  <c r="Q71" i="260"/>
  <c r="Q29" i="260" s="1"/>
  <c r="Q30" i="260" s="1"/>
  <c r="P28" i="49"/>
  <c r="AA18" i="265"/>
  <c r="AA19" i="265" s="1"/>
  <c r="AB16" i="265" s="1"/>
  <c r="AB9" i="265" s="1"/>
  <c r="AB11" i="265" s="1"/>
  <c r="AA26" i="265"/>
  <c r="T50" i="261"/>
  <c r="T58" i="49" s="1"/>
  <c r="T12" i="277"/>
  <c r="T57" i="261"/>
  <c r="T58" i="261" s="1"/>
  <c r="U23" i="259"/>
  <c r="U26" i="259" s="1"/>
  <c r="T23" i="49"/>
  <c r="J18" i="295" l="1"/>
  <c r="J44" i="295" s="1"/>
  <c r="J45" i="295" s="1"/>
  <c r="J47" i="295" s="1"/>
  <c r="J49" i="295" s="1"/>
  <c r="J51" i="49" s="1"/>
  <c r="J17" i="295"/>
  <c r="J32" i="295" s="1"/>
  <c r="J33" i="295" s="1"/>
  <c r="P21" i="295"/>
  <c r="P10" i="283"/>
  <c r="P11" i="283" s="1"/>
  <c r="P8" i="295"/>
  <c r="L77" i="260"/>
  <c r="L27" i="265"/>
  <c r="L28" i="265" s="1"/>
  <c r="L31" i="265" s="1"/>
  <c r="L32" i="265" s="1"/>
  <c r="L33" i="265" s="1"/>
  <c r="L41" i="49" s="1"/>
  <c r="L43" i="49" s="1"/>
  <c r="L31" i="260"/>
  <c r="L45" i="49" s="1"/>
  <c r="P21" i="283"/>
  <c r="P40" i="283"/>
  <c r="N41" i="283" s="1"/>
  <c r="P33" i="283"/>
  <c r="P34" i="283" s="1"/>
  <c r="Q41" i="260"/>
  <c r="Q31" i="260"/>
  <c r="Q27" i="265"/>
  <c r="Q28" i="265" s="1"/>
  <c r="Q31" i="265" s="1"/>
  <c r="Q32" i="265" s="1"/>
  <c r="Q77" i="260"/>
  <c r="V23" i="259"/>
  <c r="V26" i="259" s="1"/>
  <c r="U23" i="49"/>
  <c r="T31" i="49"/>
  <c r="U55" i="261"/>
  <c r="U47" i="261" s="1"/>
  <c r="U49" i="261" s="1"/>
  <c r="AB26" i="265"/>
  <c r="AB18" i="265"/>
  <c r="AB19" i="265" s="1"/>
  <c r="AC16" i="265" s="1"/>
  <c r="AC9" i="265" s="1"/>
  <c r="AC11" i="265" s="1"/>
  <c r="O10" i="295" l="1"/>
  <c r="O12" i="295" s="1"/>
  <c r="O14" i="295" s="1"/>
  <c r="O16" i="295" s="1"/>
  <c r="J34" i="295"/>
  <c r="J49" i="49" s="1"/>
  <c r="J52" i="49" s="1"/>
  <c r="J30" i="277" s="1"/>
  <c r="J58" i="295"/>
  <c r="J59" i="295"/>
  <c r="L48" i="265"/>
  <c r="L13" i="49"/>
  <c r="Q33" i="265"/>
  <c r="Q41" i="49" s="1"/>
  <c r="Q43" i="49" s="1"/>
  <c r="Q48" i="265"/>
  <c r="Q45" i="49"/>
  <c r="Q13" i="49"/>
  <c r="L16" i="283"/>
  <c r="L18" i="283" s="1"/>
  <c r="L37" i="260" s="1"/>
  <c r="L38" i="260" s="1"/>
  <c r="L9" i="283"/>
  <c r="L39" i="283"/>
  <c r="L32" i="283"/>
  <c r="W23" i="259"/>
  <c r="W26" i="259" s="1"/>
  <c r="V23" i="49"/>
  <c r="AC18" i="265"/>
  <c r="AC19" i="265" s="1"/>
  <c r="AD16" i="265" s="1"/>
  <c r="AD9" i="265" s="1"/>
  <c r="AD11" i="265" s="1"/>
  <c r="AC26" i="265"/>
  <c r="U50" i="261"/>
  <c r="U58" i="49" s="1"/>
  <c r="U57" i="261"/>
  <c r="U58" i="261" s="1"/>
  <c r="U12" i="277"/>
  <c r="J15" i="261" l="1"/>
  <c r="L15" i="49"/>
  <c r="L39" i="265" s="1"/>
  <c r="L40" i="265" s="1"/>
  <c r="Q15" i="49"/>
  <c r="Q39" i="265" s="1"/>
  <c r="Q40" i="265" s="1"/>
  <c r="J60" i="295"/>
  <c r="O18" i="295"/>
  <c r="O44" i="295" s="1"/>
  <c r="O17" i="295"/>
  <c r="O32" i="295" s="1"/>
  <c r="L40" i="260"/>
  <c r="L42" i="260" s="1"/>
  <c r="L45" i="260" s="1"/>
  <c r="L46" i="260" s="1"/>
  <c r="L50" i="260" s="1"/>
  <c r="L51" i="260" s="1"/>
  <c r="Q39" i="283"/>
  <c r="Q9" i="283"/>
  <c r="Q16" i="283"/>
  <c r="Q18" i="283" s="1"/>
  <c r="Q37" i="260" s="1"/>
  <c r="Q38" i="260" s="1"/>
  <c r="Q40" i="260" s="1"/>
  <c r="Q42" i="260" s="1"/>
  <c r="Q45" i="260" s="1"/>
  <c r="Q46" i="260" s="1"/>
  <c r="Q32" i="283"/>
  <c r="AD18" i="265"/>
  <c r="AD19" i="265" s="1"/>
  <c r="AE16" i="265" s="1"/>
  <c r="AE9" i="265" s="1"/>
  <c r="AE11" i="265" s="1"/>
  <c r="AD26" i="265"/>
  <c r="V55" i="261"/>
  <c r="V47" i="261" s="1"/>
  <c r="V49" i="261" s="1"/>
  <c r="U31" i="49"/>
  <c r="W23" i="49"/>
  <c r="X23" i="259"/>
  <c r="X26" i="259" s="1"/>
  <c r="J16" i="261" l="1"/>
  <c r="J18" i="261" s="1"/>
  <c r="J20" i="261" s="1"/>
  <c r="Q47" i="265"/>
  <c r="Q41" i="265"/>
  <c r="Q17" i="49" s="1"/>
  <c r="Q18" i="49" s="1"/>
  <c r="Q92" i="261" s="1"/>
  <c r="L47" i="265"/>
  <c r="L49" i="265" s="1"/>
  <c r="M46" i="265" s="1"/>
  <c r="L41" i="265"/>
  <c r="L17" i="49" s="1"/>
  <c r="L18" i="49" s="1"/>
  <c r="L70" i="261" s="1"/>
  <c r="K57" i="295"/>
  <c r="J24" i="49"/>
  <c r="L52" i="260"/>
  <c r="Q55" i="260"/>
  <c r="Q57" i="260" s="1"/>
  <c r="Q60" i="260" s="1"/>
  <c r="Q62" i="260" s="1"/>
  <c r="Q73" i="260" s="1"/>
  <c r="Q74" i="260" s="1"/>
  <c r="Q50" i="260"/>
  <c r="Q51" i="260" s="1"/>
  <c r="Q52" i="260" s="1"/>
  <c r="Q37" i="252" s="1"/>
  <c r="L55" i="260"/>
  <c r="L57" i="260" s="1"/>
  <c r="L60" i="260" s="1"/>
  <c r="L62" i="260" s="1"/>
  <c r="L63" i="260" s="1"/>
  <c r="L46" i="49" s="1"/>
  <c r="L47" i="49" s="1"/>
  <c r="Y23" i="259"/>
  <c r="Y26" i="259" s="1"/>
  <c r="X23" i="49"/>
  <c r="AE26" i="265"/>
  <c r="AE18" i="265"/>
  <c r="AE19" i="265" s="1"/>
  <c r="AF16" i="265" s="1"/>
  <c r="AF9" i="265" s="1"/>
  <c r="AF11" i="265" s="1"/>
  <c r="V57" i="261"/>
  <c r="V58" i="261" s="1"/>
  <c r="V12" i="277"/>
  <c r="V50" i="261"/>
  <c r="V58" i="49" s="1"/>
  <c r="J11" i="277" l="1"/>
  <c r="J35" i="261"/>
  <c r="J36" i="261" s="1"/>
  <c r="J30" i="49" s="1"/>
  <c r="J21" i="261"/>
  <c r="J55" i="49" s="1"/>
  <c r="J56" i="49" s="1"/>
  <c r="J59" i="49"/>
  <c r="J84" i="261" s="1"/>
  <c r="Q70" i="261"/>
  <c r="L29" i="49"/>
  <c r="L92" i="261"/>
  <c r="K13" i="295"/>
  <c r="K39" i="295"/>
  <c r="L21" i="295"/>
  <c r="Q78" i="260"/>
  <c r="Q79" i="260" s="1"/>
  <c r="L37" i="252"/>
  <c r="Q63" i="260"/>
  <c r="Q46" i="49" s="1"/>
  <c r="Q47" i="49" s="1"/>
  <c r="L78" i="260"/>
  <c r="L79" i="260" s="1"/>
  <c r="L73" i="260"/>
  <c r="L74" i="260" s="1"/>
  <c r="M71" i="260" s="1"/>
  <c r="M29" i="260" s="1"/>
  <c r="M30" i="260" s="1"/>
  <c r="R71" i="260"/>
  <c r="R29" i="260" s="1"/>
  <c r="R30" i="260" s="1"/>
  <c r="Q28" i="49"/>
  <c r="V31" i="49"/>
  <c r="W55" i="261"/>
  <c r="W47" i="261" s="1"/>
  <c r="W49" i="261" s="1"/>
  <c r="AF18" i="265"/>
  <c r="AF19" i="265" s="1"/>
  <c r="AG16" i="265" s="1"/>
  <c r="AG9" i="265" s="1"/>
  <c r="AG11" i="265" s="1"/>
  <c r="AF26" i="265"/>
  <c r="Z23" i="259"/>
  <c r="Z26" i="259" s="1"/>
  <c r="Y23" i="49"/>
  <c r="K33" i="261" l="1"/>
  <c r="K19" i="261" s="1"/>
  <c r="J66" i="261"/>
  <c r="J67" i="261" s="1"/>
  <c r="J73" i="261" s="1"/>
  <c r="J75" i="261" s="1"/>
  <c r="J13" i="277" s="1"/>
  <c r="J14" i="277" s="1"/>
  <c r="Q33" i="283"/>
  <c r="Q34" i="283" s="1"/>
  <c r="Q8" i="295"/>
  <c r="L40" i="283"/>
  <c r="L8" i="295"/>
  <c r="K10" i="295" s="1"/>
  <c r="K12" i="295" s="1"/>
  <c r="K14" i="295" s="1"/>
  <c r="K16" i="295" s="1"/>
  <c r="Q21" i="295"/>
  <c r="Q10" i="283"/>
  <c r="Q11" i="283" s="1"/>
  <c r="L28" i="49"/>
  <c r="Q40" i="283"/>
  <c r="O41" i="283" s="1"/>
  <c r="Q21" i="283"/>
  <c r="L10" i="283"/>
  <c r="L33" i="283"/>
  <c r="L21" i="283"/>
  <c r="R31" i="260"/>
  <c r="R27" i="265"/>
  <c r="R28" i="265" s="1"/>
  <c r="R31" i="265" s="1"/>
  <c r="R32" i="265" s="1"/>
  <c r="R77" i="260"/>
  <c r="R41" i="260"/>
  <c r="M31" i="260"/>
  <c r="M27" i="265"/>
  <c r="M28" i="265" s="1"/>
  <c r="M31" i="265" s="1"/>
  <c r="M32" i="265" s="1"/>
  <c r="M77" i="260"/>
  <c r="M41" i="260"/>
  <c r="AG26" i="265"/>
  <c r="AG18" i="265"/>
  <c r="AG19" i="265" s="1"/>
  <c r="AH16" i="265" s="1"/>
  <c r="AH9" i="265" s="1"/>
  <c r="AH11" i="265" s="1"/>
  <c r="AA23" i="259"/>
  <c r="AA26" i="259" s="1"/>
  <c r="Z23" i="49"/>
  <c r="W50" i="261"/>
  <c r="W58" i="49" s="1"/>
  <c r="W57" i="261"/>
  <c r="W58" i="261" s="1"/>
  <c r="W12" i="277"/>
  <c r="J93" i="261" l="1"/>
  <c r="J94" i="261" s="1"/>
  <c r="K91" i="261" s="1"/>
  <c r="J85" i="261"/>
  <c r="J86" i="261" s="1"/>
  <c r="J32" i="49"/>
  <c r="J33" i="49" s="1"/>
  <c r="K83" i="261"/>
  <c r="J25" i="49"/>
  <c r="J26" i="49" s="1"/>
  <c r="J21" i="277"/>
  <c r="J57" i="277"/>
  <c r="J59" i="277" s="1"/>
  <c r="P10" i="295"/>
  <c r="P12" i="295" s="1"/>
  <c r="K17" i="295"/>
  <c r="K32" i="295" s="1"/>
  <c r="K18" i="295"/>
  <c r="K44" i="295" s="1"/>
  <c r="M33" i="265"/>
  <c r="M41" i="49" s="1"/>
  <c r="M43" i="49" s="1"/>
  <c r="M48" i="265"/>
  <c r="R33" i="265"/>
  <c r="R41" i="49" s="1"/>
  <c r="R43" i="49" s="1"/>
  <c r="R48" i="265"/>
  <c r="M45" i="49"/>
  <c r="M13" i="49"/>
  <c r="R13" i="49"/>
  <c r="R45" i="49"/>
  <c r="AA23" i="49"/>
  <c r="AB23" i="259"/>
  <c r="AB26" i="259" s="1"/>
  <c r="W31" i="49"/>
  <c r="X55" i="261"/>
  <c r="X47" i="261" s="1"/>
  <c r="X49" i="261" s="1"/>
  <c r="AH26" i="265"/>
  <c r="AH18" i="265"/>
  <c r="AH19" i="265" s="1"/>
  <c r="AI16" i="265" s="1"/>
  <c r="AI9" i="265" s="1"/>
  <c r="AI11" i="265" s="1"/>
  <c r="K65" i="261" l="1"/>
  <c r="K14" i="261"/>
  <c r="K69" i="261"/>
  <c r="K71" i="261" s="1"/>
  <c r="K74" i="261" s="1"/>
  <c r="R15" i="49"/>
  <c r="R39" i="265" s="1"/>
  <c r="R40" i="265" s="1"/>
  <c r="M15" i="49"/>
  <c r="M39" i="265" s="1"/>
  <c r="M40" i="265" s="1"/>
  <c r="J35" i="49"/>
  <c r="K20" i="295"/>
  <c r="K22" i="295" s="1"/>
  <c r="K24" i="295" s="1"/>
  <c r="R39" i="283"/>
  <c r="R16" i="283"/>
  <c r="R18" i="283" s="1"/>
  <c r="R37" i="260" s="1"/>
  <c r="R38" i="260" s="1"/>
  <c r="R40" i="260" s="1"/>
  <c r="R42" i="260" s="1"/>
  <c r="R45" i="260" s="1"/>
  <c r="R46" i="260" s="1"/>
  <c r="R9" i="283"/>
  <c r="R32" i="283"/>
  <c r="M39" i="283"/>
  <c r="M9" i="283"/>
  <c r="M32" i="283"/>
  <c r="M16" i="283"/>
  <c r="M18" i="283" s="1"/>
  <c r="M37" i="260" s="1"/>
  <c r="M38" i="260" s="1"/>
  <c r="AC23" i="259"/>
  <c r="AC26" i="259" s="1"/>
  <c r="AB23" i="49"/>
  <c r="AI18" i="265"/>
  <c r="AI19" i="265" s="1"/>
  <c r="AJ16" i="265" s="1"/>
  <c r="AJ9" i="265" s="1"/>
  <c r="AJ11" i="265" s="1"/>
  <c r="AI26" i="265"/>
  <c r="X12" i="277"/>
  <c r="X50" i="261"/>
  <c r="X58" i="49" s="1"/>
  <c r="X57" i="261"/>
  <c r="X58" i="261" s="1"/>
  <c r="M41" i="265" l="1"/>
  <c r="M17" i="49" s="1"/>
  <c r="M18" i="49" s="1"/>
  <c r="M47" i="265"/>
  <c r="M49" i="265" s="1"/>
  <c r="M29" i="49" s="1"/>
  <c r="R41" i="265"/>
  <c r="R17" i="49" s="1"/>
  <c r="R18" i="49" s="1"/>
  <c r="R92" i="261" s="1"/>
  <c r="R47" i="265"/>
  <c r="K25" i="295"/>
  <c r="K31" i="295" s="1"/>
  <c r="K33" i="295" s="1"/>
  <c r="K26" i="295"/>
  <c r="K40" i="295" s="1"/>
  <c r="K41" i="295" s="1"/>
  <c r="K43" i="295" s="1"/>
  <c r="R55" i="260"/>
  <c r="R57" i="260" s="1"/>
  <c r="R60" i="260" s="1"/>
  <c r="R62" i="260" s="1"/>
  <c r="R73" i="260" s="1"/>
  <c r="R74" i="260" s="1"/>
  <c r="R50" i="260"/>
  <c r="R51" i="260" s="1"/>
  <c r="R52" i="260" s="1"/>
  <c r="R37" i="252" s="1"/>
  <c r="M40" i="260"/>
  <c r="M42" i="260" s="1"/>
  <c r="M45" i="260" s="1"/>
  <c r="M46" i="260" s="1"/>
  <c r="M50" i="260" s="1"/>
  <c r="M51" i="260" s="1"/>
  <c r="N46" i="265"/>
  <c r="N49" i="265" s="1"/>
  <c r="M92" i="261"/>
  <c r="M70" i="261"/>
  <c r="AJ18" i="265"/>
  <c r="AJ19" i="265" s="1"/>
  <c r="AK16" i="265" s="1"/>
  <c r="AK9" i="265" s="1"/>
  <c r="AK11" i="265" s="1"/>
  <c r="AJ26" i="265"/>
  <c r="AD23" i="259"/>
  <c r="AD26" i="259" s="1"/>
  <c r="AC23" i="49"/>
  <c r="Y55" i="261"/>
  <c r="Y47" i="261" s="1"/>
  <c r="Y49" i="261" s="1"/>
  <c r="X31" i="49"/>
  <c r="R70" i="261" l="1"/>
  <c r="K45" i="295"/>
  <c r="K48" i="295"/>
  <c r="K50" i="49" s="1"/>
  <c r="K58" i="295"/>
  <c r="K34" i="295"/>
  <c r="K49" i="49" s="1"/>
  <c r="R78" i="260"/>
  <c r="R79" i="260" s="1"/>
  <c r="R63" i="260"/>
  <c r="R46" i="49" s="1"/>
  <c r="R47" i="49" s="1"/>
  <c r="M52" i="260"/>
  <c r="M55" i="260"/>
  <c r="M57" i="260" s="1"/>
  <c r="M60" i="260" s="1"/>
  <c r="M62" i="260" s="1"/>
  <c r="M63" i="260" s="1"/>
  <c r="M46" i="49" s="1"/>
  <c r="M47" i="49" s="1"/>
  <c r="S71" i="260"/>
  <c r="S29" i="260" s="1"/>
  <c r="S30" i="260" s="1"/>
  <c r="R28" i="49"/>
  <c r="O46" i="265"/>
  <c r="O49" i="265" s="1"/>
  <c r="N29" i="49"/>
  <c r="AD23" i="49"/>
  <c r="AE23" i="259"/>
  <c r="AE26" i="259" s="1"/>
  <c r="Y57" i="261"/>
  <c r="Y58" i="261" s="1"/>
  <c r="Y50" i="261"/>
  <c r="Y58" i="49" s="1"/>
  <c r="Y12" i="277"/>
  <c r="AK18" i="265"/>
  <c r="AK19" i="265" s="1"/>
  <c r="AL16" i="265" s="1"/>
  <c r="AL9" i="265" s="1"/>
  <c r="AL11" i="265" s="1"/>
  <c r="AK26" i="265"/>
  <c r="K47" i="295" l="1"/>
  <c r="K49" i="295" s="1"/>
  <c r="K51" i="49" s="1"/>
  <c r="K52" i="49" s="1"/>
  <c r="K30" i="277" s="1"/>
  <c r="K59" i="295"/>
  <c r="K60" i="295" s="1"/>
  <c r="R21" i="295"/>
  <c r="M21" i="295"/>
  <c r="R10" i="283"/>
  <c r="R11" i="283" s="1"/>
  <c r="R8" i="295"/>
  <c r="R21" i="283"/>
  <c r="R40" i="283"/>
  <c r="P41" i="283" s="1"/>
  <c r="R33" i="283"/>
  <c r="R34" i="283" s="1"/>
  <c r="M37" i="252"/>
  <c r="M78" i="260"/>
  <c r="M79" i="260" s="1"/>
  <c r="M73" i="260"/>
  <c r="M74" i="260" s="1"/>
  <c r="N71" i="260" s="1"/>
  <c r="N29" i="260" s="1"/>
  <c r="N30" i="260" s="1"/>
  <c r="O29" i="49"/>
  <c r="P46" i="265"/>
  <c r="P49" i="265" s="1"/>
  <c r="S77" i="260"/>
  <c r="S31" i="260"/>
  <c r="S41" i="260"/>
  <c r="S27" i="265"/>
  <c r="S28" i="265" s="1"/>
  <c r="S31" i="265" s="1"/>
  <c r="S32" i="265" s="1"/>
  <c r="AL18" i="265"/>
  <c r="AL19" i="265" s="1"/>
  <c r="AM16" i="265" s="1"/>
  <c r="AM9" i="265" s="1"/>
  <c r="AM11" i="265" s="1"/>
  <c r="AL26" i="265"/>
  <c r="AF23" i="259"/>
  <c r="AF26" i="259" s="1"/>
  <c r="AE23" i="49"/>
  <c r="Z55" i="261"/>
  <c r="Z47" i="261" s="1"/>
  <c r="Z49" i="261" s="1"/>
  <c r="Y31" i="49"/>
  <c r="K15" i="261" l="1"/>
  <c r="L57" i="295"/>
  <c r="K24" i="49"/>
  <c r="Q10" i="295"/>
  <c r="Q12" i="295" s="1"/>
  <c r="M33" i="283"/>
  <c r="M8" i="295"/>
  <c r="L10" i="295" s="1"/>
  <c r="L12" i="295" s="1"/>
  <c r="M10" i="283"/>
  <c r="M28" i="49"/>
  <c r="M21" i="283"/>
  <c r="M40" i="283"/>
  <c r="Q46" i="265"/>
  <c r="Q49" i="265" s="1"/>
  <c r="P29" i="49"/>
  <c r="S45" i="49"/>
  <c r="S13" i="49"/>
  <c r="N31" i="260"/>
  <c r="N27" i="265"/>
  <c r="N28" i="265" s="1"/>
  <c r="N31" i="265" s="1"/>
  <c r="N32" i="265" s="1"/>
  <c r="N41" i="260"/>
  <c r="N77" i="260"/>
  <c r="S33" i="265"/>
  <c r="S41" i="49" s="1"/>
  <c r="S43" i="49" s="1"/>
  <c r="S48" i="265"/>
  <c r="AG23" i="259"/>
  <c r="AG26" i="259" s="1"/>
  <c r="AF23" i="49"/>
  <c r="AM26" i="265"/>
  <c r="AM18" i="265"/>
  <c r="AM19" i="265" s="1"/>
  <c r="AN16" i="265" s="1"/>
  <c r="AN9" i="265" s="1"/>
  <c r="AN11" i="265" s="1"/>
  <c r="Z12" i="277"/>
  <c r="Z57" i="261"/>
  <c r="Z58" i="261" s="1"/>
  <c r="Z50" i="261"/>
  <c r="Z58" i="49" s="1"/>
  <c r="K16" i="261" l="1"/>
  <c r="K18" i="261" s="1"/>
  <c r="K20" i="261" s="1"/>
  <c r="S15" i="49"/>
  <c r="S39" i="265" s="1"/>
  <c r="S40" i="265" s="1"/>
  <c r="L39" i="295"/>
  <c r="L13" i="295"/>
  <c r="L14" i="295" s="1"/>
  <c r="L16" i="295" s="1"/>
  <c r="N48" i="265"/>
  <c r="N33" i="265"/>
  <c r="N41" i="49" s="1"/>
  <c r="N43" i="49" s="1"/>
  <c r="N13" i="49"/>
  <c r="N45" i="49"/>
  <c r="S16" i="283"/>
  <c r="S18" i="283" s="1"/>
  <c r="S37" i="260" s="1"/>
  <c r="S38" i="260" s="1"/>
  <c r="S40" i="260" s="1"/>
  <c r="S42" i="260" s="1"/>
  <c r="S45" i="260" s="1"/>
  <c r="S46" i="260" s="1"/>
  <c r="S32" i="283"/>
  <c r="S39" i="283"/>
  <c r="S9" i="283"/>
  <c r="R46" i="265"/>
  <c r="R49" i="265" s="1"/>
  <c r="Q29" i="49"/>
  <c r="AG23" i="49"/>
  <c r="AH23" i="259"/>
  <c r="AH26" i="259" s="1"/>
  <c r="Z31" i="49"/>
  <c r="AA55" i="261"/>
  <c r="AA47" i="261" s="1"/>
  <c r="AA49" i="261" s="1"/>
  <c r="AN18" i="265"/>
  <c r="AN19" i="265" s="1"/>
  <c r="AO16" i="265" s="1"/>
  <c r="AO9" i="265" s="1"/>
  <c r="AO11" i="265" s="1"/>
  <c r="AN26" i="265"/>
  <c r="K11" i="277" l="1"/>
  <c r="K35" i="261"/>
  <c r="K36" i="261" s="1"/>
  <c r="K21" i="261"/>
  <c r="K55" i="49" s="1"/>
  <c r="K56" i="49" s="1"/>
  <c r="K59" i="49"/>
  <c r="S41" i="265"/>
  <c r="S17" i="49" s="1"/>
  <c r="S18" i="49" s="1"/>
  <c r="S70" i="261" s="1"/>
  <c r="S47" i="265"/>
  <c r="N15" i="49"/>
  <c r="N39" i="265" s="1"/>
  <c r="N40" i="265" s="1"/>
  <c r="L17" i="295"/>
  <c r="L32" i="295" s="1"/>
  <c r="L18" i="295"/>
  <c r="L44" i="295" s="1"/>
  <c r="S55" i="260"/>
  <c r="S57" i="260" s="1"/>
  <c r="S60" i="260" s="1"/>
  <c r="S62" i="260" s="1"/>
  <c r="S63" i="260" s="1"/>
  <c r="S46" i="49" s="1"/>
  <c r="S47" i="49" s="1"/>
  <c r="S50" i="260"/>
  <c r="S51" i="260" s="1"/>
  <c r="S52" i="260" s="1"/>
  <c r="S37" i="252" s="1"/>
  <c r="N32" i="283"/>
  <c r="N16" i="283"/>
  <c r="N18" i="283" s="1"/>
  <c r="N37" i="260" s="1"/>
  <c r="N38" i="260" s="1"/>
  <c r="N39" i="283"/>
  <c r="N9" i="283"/>
  <c r="R29" i="49"/>
  <c r="S46" i="265"/>
  <c r="AI23" i="259"/>
  <c r="AI26" i="259" s="1"/>
  <c r="AH23" i="49"/>
  <c r="AA57" i="261"/>
  <c r="AA58" i="261" s="1"/>
  <c r="AA50" i="261"/>
  <c r="AA58" i="49" s="1"/>
  <c r="AA12" i="277"/>
  <c r="AO18" i="265"/>
  <c r="AO19" i="265" s="1"/>
  <c r="AP16" i="265" s="1"/>
  <c r="AP9" i="265" s="1"/>
  <c r="AP11" i="265" s="1"/>
  <c r="AO26" i="265"/>
  <c r="L33" i="261" l="1"/>
  <c r="L19" i="261" s="1"/>
  <c r="K30" i="49"/>
  <c r="S92" i="261"/>
  <c r="S49" i="265"/>
  <c r="S29" i="49" s="1"/>
  <c r="K66" i="261"/>
  <c r="K67" i="261" s="1"/>
  <c r="K73" i="261" s="1"/>
  <c r="K75" i="261" s="1"/>
  <c r="K84" i="261"/>
  <c r="N47" i="265"/>
  <c r="N41" i="265"/>
  <c r="N17" i="49" s="1"/>
  <c r="N18" i="49" s="1"/>
  <c r="N92" i="261" s="1"/>
  <c r="S21" i="295"/>
  <c r="S73" i="260"/>
  <c r="S74" i="260" s="1"/>
  <c r="T71" i="260" s="1"/>
  <c r="T29" i="260" s="1"/>
  <c r="T30" i="260" s="1"/>
  <c r="S78" i="260"/>
  <c r="S79" i="260" s="1"/>
  <c r="N40" i="260"/>
  <c r="N42" i="260" s="1"/>
  <c r="N45" i="260" s="1"/>
  <c r="N46" i="260" s="1"/>
  <c r="N50" i="260" s="1"/>
  <c r="N51" i="260" s="1"/>
  <c r="T46" i="265"/>
  <c r="AB55" i="261"/>
  <c r="AB47" i="261" s="1"/>
  <c r="AB49" i="261" s="1"/>
  <c r="AA31" i="49"/>
  <c r="AP18" i="265"/>
  <c r="AP19" i="265" s="1"/>
  <c r="AQ16" i="265" s="1"/>
  <c r="AQ9" i="265" s="1"/>
  <c r="AQ11" i="265" s="1"/>
  <c r="AP26" i="265"/>
  <c r="AI23" i="49"/>
  <c r="AJ23" i="259"/>
  <c r="AJ26" i="259" s="1"/>
  <c r="N70" i="261" l="1"/>
  <c r="K93" i="261"/>
  <c r="K94" i="261" s="1"/>
  <c r="K85" i="261"/>
  <c r="K86" i="261" s="1"/>
  <c r="K13" i="277"/>
  <c r="K14" i="277" s="1"/>
  <c r="S21" i="283"/>
  <c r="S8" i="295"/>
  <c r="S28" i="49"/>
  <c r="S33" i="283"/>
  <c r="S34" i="283" s="1"/>
  <c r="S10" i="283"/>
  <c r="S11" i="283" s="1"/>
  <c r="S40" i="283"/>
  <c r="Q41" i="283" s="1"/>
  <c r="N52" i="260"/>
  <c r="N55" i="260"/>
  <c r="N57" i="260" s="1"/>
  <c r="N60" i="260" s="1"/>
  <c r="N62" i="260" s="1"/>
  <c r="N78" i="260" s="1"/>
  <c r="N79" i="260" s="1"/>
  <c r="N8" i="295" s="1"/>
  <c r="M10" i="295" s="1"/>
  <c r="M12" i="295" s="1"/>
  <c r="T31" i="260"/>
  <c r="T77" i="260"/>
  <c r="T27" i="265"/>
  <c r="T28" i="265" s="1"/>
  <c r="T31" i="265" s="1"/>
  <c r="T32" i="265" s="1"/>
  <c r="T41" i="260"/>
  <c r="AB57" i="261"/>
  <c r="AB58" i="261" s="1"/>
  <c r="AB12" i="277"/>
  <c r="AB50" i="261"/>
  <c r="AB58" i="49" s="1"/>
  <c r="AJ23" i="49"/>
  <c r="AK23" i="259"/>
  <c r="AK26" i="259" s="1"/>
  <c r="AQ18" i="265"/>
  <c r="AQ19" i="265" s="1"/>
  <c r="AR16" i="265" s="1"/>
  <c r="AR9" i="265" s="1"/>
  <c r="AR11" i="265" s="1"/>
  <c r="AQ26" i="265"/>
  <c r="K57" i="277" l="1"/>
  <c r="K59" i="277" s="1"/>
  <c r="K21" i="277"/>
  <c r="L83" i="261"/>
  <c r="K25" i="49"/>
  <c r="K26" i="49" s="1"/>
  <c r="K32" i="49"/>
  <c r="K33" i="49" s="1"/>
  <c r="L91" i="261"/>
  <c r="L69" i="261" s="1"/>
  <c r="L71" i="261" s="1"/>
  <c r="L74" i="261" s="1"/>
  <c r="R10" i="295"/>
  <c r="R12" i="295" s="1"/>
  <c r="N37" i="252"/>
  <c r="N73" i="260"/>
  <c r="N63" i="260"/>
  <c r="N46" i="49" s="1"/>
  <c r="N47" i="49" s="1"/>
  <c r="T33" i="265"/>
  <c r="T41" i="49" s="1"/>
  <c r="T43" i="49" s="1"/>
  <c r="T48" i="265"/>
  <c r="T13" i="49"/>
  <c r="T45" i="49"/>
  <c r="N10" i="283"/>
  <c r="N40" i="283"/>
  <c r="N33" i="283"/>
  <c r="N21" i="283"/>
  <c r="AR18" i="265"/>
  <c r="AR19" i="265" s="1"/>
  <c r="AS16" i="265" s="1"/>
  <c r="AS9" i="265" s="1"/>
  <c r="AS11" i="265" s="1"/>
  <c r="AR26" i="265"/>
  <c r="AK23" i="49"/>
  <c r="AL23" i="259"/>
  <c r="AL26" i="259" s="1"/>
  <c r="AC55" i="261"/>
  <c r="AC47" i="261" s="1"/>
  <c r="AC49" i="261" s="1"/>
  <c r="AB31" i="49"/>
  <c r="L65" i="261" l="1"/>
  <c r="L20" i="295"/>
  <c r="L22" i="295" s="1"/>
  <c r="L24" i="295" s="1"/>
  <c r="L14" i="261"/>
  <c r="K35" i="49"/>
  <c r="T15" i="49"/>
  <c r="T39" i="265" s="1"/>
  <c r="T40" i="265" s="1"/>
  <c r="N21" i="295"/>
  <c r="T39" i="283"/>
  <c r="T16" i="283"/>
  <c r="T18" i="283" s="1"/>
  <c r="T37" i="260" s="1"/>
  <c r="T38" i="260" s="1"/>
  <c r="T40" i="260" s="1"/>
  <c r="T42" i="260" s="1"/>
  <c r="T45" i="260" s="1"/>
  <c r="T46" i="260" s="1"/>
  <c r="T32" i="283"/>
  <c r="T9" i="283"/>
  <c r="AS18" i="265"/>
  <c r="AS19" i="265" s="1"/>
  <c r="AT16" i="265" s="1"/>
  <c r="AT9" i="265" s="1"/>
  <c r="AT11" i="265" s="1"/>
  <c r="AS26" i="265"/>
  <c r="AM23" i="259"/>
  <c r="AM26" i="259" s="1"/>
  <c r="AL23" i="49"/>
  <c r="AC12" i="277"/>
  <c r="AC50" i="261"/>
  <c r="AC58" i="49" s="1"/>
  <c r="AC57" i="261"/>
  <c r="AC58" i="261" s="1"/>
  <c r="L26" i="295" l="1"/>
  <c r="L40" i="295" s="1"/>
  <c r="L41" i="295" s="1"/>
  <c r="L25" i="295"/>
  <c r="L31" i="295" s="1"/>
  <c r="L33" i="295" s="1"/>
  <c r="T47" i="265"/>
  <c r="T49" i="265" s="1"/>
  <c r="T29" i="49" s="1"/>
  <c r="T41" i="265"/>
  <c r="T17" i="49" s="1"/>
  <c r="T18" i="49" s="1"/>
  <c r="T92" i="261" s="1"/>
  <c r="T55" i="260"/>
  <c r="T57" i="260" s="1"/>
  <c r="T60" i="260" s="1"/>
  <c r="T62" i="260" s="1"/>
  <c r="T78" i="260" s="1"/>
  <c r="T79" i="260" s="1"/>
  <c r="T8" i="295" s="1"/>
  <c r="T50" i="260"/>
  <c r="T51" i="260" s="1"/>
  <c r="T52" i="260" s="1"/>
  <c r="T37" i="252" s="1"/>
  <c r="AT18" i="265"/>
  <c r="AT19" i="265" s="1"/>
  <c r="AU16" i="265" s="1"/>
  <c r="AU9" i="265" s="1"/>
  <c r="AU11" i="265" s="1"/>
  <c r="AT26" i="265"/>
  <c r="AN23" i="259"/>
  <c r="AN26" i="259" s="1"/>
  <c r="AM23" i="49"/>
  <c r="AC31" i="49"/>
  <c r="AD55" i="261"/>
  <c r="AD47" i="261" s="1"/>
  <c r="AD49" i="261" s="1"/>
  <c r="U46" i="265" l="1"/>
  <c r="L58" i="295"/>
  <c r="L34" i="295"/>
  <c r="L49" i="49" s="1"/>
  <c r="L43" i="295"/>
  <c r="L45" i="295" s="1"/>
  <c r="L48" i="295"/>
  <c r="L50" i="49" s="1"/>
  <c r="T70" i="261"/>
  <c r="S10" i="295"/>
  <c r="S12" i="295" s="1"/>
  <c r="T63" i="260"/>
  <c r="T46" i="49" s="1"/>
  <c r="T47" i="49" s="1"/>
  <c r="T73" i="260"/>
  <c r="T74" i="260" s="1"/>
  <c r="U71" i="260" s="1"/>
  <c r="U29" i="260" s="1"/>
  <c r="U30" i="260" s="1"/>
  <c r="T40" i="283"/>
  <c r="R41" i="283" s="1"/>
  <c r="T33" i="283"/>
  <c r="T34" i="283" s="1"/>
  <c r="T21" i="283"/>
  <c r="T10" i="283"/>
  <c r="T11" i="283" s="1"/>
  <c r="AO23" i="259"/>
  <c r="AO26" i="259" s="1"/>
  <c r="AN23" i="49"/>
  <c r="AD12" i="277"/>
  <c r="AD57" i="261"/>
  <c r="AD58" i="261" s="1"/>
  <c r="AD50" i="261"/>
  <c r="AD58" i="49" s="1"/>
  <c r="AU18" i="265"/>
  <c r="AU19" i="265" s="1"/>
  <c r="AV16" i="265" s="1"/>
  <c r="AV9" i="265" s="1"/>
  <c r="AV11" i="265" s="1"/>
  <c r="AU26" i="265"/>
  <c r="L47" i="295" l="1"/>
  <c r="L49" i="295" s="1"/>
  <c r="L51" i="49" s="1"/>
  <c r="L52" i="49" s="1"/>
  <c r="L30" i="277" s="1"/>
  <c r="L59" i="295"/>
  <c r="L60" i="295" s="1"/>
  <c r="T21" i="295"/>
  <c r="T28" i="49"/>
  <c r="U41" i="260"/>
  <c r="U31" i="260"/>
  <c r="U27" i="265"/>
  <c r="U28" i="265" s="1"/>
  <c r="U31" i="265" s="1"/>
  <c r="U32" i="265" s="1"/>
  <c r="U77" i="260"/>
  <c r="AE55" i="261"/>
  <c r="AE47" i="261" s="1"/>
  <c r="AE49" i="261" s="1"/>
  <c r="AD31" i="49"/>
  <c r="AO23" i="49"/>
  <c r="AP23" i="259"/>
  <c r="AP26" i="259" s="1"/>
  <c r="AV18" i="265"/>
  <c r="AV19" i="265" s="1"/>
  <c r="AW16" i="265" s="1"/>
  <c r="AW9" i="265" s="1"/>
  <c r="AW11" i="265" s="1"/>
  <c r="AV26" i="265"/>
  <c r="L15" i="261" l="1"/>
  <c r="L24" i="49"/>
  <c r="M57" i="295"/>
  <c r="U45" i="49"/>
  <c r="U13" i="49"/>
  <c r="U33" i="265"/>
  <c r="U41" i="49" s="1"/>
  <c r="U43" i="49" s="1"/>
  <c r="U48" i="265"/>
  <c r="AW26" i="265"/>
  <c r="AW18" i="265"/>
  <c r="AW19" i="265" s="1"/>
  <c r="AX16" i="265" s="1"/>
  <c r="AX9" i="265" s="1"/>
  <c r="AX11" i="265" s="1"/>
  <c r="AQ23" i="259"/>
  <c r="AQ26" i="259" s="1"/>
  <c r="AP23" i="49"/>
  <c r="AE12" i="277"/>
  <c r="AE50" i="261"/>
  <c r="AE58" i="49" s="1"/>
  <c r="AE57" i="261"/>
  <c r="AE58" i="261" s="1"/>
  <c r="L16" i="261" l="1"/>
  <c r="L18" i="261" s="1"/>
  <c r="L20" i="261" s="1"/>
  <c r="M39" i="295"/>
  <c r="M13" i="295"/>
  <c r="M14" i="295" s="1"/>
  <c r="M16" i="295" s="1"/>
  <c r="U15" i="49"/>
  <c r="U39" i="265" s="1"/>
  <c r="U40" i="265" s="1"/>
  <c r="U32" i="283"/>
  <c r="U16" i="283"/>
  <c r="U18" i="283" s="1"/>
  <c r="U37" i="260" s="1"/>
  <c r="U38" i="260" s="1"/>
  <c r="U40" i="260" s="1"/>
  <c r="U42" i="260" s="1"/>
  <c r="U45" i="260" s="1"/>
  <c r="U46" i="260" s="1"/>
  <c r="U39" i="283"/>
  <c r="U9" i="283"/>
  <c r="AF55" i="261"/>
  <c r="AF47" i="261" s="1"/>
  <c r="AF49" i="261" s="1"/>
  <c r="AE31" i="49"/>
  <c r="AX18" i="265"/>
  <c r="AX19" i="265" s="1"/>
  <c r="AY16" i="265" s="1"/>
  <c r="AY9" i="265" s="1"/>
  <c r="AY11" i="265" s="1"/>
  <c r="AX26" i="265"/>
  <c r="AR23" i="259"/>
  <c r="AR26" i="259" s="1"/>
  <c r="AQ23" i="49"/>
  <c r="L11" i="277" l="1"/>
  <c r="L35" i="261"/>
  <c r="L36" i="261" s="1"/>
  <c r="L21" i="261"/>
  <c r="L55" i="49" s="1"/>
  <c r="L56" i="49" s="1"/>
  <c r="L59" i="49" s="1"/>
  <c r="L84" i="261" s="1"/>
  <c r="M17" i="295"/>
  <c r="M32" i="295" s="1"/>
  <c r="M18" i="295"/>
  <c r="M44" i="295" s="1"/>
  <c r="L66" i="261"/>
  <c r="L67" i="261" s="1"/>
  <c r="L73" i="261" s="1"/>
  <c r="L75" i="261" s="1"/>
  <c r="U41" i="265"/>
  <c r="U17" i="49" s="1"/>
  <c r="U18" i="49" s="1"/>
  <c r="U92" i="261" s="1"/>
  <c r="U47" i="265"/>
  <c r="U49" i="265" s="1"/>
  <c r="U29" i="49" s="1"/>
  <c r="U55" i="260"/>
  <c r="U57" i="260" s="1"/>
  <c r="U60" i="260" s="1"/>
  <c r="U62" i="260" s="1"/>
  <c r="U78" i="260" s="1"/>
  <c r="U79" i="260" s="1"/>
  <c r="U8" i="295" s="1"/>
  <c r="U50" i="260"/>
  <c r="U51" i="260" s="1"/>
  <c r="U52" i="260" s="1"/>
  <c r="U37" i="252" s="1"/>
  <c r="AF12" i="277"/>
  <c r="AF50" i="261"/>
  <c r="AF58" i="49" s="1"/>
  <c r="AF57" i="261"/>
  <c r="AF58" i="261" s="1"/>
  <c r="AY26" i="265"/>
  <c r="AY18" i="265"/>
  <c r="AY19" i="265" s="1"/>
  <c r="AZ16" i="265" s="1"/>
  <c r="AZ9" i="265" s="1"/>
  <c r="AZ11" i="265" s="1"/>
  <c r="AS23" i="259"/>
  <c r="AS26" i="259" s="1"/>
  <c r="AR23" i="49"/>
  <c r="M33" i="261" l="1"/>
  <c r="M19" i="261" s="1"/>
  <c r="L30" i="49"/>
  <c r="U70" i="261"/>
  <c r="L13" i="277"/>
  <c r="L14" i="277" s="1"/>
  <c r="L93" i="261"/>
  <c r="L94" i="261" s="1"/>
  <c r="L85" i="261"/>
  <c r="L86" i="261" s="1"/>
  <c r="V46" i="265"/>
  <c r="T10" i="295"/>
  <c r="T12" i="295" s="1"/>
  <c r="U73" i="260"/>
  <c r="U74" i="260" s="1"/>
  <c r="U28" i="49" s="1"/>
  <c r="U63" i="260"/>
  <c r="U46" i="49" s="1"/>
  <c r="U47" i="49" s="1"/>
  <c r="U10" i="283"/>
  <c r="U11" i="283" s="1"/>
  <c r="U33" i="283"/>
  <c r="U34" i="283" s="1"/>
  <c r="U21" i="283"/>
  <c r="U40" i="283"/>
  <c r="S41" i="283" s="1"/>
  <c r="AZ18" i="265"/>
  <c r="AZ19" i="265" s="1"/>
  <c r="BA16" i="265" s="1"/>
  <c r="BA9" i="265" s="1"/>
  <c r="BA11" i="265" s="1"/>
  <c r="AZ26" i="265"/>
  <c r="AG55" i="261"/>
  <c r="AG47" i="261" s="1"/>
  <c r="AG49" i="261" s="1"/>
  <c r="AF31" i="49"/>
  <c r="AS23" i="49"/>
  <c r="AT23" i="259"/>
  <c r="AT26" i="259" s="1"/>
  <c r="M83" i="261" l="1"/>
  <c r="L25" i="49"/>
  <c r="L26" i="49" s="1"/>
  <c r="L32" i="49"/>
  <c r="L33" i="49" s="1"/>
  <c r="M91" i="261"/>
  <c r="M69" i="261" s="1"/>
  <c r="M71" i="261" s="1"/>
  <c r="M74" i="261" s="1"/>
  <c r="L21" i="277"/>
  <c r="L57" i="277"/>
  <c r="L59" i="277" s="1"/>
  <c r="U21" i="295"/>
  <c r="V71" i="260"/>
  <c r="V29" i="260" s="1"/>
  <c r="V30" i="260" s="1"/>
  <c r="V27" i="265" s="1"/>
  <c r="V28" i="265" s="1"/>
  <c r="V31" i="265" s="1"/>
  <c r="V32" i="265" s="1"/>
  <c r="AU23" i="259"/>
  <c r="AU26" i="259" s="1"/>
  <c r="AT23" i="49"/>
  <c r="AG57" i="261"/>
  <c r="AG58" i="261" s="1"/>
  <c r="AG12" i="277"/>
  <c r="AG50" i="261"/>
  <c r="AG58" i="49" s="1"/>
  <c r="BA18" i="265"/>
  <c r="BA19" i="265" s="1"/>
  <c r="BB16" i="265" s="1"/>
  <c r="BB9" i="265" s="1"/>
  <c r="BB11" i="265" s="1"/>
  <c r="BA26" i="265"/>
  <c r="L35" i="49" l="1"/>
  <c r="M65" i="261"/>
  <c r="M14" i="261"/>
  <c r="M20" i="295"/>
  <c r="M22" i="295" s="1"/>
  <c r="M24" i="295" s="1"/>
  <c r="V41" i="260"/>
  <c r="V31" i="260"/>
  <c r="V45" i="49" s="1"/>
  <c r="V77" i="260"/>
  <c r="V33" i="265"/>
  <c r="V41" i="49" s="1"/>
  <c r="V43" i="49" s="1"/>
  <c r="V48" i="265"/>
  <c r="AH55" i="261"/>
  <c r="AH47" i="261" s="1"/>
  <c r="AH49" i="261" s="1"/>
  <c r="AG31" i="49"/>
  <c r="AU23" i="49"/>
  <c r="AV23" i="259"/>
  <c r="AV26" i="259" s="1"/>
  <c r="BB18" i="265"/>
  <c r="BB19" i="265" s="1"/>
  <c r="BC16" i="265" s="1"/>
  <c r="BC9" i="265" s="1"/>
  <c r="BC11" i="265" s="1"/>
  <c r="BB26" i="265"/>
  <c r="M26" i="295" l="1"/>
  <c r="M40" i="295" s="1"/>
  <c r="M41" i="295" s="1"/>
  <c r="M25" i="295"/>
  <c r="M31" i="295" s="1"/>
  <c r="M33" i="295" s="1"/>
  <c r="V13" i="49"/>
  <c r="V32" i="283"/>
  <c r="V39" i="283"/>
  <c r="V9" i="283"/>
  <c r="V16" i="283"/>
  <c r="V18" i="283" s="1"/>
  <c r="V37" i="260" s="1"/>
  <c r="V38" i="260" s="1"/>
  <c r="V40" i="260" s="1"/>
  <c r="V42" i="260" s="1"/>
  <c r="V45" i="260" s="1"/>
  <c r="V46" i="260" s="1"/>
  <c r="AH50" i="261"/>
  <c r="AH58" i="49" s="1"/>
  <c r="AH57" i="261"/>
  <c r="AH58" i="261" s="1"/>
  <c r="AH12" i="277"/>
  <c r="AW23" i="259"/>
  <c r="AW26" i="259" s="1"/>
  <c r="AV23" i="49"/>
  <c r="BC18" i="265"/>
  <c r="BC19" i="265" s="1"/>
  <c r="BD16" i="265" s="1"/>
  <c r="BD9" i="265" s="1"/>
  <c r="BD11" i="265" s="1"/>
  <c r="BC26" i="265"/>
  <c r="M34" i="295" l="1"/>
  <c r="M49" i="49" s="1"/>
  <c r="M58" i="295"/>
  <c r="M43" i="295"/>
  <c r="M45" i="295" s="1"/>
  <c r="M48" i="295"/>
  <c r="M50" i="49" s="1"/>
  <c r="V15" i="49"/>
  <c r="V39" i="265" s="1"/>
  <c r="V40" i="265" s="1"/>
  <c r="V55" i="260"/>
  <c r="V57" i="260" s="1"/>
  <c r="V60" i="260" s="1"/>
  <c r="V62" i="260" s="1"/>
  <c r="V63" i="260" s="1"/>
  <c r="V46" i="49" s="1"/>
  <c r="V47" i="49" s="1"/>
  <c r="V50" i="260"/>
  <c r="V51" i="260" s="1"/>
  <c r="V52" i="260" s="1"/>
  <c r="V37" i="252" s="1"/>
  <c r="AH31" i="49"/>
  <c r="AI55" i="261"/>
  <c r="AI47" i="261" s="1"/>
  <c r="AI49" i="261" s="1"/>
  <c r="AW23" i="49"/>
  <c r="AX23" i="259"/>
  <c r="AX26" i="259" s="1"/>
  <c r="BD26" i="265"/>
  <c r="BD18" i="265"/>
  <c r="BD19" i="265" s="1"/>
  <c r="BE16" i="265" s="1"/>
  <c r="BE9" i="265" s="1"/>
  <c r="BE11" i="265" s="1"/>
  <c r="M59" i="295" l="1"/>
  <c r="M60" i="295" s="1"/>
  <c r="M47" i="295"/>
  <c r="M49" i="295" s="1"/>
  <c r="M51" i="49" s="1"/>
  <c r="M52" i="49" s="1"/>
  <c r="M30" i="277" s="1"/>
  <c r="V47" i="265"/>
  <c r="V49" i="265" s="1"/>
  <c r="V41" i="265"/>
  <c r="V17" i="49" s="1"/>
  <c r="V18" i="49" s="1"/>
  <c r="V70" i="261" s="1"/>
  <c r="V21" i="295"/>
  <c r="V78" i="260"/>
  <c r="V79" i="260" s="1"/>
  <c r="V73" i="260"/>
  <c r="V74" i="260" s="1"/>
  <c r="V28" i="49" s="1"/>
  <c r="AI50" i="261"/>
  <c r="AI58" i="49" s="1"/>
  <c r="AI12" i="277"/>
  <c r="AI57" i="261"/>
  <c r="AI58" i="261" s="1"/>
  <c r="BE26" i="265"/>
  <c r="BE18" i="265"/>
  <c r="BE19" i="265" s="1"/>
  <c r="BF16" i="265" s="1"/>
  <c r="BF9" i="265" s="1"/>
  <c r="BF11" i="265" s="1"/>
  <c r="AY23" i="259"/>
  <c r="AY26" i="259" s="1"/>
  <c r="AX23" i="49"/>
  <c r="M15" i="261" l="1"/>
  <c r="N57" i="295"/>
  <c r="M24" i="49"/>
  <c r="V92" i="261"/>
  <c r="W46" i="265"/>
  <c r="V29" i="49"/>
  <c r="V21" i="283"/>
  <c r="V8" i="295"/>
  <c r="W71" i="260"/>
  <c r="W29" i="260" s="1"/>
  <c r="W30" i="260" s="1"/>
  <c r="W41" i="260" s="1"/>
  <c r="V33" i="283"/>
  <c r="V34" i="283" s="1"/>
  <c r="V10" i="283"/>
  <c r="V11" i="283" s="1"/>
  <c r="V40" i="283"/>
  <c r="T41" i="283" s="1"/>
  <c r="AJ55" i="261"/>
  <c r="AJ47" i="261" s="1"/>
  <c r="AJ49" i="261" s="1"/>
  <c r="AI31" i="49"/>
  <c r="BF18" i="265"/>
  <c r="BF19" i="265" s="1"/>
  <c r="BG16" i="265" s="1"/>
  <c r="BG9" i="265" s="1"/>
  <c r="BG11" i="265" s="1"/>
  <c r="BF26" i="265"/>
  <c r="AY23" i="49"/>
  <c r="AZ23" i="259"/>
  <c r="AZ26" i="259" s="1"/>
  <c r="M16" i="261" l="1"/>
  <c r="M18" i="261" s="1"/>
  <c r="M20" i="261" s="1"/>
  <c r="N39" i="295"/>
  <c r="N13" i="295"/>
  <c r="N14" i="295" s="1"/>
  <c r="N16" i="295" s="1"/>
  <c r="U10" i="295"/>
  <c r="U12" i="295" s="1"/>
  <c r="W77" i="260"/>
  <c r="W31" i="260"/>
  <c r="W45" i="49" s="1"/>
  <c r="W27" i="265"/>
  <c r="W28" i="265" s="1"/>
  <c r="W31" i="265" s="1"/>
  <c r="W32" i="265" s="1"/>
  <c r="W33" i="265" s="1"/>
  <c r="W41" i="49" s="1"/>
  <c r="W43" i="49" s="1"/>
  <c r="AJ12" i="277"/>
  <c r="AJ57" i="261"/>
  <c r="AJ58" i="261" s="1"/>
  <c r="AJ50" i="261"/>
  <c r="AJ58" i="49" s="1"/>
  <c r="BA23" i="259"/>
  <c r="BA26" i="259" s="1"/>
  <c r="AZ23" i="49"/>
  <c r="BG18" i="265"/>
  <c r="BG19" i="265" s="1"/>
  <c r="BH16" i="265" s="1"/>
  <c r="BH9" i="265" s="1"/>
  <c r="BH11" i="265" s="1"/>
  <c r="BG26" i="265"/>
  <c r="M11" i="277" l="1"/>
  <c r="M35" i="261"/>
  <c r="M36" i="261" s="1"/>
  <c r="M21" i="261"/>
  <c r="M55" i="49" s="1"/>
  <c r="M56" i="49" s="1"/>
  <c r="M59" i="49"/>
  <c r="N33" i="261"/>
  <c r="N19" i="261" s="1"/>
  <c r="M30" i="49"/>
  <c r="N17" i="295"/>
  <c r="N32" i="295" s="1"/>
  <c r="N18" i="295"/>
  <c r="N44" i="295" s="1"/>
  <c r="W13" i="49"/>
  <c r="W48" i="265"/>
  <c r="W16" i="283"/>
  <c r="W18" i="283" s="1"/>
  <c r="W37" i="260" s="1"/>
  <c r="W38" i="260" s="1"/>
  <c r="W40" i="260" s="1"/>
  <c r="W42" i="260" s="1"/>
  <c r="W45" i="260" s="1"/>
  <c r="W46" i="260" s="1"/>
  <c r="W39" i="283"/>
  <c r="W32" i="283"/>
  <c r="W9" i="283"/>
  <c r="BH18" i="265"/>
  <c r="BH19" i="265" s="1"/>
  <c r="BI16" i="265" s="1"/>
  <c r="BI9" i="265" s="1"/>
  <c r="BI11" i="265" s="1"/>
  <c r="BH26" i="265"/>
  <c r="AJ31" i="49"/>
  <c r="AK55" i="261"/>
  <c r="AK47" i="261" s="1"/>
  <c r="AK49" i="261" s="1"/>
  <c r="BB23" i="259"/>
  <c r="BB26" i="259" s="1"/>
  <c r="BA23" i="49"/>
  <c r="M84" i="261" l="1"/>
  <c r="M66" i="261"/>
  <c r="M67" i="261" s="1"/>
  <c r="M73" i="261" s="1"/>
  <c r="M75" i="261" s="1"/>
  <c r="W15" i="49"/>
  <c r="W39" i="265" s="1"/>
  <c r="W40" i="265" s="1"/>
  <c r="W55" i="260"/>
  <c r="W57" i="260" s="1"/>
  <c r="W60" i="260" s="1"/>
  <c r="W62" i="260" s="1"/>
  <c r="W78" i="260" s="1"/>
  <c r="W79" i="260" s="1"/>
  <c r="W8" i="295" s="1"/>
  <c r="W50" i="260"/>
  <c r="W51" i="260" s="1"/>
  <c r="W52" i="260" s="1"/>
  <c r="W37" i="252" s="1"/>
  <c r="AK12" i="277"/>
  <c r="AK57" i="261"/>
  <c r="AK58" i="261" s="1"/>
  <c r="AK50" i="261"/>
  <c r="AK58" i="49" s="1"/>
  <c r="BC23" i="259"/>
  <c r="BC26" i="259" s="1"/>
  <c r="BB23" i="49"/>
  <c r="BI18" i="265"/>
  <c r="BI19" i="265" s="1"/>
  <c r="BJ16" i="265" s="1"/>
  <c r="BJ9" i="265" s="1"/>
  <c r="BJ11" i="265" s="1"/>
  <c r="BI26" i="265"/>
  <c r="M13" i="277" l="1"/>
  <c r="M14" i="277" s="1"/>
  <c r="M93" i="261"/>
  <c r="M94" i="261" s="1"/>
  <c r="M85" i="261"/>
  <c r="M86" i="261" s="1"/>
  <c r="W47" i="265"/>
  <c r="W49" i="265" s="1"/>
  <c r="X46" i="265" s="1"/>
  <c r="W41" i="265"/>
  <c r="W17" i="49" s="1"/>
  <c r="W18" i="49" s="1"/>
  <c r="W92" i="261" s="1"/>
  <c r="V10" i="295"/>
  <c r="V12" i="295" s="1"/>
  <c r="W73" i="260"/>
  <c r="W74" i="260" s="1"/>
  <c r="X71" i="260" s="1"/>
  <c r="X29" i="260" s="1"/>
  <c r="X30" i="260" s="1"/>
  <c r="W63" i="260"/>
  <c r="W46" i="49" s="1"/>
  <c r="W47" i="49" s="1"/>
  <c r="W33" i="283"/>
  <c r="W34" i="283" s="1"/>
  <c r="W10" i="283"/>
  <c r="W11" i="283" s="1"/>
  <c r="W21" i="283"/>
  <c r="W40" i="283"/>
  <c r="U41" i="283" s="1"/>
  <c r="AL55" i="261"/>
  <c r="AL47" i="261" s="1"/>
  <c r="AL49" i="261" s="1"/>
  <c r="AK31" i="49"/>
  <c r="BJ26" i="265"/>
  <c r="BJ18" i="265"/>
  <c r="BJ19" i="265" s="1"/>
  <c r="BK16" i="265" s="1"/>
  <c r="BK9" i="265" s="1"/>
  <c r="BK11" i="265" s="1"/>
  <c r="BD23" i="259"/>
  <c r="BD26" i="259" s="1"/>
  <c r="BC23" i="49"/>
  <c r="W29" i="49" l="1"/>
  <c r="M25" i="49"/>
  <c r="M26" i="49" s="1"/>
  <c r="N83" i="261"/>
  <c r="M32" i="49"/>
  <c r="M33" i="49" s="1"/>
  <c r="N91" i="261"/>
  <c r="N69" i="261" s="1"/>
  <c r="N71" i="261" s="1"/>
  <c r="N74" i="261" s="1"/>
  <c r="M21" i="277"/>
  <c r="M57" i="277"/>
  <c r="M59" i="277" s="1"/>
  <c r="W70" i="261"/>
  <c r="W21" i="295"/>
  <c r="W28" i="49"/>
  <c r="X77" i="260"/>
  <c r="X41" i="260"/>
  <c r="X27" i="265"/>
  <c r="X28" i="265" s="1"/>
  <c r="X31" i="265" s="1"/>
  <c r="X32" i="265" s="1"/>
  <c r="X31" i="260"/>
  <c r="BK26" i="265"/>
  <c r="BK18" i="265"/>
  <c r="BK19" i="265" s="1"/>
  <c r="BL16" i="265" s="1"/>
  <c r="BL9" i="265" s="1"/>
  <c r="BL11" i="265" s="1"/>
  <c r="AL57" i="261"/>
  <c r="AL58" i="261" s="1"/>
  <c r="AL50" i="261"/>
  <c r="AL58" i="49" s="1"/>
  <c r="AL12" i="277"/>
  <c r="BE23" i="259"/>
  <c r="BE26" i="259" s="1"/>
  <c r="BD23" i="49"/>
  <c r="N20" i="295" l="1"/>
  <c r="N22" i="295" s="1"/>
  <c r="N24" i="295" s="1"/>
  <c r="N65" i="261"/>
  <c r="N14" i="261"/>
  <c r="M35" i="49"/>
  <c r="X13" i="49"/>
  <c r="X45" i="49"/>
  <c r="X48" i="265"/>
  <c r="X33" i="265"/>
  <c r="X41" i="49" s="1"/>
  <c r="X43" i="49" s="1"/>
  <c r="BF23" i="259"/>
  <c r="BF26" i="259" s="1"/>
  <c r="BE23" i="49"/>
  <c r="AM55" i="261"/>
  <c r="AM47" i="261" s="1"/>
  <c r="AM49" i="261" s="1"/>
  <c r="AL31" i="49"/>
  <c r="BL26" i="265"/>
  <c r="BL18" i="265"/>
  <c r="BL19" i="265" s="1"/>
  <c r="BM16" i="265" s="1"/>
  <c r="BM9" i="265" s="1"/>
  <c r="BM11" i="265" s="1"/>
  <c r="N26" i="295" l="1"/>
  <c r="N40" i="295" s="1"/>
  <c r="N41" i="295" s="1"/>
  <c r="N25" i="295"/>
  <c r="N31" i="295" s="1"/>
  <c r="N33" i="295" s="1"/>
  <c r="X15" i="49"/>
  <c r="X39" i="265" s="1"/>
  <c r="X40" i="265" s="1"/>
  <c r="X9" i="283"/>
  <c r="X32" i="283"/>
  <c r="X16" i="283"/>
  <c r="X18" i="283" s="1"/>
  <c r="X37" i="260" s="1"/>
  <c r="X38" i="260" s="1"/>
  <c r="X40" i="260" s="1"/>
  <c r="X42" i="260" s="1"/>
  <c r="X45" i="260" s="1"/>
  <c r="X46" i="260" s="1"/>
  <c r="X39" i="283"/>
  <c r="AM50" i="261"/>
  <c r="AM58" i="49" s="1"/>
  <c r="AM12" i="277"/>
  <c r="AM57" i="261"/>
  <c r="AM58" i="261" s="1"/>
  <c r="BG23" i="259"/>
  <c r="BG26" i="259" s="1"/>
  <c r="BF23" i="49"/>
  <c r="BM26" i="265"/>
  <c r="BM18" i="265"/>
  <c r="BM19" i="265" s="1"/>
  <c r="BN16" i="265" s="1"/>
  <c r="BN9" i="265" s="1"/>
  <c r="BN11" i="265" s="1"/>
  <c r="N58" i="295" l="1"/>
  <c r="N34" i="295"/>
  <c r="N49" i="49" s="1"/>
  <c r="N43" i="295"/>
  <c r="N45" i="295" s="1"/>
  <c r="N48" i="295"/>
  <c r="N50" i="49" s="1"/>
  <c r="X41" i="265"/>
  <c r="X17" i="49" s="1"/>
  <c r="X18" i="49" s="1"/>
  <c r="X70" i="261" s="1"/>
  <c r="X47" i="265"/>
  <c r="X49" i="265" s="1"/>
  <c r="X29" i="49" s="1"/>
  <c r="X55" i="260"/>
  <c r="X57" i="260" s="1"/>
  <c r="X60" i="260" s="1"/>
  <c r="X62" i="260" s="1"/>
  <c r="X78" i="260" s="1"/>
  <c r="X79" i="260" s="1"/>
  <c r="X8" i="295" s="1"/>
  <c r="X50" i="260"/>
  <c r="X51" i="260" s="1"/>
  <c r="X52" i="260" s="1"/>
  <c r="X37" i="252" s="1"/>
  <c r="BG23" i="49"/>
  <c r="BH23" i="259"/>
  <c r="BH26" i="259" s="1"/>
  <c r="AN55" i="261"/>
  <c r="AN47" i="261" s="1"/>
  <c r="AN49" i="261" s="1"/>
  <c r="AM31" i="49"/>
  <c r="BN26" i="265"/>
  <c r="BN18" i="265"/>
  <c r="BN19" i="265" s="1"/>
  <c r="BO16" i="265" s="1"/>
  <c r="BO9" i="265" s="1"/>
  <c r="BO11" i="265" s="1"/>
  <c r="Y46" i="265" l="1"/>
  <c r="X92" i="261"/>
  <c r="N59" i="295"/>
  <c r="N47" i="295"/>
  <c r="N49" i="295" s="1"/>
  <c r="N51" i="49" s="1"/>
  <c r="N52" i="49" s="1"/>
  <c r="N30" i="277" s="1"/>
  <c r="W10" i="295"/>
  <c r="W12" i="295" s="1"/>
  <c r="X63" i="260"/>
  <c r="X46" i="49" s="1"/>
  <c r="X47" i="49" s="1"/>
  <c r="X73" i="260"/>
  <c r="X74" i="260" s="1"/>
  <c r="Y71" i="260" s="1"/>
  <c r="Y29" i="260" s="1"/>
  <c r="Y30" i="260" s="1"/>
  <c r="X40" i="283"/>
  <c r="V41" i="283" s="1"/>
  <c r="X21" i="283"/>
  <c r="X10" i="283"/>
  <c r="X11" i="283" s="1"/>
  <c r="X33" i="283"/>
  <c r="X34" i="283" s="1"/>
  <c r="BO26" i="265"/>
  <c r="BO18" i="265"/>
  <c r="BO19" i="265" s="1"/>
  <c r="BP16" i="265" s="1"/>
  <c r="BP9" i="265" s="1"/>
  <c r="BP11" i="265" s="1"/>
  <c r="BH23" i="49"/>
  <c r="BI23" i="259"/>
  <c r="BI26" i="259" s="1"/>
  <c r="AN57" i="261"/>
  <c r="AN58" i="261" s="1"/>
  <c r="AN12" i="277"/>
  <c r="AN50" i="261"/>
  <c r="AN58" i="49" s="1"/>
  <c r="N15" i="261" l="1"/>
  <c r="X21" i="295"/>
  <c r="X28" i="49"/>
  <c r="Y27" i="265"/>
  <c r="Y28" i="265" s="1"/>
  <c r="Y31" i="265" s="1"/>
  <c r="Y32" i="265" s="1"/>
  <c r="Y77" i="260"/>
  <c r="Y41" i="260"/>
  <c r="Y31" i="260"/>
  <c r="AN31" i="49"/>
  <c r="AO55" i="261"/>
  <c r="AO47" i="261" s="1"/>
  <c r="AO49" i="261" s="1"/>
  <c r="BJ23" i="259"/>
  <c r="BJ26" i="259" s="1"/>
  <c r="BI23" i="49"/>
  <c r="BP18" i="265"/>
  <c r="BP19" i="265" s="1"/>
  <c r="BQ16" i="265" s="1"/>
  <c r="BQ9" i="265" s="1"/>
  <c r="BQ11" i="265" s="1"/>
  <c r="BP26" i="265"/>
  <c r="N16" i="261" l="1"/>
  <c r="N18" i="261" s="1"/>
  <c r="N20" i="261" s="1"/>
  <c r="Y45" i="49"/>
  <c r="Y13" i="49"/>
  <c r="Y48" i="265"/>
  <c r="Y33" i="265"/>
  <c r="Y41" i="49" s="1"/>
  <c r="Y43" i="49" s="1"/>
  <c r="AO12" i="277"/>
  <c r="AO57" i="261"/>
  <c r="AO58" i="261" s="1"/>
  <c r="AO50" i="261"/>
  <c r="AO58" i="49" s="1"/>
  <c r="BK23" i="259"/>
  <c r="BK26" i="259" s="1"/>
  <c r="BJ23" i="49"/>
  <c r="BQ18" i="265"/>
  <c r="BQ19" i="265" s="1"/>
  <c r="BR16" i="265" s="1"/>
  <c r="BR9" i="265" s="1"/>
  <c r="BR11" i="265" s="1"/>
  <c r="BQ26" i="265"/>
  <c r="N11" i="277" l="1"/>
  <c r="N35" i="261"/>
  <c r="N21" i="261"/>
  <c r="N55" i="49" s="1"/>
  <c r="N56" i="49" s="1"/>
  <c r="N59" i="49" s="1"/>
  <c r="Y15" i="49"/>
  <c r="Y39" i="265" s="1"/>
  <c r="Y40" i="265" s="1"/>
  <c r="Y39" i="283"/>
  <c r="Y9" i="283"/>
  <c r="Y32" i="283"/>
  <c r="Y16" i="283"/>
  <c r="Y18" i="283" s="1"/>
  <c r="Y37" i="260" s="1"/>
  <c r="Y38" i="260" s="1"/>
  <c r="Y40" i="260" s="1"/>
  <c r="Y42" i="260" s="1"/>
  <c r="Y45" i="260" s="1"/>
  <c r="Y46" i="260" s="1"/>
  <c r="AP55" i="261"/>
  <c r="AP47" i="261" s="1"/>
  <c r="AP49" i="261" s="1"/>
  <c r="AO31" i="49"/>
  <c r="BR26" i="265"/>
  <c r="BR18" i="265"/>
  <c r="BR19" i="265" s="1"/>
  <c r="BS16" i="265" s="1"/>
  <c r="BS9" i="265" s="1"/>
  <c r="BS11" i="265" s="1"/>
  <c r="BL23" i="259"/>
  <c r="BL26" i="259" s="1"/>
  <c r="BK23" i="49"/>
  <c r="N84" i="261" l="1"/>
  <c r="N66" i="261"/>
  <c r="N67" i="261" s="1"/>
  <c r="N73" i="261" s="1"/>
  <c r="N75" i="261" s="1"/>
  <c r="Y47" i="265"/>
  <c r="Y49" i="265" s="1"/>
  <c r="Z46" i="265" s="1"/>
  <c r="Y41" i="265"/>
  <c r="Y17" i="49" s="1"/>
  <c r="Y18" i="49" s="1"/>
  <c r="Y92" i="261" s="1"/>
  <c r="Y55" i="260"/>
  <c r="Y57" i="260" s="1"/>
  <c r="Y60" i="260" s="1"/>
  <c r="Y62" i="260" s="1"/>
  <c r="Y78" i="260" s="1"/>
  <c r="Y79" i="260" s="1"/>
  <c r="Y8" i="295" s="1"/>
  <c r="Y50" i="260"/>
  <c r="Y51" i="260" s="1"/>
  <c r="Y52" i="260" s="1"/>
  <c r="Y37" i="252" s="1"/>
  <c r="BS26" i="265"/>
  <c r="BS18" i="265"/>
  <c r="BS19" i="265" s="1"/>
  <c r="BT16" i="265" s="1"/>
  <c r="BT9" i="265" s="1"/>
  <c r="BT11" i="265" s="1"/>
  <c r="BL23" i="49"/>
  <c r="BM23" i="259"/>
  <c r="BM26" i="259" s="1"/>
  <c r="AP57" i="261"/>
  <c r="AP58" i="261" s="1"/>
  <c r="AP50" i="261"/>
  <c r="AP58" i="49" s="1"/>
  <c r="AP12" i="277"/>
  <c r="N93" i="261" l="1"/>
  <c r="N94" i="261" s="1"/>
  <c r="N85" i="261"/>
  <c r="N86" i="261" s="1"/>
  <c r="N13" i="277"/>
  <c r="N14" i="277" s="1"/>
  <c r="Y70" i="261"/>
  <c r="Y29" i="49"/>
  <c r="X10" i="295"/>
  <c r="X12" i="295" s="1"/>
  <c r="Y73" i="260"/>
  <c r="Y74" i="260" s="1"/>
  <c r="Z71" i="260" s="1"/>
  <c r="Z29" i="260" s="1"/>
  <c r="Z30" i="260" s="1"/>
  <c r="Y63" i="260"/>
  <c r="Y46" i="49" s="1"/>
  <c r="Y47" i="49" s="1"/>
  <c r="Y21" i="283"/>
  <c r="Y10" i="283"/>
  <c r="Y11" i="283" s="1"/>
  <c r="Y33" i="283"/>
  <c r="Y34" i="283" s="1"/>
  <c r="Y40" i="283"/>
  <c r="W41" i="283" s="1"/>
  <c r="BN23" i="259"/>
  <c r="BN26" i="259" s="1"/>
  <c r="BM23" i="49"/>
  <c r="AP31" i="49"/>
  <c r="AQ55" i="261"/>
  <c r="AQ47" i="261" s="1"/>
  <c r="AQ49" i="261" s="1"/>
  <c r="BT18" i="265"/>
  <c r="BT19" i="265" s="1"/>
  <c r="BU16" i="265" s="1"/>
  <c r="BU9" i="265" s="1"/>
  <c r="BU11" i="265" s="1"/>
  <c r="BT26" i="265"/>
  <c r="N21" i="277" l="1"/>
  <c r="N57" i="277"/>
  <c r="N59" i="277" s="1"/>
  <c r="N25" i="49"/>
  <c r="N26" i="49" s="1"/>
  <c r="O83" i="261"/>
  <c r="N32" i="49"/>
  <c r="N33" i="49" s="1"/>
  <c r="O91" i="261"/>
  <c r="O69" i="261" s="1"/>
  <c r="O71" i="261" s="1"/>
  <c r="O74" i="261" s="1"/>
  <c r="Y21" i="295"/>
  <c r="Y28" i="49"/>
  <c r="Z77" i="260"/>
  <c r="Z31" i="260"/>
  <c r="Z27" i="265"/>
  <c r="Z28" i="265" s="1"/>
  <c r="Z31" i="265" s="1"/>
  <c r="Z32" i="265" s="1"/>
  <c r="Z41" i="260"/>
  <c r="BU18" i="265"/>
  <c r="BU19" i="265" s="1"/>
  <c r="BV16" i="265" s="1"/>
  <c r="BV9" i="265" s="1"/>
  <c r="BV11" i="265" s="1"/>
  <c r="BU26" i="265"/>
  <c r="BO23" i="259"/>
  <c r="BO26" i="259" s="1"/>
  <c r="BN23" i="49"/>
  <c r="AQ12" i="277"/>
  <c r="AQ50" i="261"/>
  <c r="AQ58" i="49" s="1"/>
  <c r="AQ57" i="261"/>
  <c r="AQ58" i="261" s="1"/>
  <c r="N35" i="49" l="1"/>
  <c r="O20" i="295"/>
  <c r="O22" i="295" s="1"/>
  <c r="O24" i="295" s="1"/>
  <c r="O65" i="261"/>
  <c r="O14" i="261"/>
  <c r="Z48" i="265"/>
  <c r="Z33" i="265"/>
  <c r="Z41" i="49" s="1"/>
  <c r="Z43" i="49" s="1"/>
  <c r="Z45" i="49"/>
  <c r="Z13" i="49"/>
  <c r="BO23" i="49"/>
  <c r="BP23" i="259"/>
  <c r="BP26" i="259" s="1"/>
  <c r="AQ31" i="49"/>
  <c r="AR55" i="261"/>
  <c r="AR47" i="261" s="1"/>
  <c r="AR49" i="261" s="1"/>
  <c r="BV18" i="265"/>
  <c r="BV19" i="265" s="1"/>
  <c r="BW16" i="265" s="1"/>
  <c r="BW9" i="265" s="1"/>
  <c r="BW11" i="265" s="1"/>
  <c r="BV26" i="265"/>
  <c r="O25" i="295" l="1"/>
  <c r="O31" i="295" s="1"/>
  <c r="O33" i="295" s="1"/>
  <c r="O26" i="295"/>
  <c r="O40" i="295" s="1"/>
  <c r="O41" i="295" s="1"/>
  <c r="Z15" i="49"/>
  <c r="Z39" i="265" s="1"/>
  <c r="Z40" i="265" s="1"/>
  <c r="Z32" i="283"/>
  <c r="Z39" i="283"/>
  <c r="Z9" i="283"/>
  <c r="Z16" i="283"/>
  <c r="Z18" i="283" s="1"/>
  <c r="Z37" i="260" s="1"/>
  <c r="Z38" i="260" s="1"/>
  <c r="Z40" i="260" s="1"/>
  <c r="Z42" i="260" s="1"/>
  <c r="Z45" i="260" s="1"/>
  <c r="Z46" i="260" s="1"/>
  <c r="AR50" i="261"/>
  <c r="AR58" i="49" s="1"/>
  <c r="AR57" i="261"/>
  <c r="AR58" i="261" s="1"/>
  <c r="AR12" i="277"/>
  <c r="BP23" i="49"/>
  <c r="BQ23" i="259"/>
  <c r="BQ26" i="259" s="1"/>
  <c r="BW18" i="265"/>
  <c r="BW19" i="265" s="1"/>
  <c r="BX16" i="265" s="1"/>
  <c r="BX9" i="265" s="1"/>
  <c r="BX11" i="265" s="1"/>
  <c r="BW26" i="265"/>
  <c r="O48" i="295" l="1"/>
  <c r="O50" i="49" s="1"/>
  <c r="O43" i="295"/>
  <c r="O45" i="295" s="1"/>
  <c r="O34" i="295"/>
  <c r="O49" i="49" s="1"/>
  <c r="O58" i="295"/>
  <c r="Z41" i="265"/>
  <c r="Z17" i="49" s="1"/>
  <c r="Z18" i="49" s="1"/>
  <c r="Z70" i="261" s="1"/>
  <c r="Z47" i="265"/>
  <c r="Z49" i="265" s="1"/>
  <c r="Z29" i="49" s="1"/>
  <c r="Z55" i="260"/>
  <c r="Z57" i="260" s="1"/>
  <c r="Z60" i="260" s="1"/>
  <c r="Z62" i="260" s="1"/>
  <c r="Z73" i="260" s="1"/>
  <c r="Z74" i="260" s="1"/>
  <c r="Z50" i="260"/>
  <c r="Z51" i="260" s="1"/>
  <c r="Z52" i="260" s="1"/>
  <c r="Z37" i="252" s="1"/>
  <c r="AR31" i="49"/>
  <c r="AS55" i="261"/>
  <c r="AS47" i="261" s="1"/>
  <c r="AS49" i="261" s="1"/>
  <c r="BR23" i="259"/>
  <c r="BR26" i="259" s="1"/>
  <c r="BQ23" i="49"/>
  <c r="BX18" i="265"/>
  <c r="BX19" i="265" s="1"/>
  <c r="BY16" i="265" s="1"/>
  <c r="BY9" i="265" s="1"/>
  <c r="BY11" i="265" s="1"/>
  <c r="BX26" i="265"/>
  <c r="AA46" i="265" l="1"/>
  <c r="O47" i="295"/>
  <c r="O49" i="295" s="1"/>
  <c r="O51" i="49" s="1"/>
  <c r="O52" i="49" s="1"/>
  <c r="O30" i="277" s="1"/>
  <c r="O59" i="295"/>
  <c r="O60" i="295" s="1"/>
  <c r="Z92" i="261"/>
  <c r="Z63" i="260"/>
  <c r="Z46" i="49" s="1"/>
  <c r="Z47" i="49" s="1"/>
  <c r="Z78" i="260"/>
  <c r="Z79" i="260" s="1"/>
  <c r="AA71" i="260"/>
  <c r="AA29" i="260" s="1"/>
  <c r="AA30" i="260" s="1"/>
  <c r="Z28" i="49"/>
  <c r="BY26" i="265"/>
  <c r="BY18" i="265"/>
  <c r="BY19" i="265" s="1"/>
  <c r="BZ16" i="265" s="1"/>
  <c r="BZ9" i="265" s="1"/>
  <c r="BZ11" i="265" s="1"/>
  <c r="BR23" i="49"/>
  <c r="BS23" i="259"/>
  <c r="BS26" i="259" s="1"/>
  <c r="AS57" i="261"/>
  <c r="AS58" i="261" s="1"/>
  <c r="AS12" i="277"/>
  <c r="AS50" i="261"/>
  <c r="AS58" i="49" s="1"/>
  <c r="P57" i="295" l="1"/>
  <c r="O24" i="49"/>
  <c r="O15" i="261"/>
  <c r="Z33" i="283"/>
  <c r="Z34" i="283" s="1"/>
  <c r="Z8" i="295"/>
  <c r="Z21" i="295"/>
  <c r="Z21" i="283"/>
  <c r="Z40" i="283"/>
  <c r="X41" i="283" s="1"/>
  <c r="Z10" i="283"/>
  <c r="Z11" i="283" s="1"/>
  <c r="AA41" i="260"/>
  <c r="AA77" i="260"/>
  <c r="AA31" i="260"/>
  <c r="AA27" i="265"/>
  <c r="AA28" i="265" s="1"/>
  <c r="AA31" i="265" s="1"/>
  <c r="AA32" i="265" s="1"/>
  <c r="BS23" i="49"/>
  <c r="BT23" i="259"/>
  <c r="BT26" i="259" s="1"/>
  <c r="BZ18" i="265"/>
  <c r="BZ19" i="265" s="1"/>
  <c r="CA16" i="265" s="1"/>
  <c r="CA9" i="265" s="1"/>
  <c r="CA11" i="265" s="1"/>
  <c r="BZ26" i="265"/>
  <c r="AT55" i="261"/>
  <c r="AT47" i="261" s="1"/>
  <c r="AT49" i="261" s="1"/>
  <c r="AS31" i="49"/>
  <c r="O16" i="261" l="1"/>
  <c r="O18" i="261" s="1"/>
  <c r="O20" i="261" s="1"/>
  <c r="P13" i="295"/>
  <c r="P14" i="295" s="1"/>
  <c r="P16" i="295" s="1"/>
  <c r="P39" i="295"/>
  <c r="Y10" i="295"/>
  <c r="Y12" i="295" s="1"/>
  <c r="AA45" i="49"/>
  <c r="AA13" i="49"/>
  <c r="AA33" i="265"/>
  <c r="AA41" i="49" s="1"/>
  <c r="AA43" i="49" s="1"/>
  <c r="AA48" i="265"/>
  <c r="AT12" i="277"/>
  <c r="AT57" i="261"/>
  <c r="AT58" i="261" s="1"/>
  <c r="AT50" i="261"/>
  <c r="AT58" i="49" s="1"/>
  <c r="CA18" i="265"/>
  <c r="CA19" i="265" s="1"/>
  <c r="CA26" i="265"/>
  <c r="H11" i="265"/>
  <c r="BU23" i="259"/>
  <c r="BU26" i="259" s="1"/>
  <c r="BT23" i="49"/>
  <c r="O11" i="277" l="1"/>
  <c r="O21" i="261"/>
  <c r="O55" i="49" s="1"/>
  <c r="O56" i="49" s="1"/>
  <c r="O35" i="261"/>
  <c r="O36" i="261" s="1"/>
  <c r="P17" i="295"/>
  <c r="P32" i="295" s="1"/>
  <c r="P18" i="295"/>
  <c r="P44" i="295" s="1"/>
  <c r="O30" i="49"/>
  <c r="P33" i="261"/>
  <c r="P19" i="261" s="1"/>
  <c r="O59" i="49"/>
  <c r="AA15" i="49"/>
  <c r="AA39" i="265" s="1"/>
  <c r="AA40" i="265" s="1"/>
  <c r="AA39" i="283"/>
  <c r="AA32" i="283"/>
  <c r="AA9" i="283"/>
  <c r="AA16" i="283"/>
  <c r="AA18" i="283" s="1"/>
  <c r="AA37" i="260" s="1"/>
  <c r="AA38" i="260" s="1"/>
  <c r="AA40" i="260" s="1"/>
  <c r="AA42" i="260" s="1"/>
  <c r="AA45" i="260" s="1"/>
  <c r="AA46" i="260" s="1"/>
  <c r="BU23" i="49"/>
  <c r="BV23" i="259"/>
  <c r="BV26" i="259" s="1"/>
  <c r="H26" i="265"/>
  <c r="H18" i="265"/>
  <c r="AU55" i="261"/>
  <c r="AU47" i="261" s="1"/>
  <c r="AU49" i="261" s="1"/>
  <c r="AT31" i="49"/>
  <c r="O84" i="261" l="1"/>
  <c r="O66" i="261"/>
  <c r="O67" i="261" s="1"/>
  <c r="O73" i="261" s="1"/>
  <c r="O75" i="261" s="1"/>
  <c r="AA47" i="265"/>
  <c r="AA49" i="265" s="1"/>
  <c r="AA29" i="49" s="1"/>
  <c r="AA41" i="265"/>
  <c r="AA17" i="49" s="1"/>
  <c r="AA18" i="49" s="1"/>
  <c r="AA70" i="261" s="1"/>
  <c r="AA55" i="260"/>
  <c r="AA57" i="260" s="1"/>
  <c r="AA60" i="260" s="1"/>
  <c r="AA62" i="260" s="1"/>
  <c r="AA78" i="260" s="1"/>
  <c r="AA79" i="260" s="1"/>
  <c r="AA8" i="295" s="1"/>
  <c r="AA50" i="260"/>
  <c r="AA51" i="260" s="1"/>
  <c r="AA52" i="260" s="1"/>
  <c r="AA37" i="252" s="1"/>
  <c r="AU50" i="261"/>
  <c r="AU58" i="49" s="1"/>
  <c r="AU57" i="261"/>
  <c r="AU58" i="261" s="1"/>
  <c r="AU12" i="277"/>
  <c r="BW23" i="259"/>
  <c r="BW26" i="259" s="1"/>
  <c r="BV23" i="49"/>
  <c r="O93" i="261" l="1"/>
  <c r="O94" i="261" s="1"/>
  <c r="O13" i="277"/>
  <c r="O14" i="277" s="1"/>
  <c r="O85" i="261"/>
  <c r="O86" i="261" s="1"/>
  <c r="AA92" i="261"/>
  <c r="AB46" i="265"/>
  <c r="Z10" i="295"/>
  <c r="Z12" i="295" s="1"/>
  <c r="AA63" i="260"/>
  <c r="AA46" i="49" s="1"/>
  <c r="AA47" i="49" s="1"/>
  <c r="AA73" i="260"/>
  <c r="AA74" i="260" s="1"/>
  <c r="AB71" i="260" s="1"/>
  <c r="AB29" i="260" s="1"/>
  <c r="AB30" i="260" s="1"/>
  <c r="AA40" i="283"/>
  <c r="Y41" i="283" s="1"/>
  <c r="AA10" i="283"/>
  <c r="AA11" i="283" s="1"/>
  <c r="AA21" i="283"/>
  <c r="AA33" i="283"/>
  <c r="AA34" i="283" s="1"/>
  <c r="BX23" i="259"/>
  <c r="BX26" i="259" s="1"/>
  <c r="BW23" i="49"/>
  <c r="AU31" i="49"/>
  <c r="AV55" i="261"/>
  <c r="AV47" i="261" s="1"/>
  <c r="AV49" i="261" s="1"/>
  <c r="P83" i="261" l="1"/>
  <c r="O25" i="49"/>
  <c r="O26" i="49" s="1"/>
  <c r="O57" i="277"/>
  <c r="O59" i="277" s="1"/>
  <c r="O21" i="277"/>
  <c r="P91" i="261"/>
  <c r="P69" i="261" s="1"/>
  <c r="P71" i="261" s="1"/>
  <c r="P74" i="261" s="1"/>
  <c r="O32" i="49"/>
  <c r="O33" i="49" s="1"/>
  <c r="AA21" i="295"/>
  <c r="AA28" i="49"/>
  <c r="AB77" i="260"/>
  <c r="AB31" i="260"/>
  <c r="AB41" i="260"/>
  <c r="AB27" i="265"/>
  <c r="AB28" i="265" s="1"/>
  <c r="AB31" i="265" s="1"/>
  <c r="AB32" i="265" s="1"/>
  <c r="BX23" i="49"/>
  <c r="BY23" i="259"/>
  <c r="BY26" i="259" s="1"/>
  <c r="AV50" i="261"/>
  <c r="AV58" i="49" s="1"/>
  <c r="AV57" i="261"/>
  <c r="AV58" i="261" s="1"/>
  <c r="AV12" i="277"/>
  <c r="O35" i="49" l="1"/>
  <c r="P20" i="295"/>
  <c r="P22" i="295" s="1"/>
  <c r="P24" i="295" s="1"/>
  <c r="P14" i="261"/>
  <c r="P65" i="261"/>
  <c r="AB13" i="49"/>
  <c r="AB45" i="49"/>
  <c r="AB48" i="265"/>
  <c r="AB33" i="265"/>
  <c r="AB41" i="49" s="1"/>
  <c r="AB43" i="49" s="1"/>
  <c r="AV31" i="49"/>
  <c r="AW55" i="261"/>
  <c r="AW47" i="261" s="1"/>
  <c r="AW49" i="261" s="1"/>
  <c r="BY23" i="49"/>
  <c r="BZ23" i="259"/>
  <c r="BZ26" i="259" s="1"/>
  <c r="P26" i="295" l="1"/>
  <c r="P40" i="295" s="1"/>
  <c r="P41" i="295" s="1"/>
  <c r="P25" i="295"/>
  <c r="P31" i="295" s="1"/>
  <c r="P33" i="295" s="1"/>
  <c r="AB15" i="49"/>
  <c r="AB39" i="265" s="1"/>
  <c r="AB40" i="265" s="1"/>
  <c r="AB39" i="283"/>
  <c r="AB32" i="283"/>
  <c r="AB9" i="283"/>
  <c r="AB16" i="283"/>
  <c r="AB18" i="283" s="1"/>
  <c r="AB37" i="260" s="1"/>
  <c r="AB38" i="260" s="1"/>
  <c r="AB40" i="260" s="1"/>
  <c r="AB42" i="260" s="1"/>
  <c r="AB45" i="260" s="1"/>
  <c r="AB46" i="260" s="1"/>
  <c r="BZ23" i="49"/>
  <c r="CA23" i="259"/>
  <c r="CA26" i="259" s="1"/>
  <c r="CA23" i="49" s="1"/>
  <c r="AW12" i="277"/>
  <c r="AW57" i="261"/>
  <c r="AW58" i="261" s="1"/>
  <c r="AW50" i="261"/>
  <c r="AW58" i="49" s="1"/>
  <c r="P34" i="295" l="1"/>
  <c r="P49" i="49" s="1"/>
  <c r="P58" i="295"/>
  <c r="P48" i="295"/>
  <c r="P50" i="49" s="1"/>
  <c r="P43" i="295"/>
  <c r="P45" i="295" s="1"/>
  <c r="AB41" i="265"/>
  <c r="AB17" i="49" s="1"/>
  <c r="AB18" i="49" s="1"/>
  <c r="AB70" i="261" s="1"/>
  <c r="AB47" i="265"/>
  <c r="AB49" i="265" s="1"/>
  <c r="AC46" i="265" s="1"/>
  <c r="AB55" i="260"/>
  <c r="AB57" i="260" s="1"/>
  <c r="AB60" i="260" s="1"/>
  <c r="AB62" i="260" s="1"/>
  <c r="AB73" i="260" s="1"/>
  <c r="AB74" i="260" s="1"/>
  <c r="AB50" i="260"/>
  <c r="AB51" i="260" s="1"/>
  <c r="AB52" i="260" s="1"/>
  <c r="AB37" i="252" s="1"/>
  <c r="AX55" i="261"/>
  <c r="AX47" i="261" s="1"/>
  <c r="AX49" i="261" s="1"/>
  <c r="AW31" i="49"/>
  <c r="AB92" i="261" l="1"/>
  <c r="P47" i="295"/>
  <c r="P49" i="295" s="1"/>
  <c r="P51" i="49" s="1"/>
  <c r="P52" i="49" s="1"/>
  <c r="P30" i="277" s="1"/>
  <c r="P59" i="295"/>
  <c r="P60" i="295" s="1"/>
  <c r="AB29" i="49"/>
  <c r="AB78" i="260"/>
  <c r="AB79" i="260" s="1"/>
  <c r="AB63" i="260"/>
  <c r="AB46" i="49" s="1"/>
  <c r="AB47" i="49" s="1"/>
  <c r="AC71" i="260"/>
  <c r="AC29" i="260" s="1"/>
  <c r="AC30" i="260" s="1"/>
  <c r="AB28" i="49"/>
  <c r="AX50" i="261"/>
  <c r="AX58" i="49" s="1"/>
  <c r="AX57" i="261"/>
  <c r="AX58" i="261" s="1"/>
  <c r="AX12" i="277"/>
  <c r="Q57" i="295" l="1"/>
  <c r="P24" i="49"/>
  <c r="P15" i="261"/>
  <c r="AB40" i="283"/>
  <c r="Z41" i="283" s="1"/>
  <c r="AB8" i="295"/>
  <c r="AB21" i="295"/>
  <c r="AB33" i="283"/>
  <c r="AB34" i="283" s="1"/>
  <c r="AB10" i="283"/>
  <c r="AB11" i="283" s="1"/>
  <c r="AB21" i="283"/>
  <c r="AC41" i="260"/>
  <c r="AC31" i="260"/>
  <c r="AC27" i="265"/>
  <c r="AC28" i="265" s="1"/>
  <c r="AC31" i="265" s="1"/>
  <c r="AC32" i="265" s="1"/>
  <c r="AC77" i="260"/>
  <c r="AX31" i="49"/>
  <c r="AY55" i="261"/>
  <c r="AY47" i="261" s="1"/>
  <c r="AY49" i="261" s="1"/>
  <c r="P16" i="261" l="1"/>
  <c r="P18" i="261" s="1"/>
  <c r="P20" i="261" s="1"/>
  <c r="P11" i="277" s="1"/>
  <c r="Q13" i="295"/>
  <c r="Q14" i="295" s="1"/>
  <c r="Q16" i="295" s="1"/>
  <c r="Q39" i="295"/>
  <c r="AA10" i="295"/>
  <c r="AA12" i="295" s="1"/>
  <c r="AC33" i="265"/>
  <c r="AC41" i="49" s="1"/>
  <c r="AC43" i="49" s="1"/>
  <c r="AC48" i="265"/>
  <c r="AC45" i="49"/>
  <c r="AC13" i="49"/>
  <c r="AY50" i="261"/>
  <c r="AY58" i="49" s="1"/>
  <c r="AY12" i="277"/>
  <c r="AY57" i="261"/>
  <c r="AY58" i="261" s="1"/>
  <c r="P21" i="261" l="1"/>
  <c r="P55" i="49" s="1"/>
  <c r="P56" i="49" s="1"/>
  <c r="P35" i="261"/>
  <c r="P36" i="261" s="1"/>
  <c r="Q18" i="295"/>
  <c r="Q44" i="295" s="1"/>
  <c r="Q17" i="295"/>
  <c r="Q32" i="295" s="1"/>
  <c r="P59" i="49"/>
  <c r="Q33" i="261"/>
  <c r="Q19" i="261" s="1"/>
  <c r="P30" i="49"/>
  <c r="AC15" i="49"/>
  <c r="AC39" i="265" s="1"/>
  <c r="AC40" i="265" s="1"/>
  <c r="AC39" i="283"/>
  <c r="AC32" i="283"/>
  <c r="AC16" i="283"/>
  <c r="AC18" i="283" s="1"/>
  <c r="AC37" i="260" s="1"/>
  <c r="AC38" i="260" s="1"/>
  <c r="AC40" i="260" s="1"/>
  <c r="AC42" i="260" s="1"/>
  <c r="AC45" i="260" s="1"/>
  <c r="AC46" i="260" s="1"/>
  <c r="AC9" i="283"/>
  <c r="AZ55" i="261"/>
  <c r="AZ47" i="261" s="1"/>
  <c r="AZ49" i="261" s="1"/>
  <c r="AY31" i="49"/>
  <c r="P84" i="261" l="1"/>
  <c r="P66" i="261"/>
  <c r="P67" i="261" s="1"/>
  <c r="P73" i="261" s="1"/>
  <c r="P75" i="261" s="1"/>
  <c r="AC47" i="265"/>
  <c r="AC49" i="265" s="1"/>
  <c r="AD46" i="265" s="1"/>
  <c r="AC41" i="265"/>
  <c r="AC17" i="49" s="1"/>
  <c r="AC18" i="49" s="1"/>
  <c r="AC70" i="261" s="1"/>
  <c r="AC55" i="260"/>
  <c r="AC57" i="260" s="1"/>
  <c r="AC60" i="260" s="1"/>
  <c r="AC62" i="260" s="1"/>
  <c r="AC63" i="260" s="1"/>
  <c r="AC46" i="49" s="1"/>
  <c r="AC47" i="49" s="1"/>
  <c r="AC50" i="260"/>
  <c r="AC51" i="260" s="1"/>
  <c r="AC52" i="260" s="1"/>
  <c r="AC37" i="252" s="1"/>
  <c r="AZ50" i="261"/>
  <c r="AZ58" i="49" s="1"/>
  <c r="AZ57" i="261"/>
  <c r="AZ58" i="261" s="1"/>
  <c r="AZ12" i="277"/>
  <c r="AC92" i="261" l="1"/>
  <c r="AC29" i="49"/>
  <c r="P13" i="277"/>
  <c r="P14" i="277" s="1"/>
  <c r="P85" i="261"/>
  <c r="P86" i="261" s="1"/>
  <c r="P93" i="261"/>
  <c r="P94" i="261" s="1"/>
  <c r="AC21" i="295"/>
  <c r="AC78" i="260"/>
  <c r="AC79" i="260" s="1"/>
  <c r="AC73" i="260"/>
  <c r="AC74" i="260" s="1"/>
  <c r="AC28" i="49" s="1"/>
  <c r="AZ31" i="49"/>
  <c r="BA55" i="261"/>
  <c r="BA47" i="261" s="1"/>
  <c r="BA49" i="261" s="1"/>
  <c r="P57" i="277" l="1"/>
  <c r="P59" i="277" s="1"/>
  <c r="P21" i="277"/>
  <c r="P32" i="49"/>
  <c r="P33" i="49" s="1"/>
  <c r="Q91" i="261"/>
  <c r="Q69" i="261" s="1"/>
  <c r="Q71" i="261" s="1"/>
  <c r="Q74" i="261" s="1"/>
  <c r="Q83" i="261"/>
  <c r="P25" i="49"/>
  <c r="P26" i="49" s="1"/>
  <c r="P35" i="49" s="1"/>
  <c r="AC40" i="283"/>
  <c r="AA41" i="283" s="1"/>
  <c r="AC8" i="295"/>
  <c r="AC33" i="283"/>
  <c r="AC34" i="283" s="1"/>
  <c r="AC21" i="283"/>
  <c r="AC10" i="283"/>
  <c r="AC11" i="283" s="1"/>
  <c r="AD71" i="260"/>
  <c r="AD29" i="260" s="1"/>
  <c r="AD30" i="260" s="1"/>
  <c r="AD27" i="265" s="1"/>
  <c r="AD28" i="265" s="1"/>
  <c r="AD31" i="265" s="1"/>
  <c r="AD32" i="265" s="1"/>
  <c r="BA50" i="261"/>
  <c r="BA58" i="49" s="1"/>
  <c r="BA57" i="261"/>
  <c r="BA58" i="261" s="1"/>
  <c r="BA12" i="277"/>
  <c r="Q20" i="295" l="1"/>
  <c r="Q22" i="295" s="1"/>
  <c r="Q24" i="295" s="1"/>
  <c r="Q14" i="261"/>
  <c r="Q65" i="261"/>
  <c r="AB10" i="295"/>
  <c r="AB12" i="295" s="1"/>
  <c r="AD41" i="260"/>
  <c r="AD31" i="260"/>
  <c r="AD13" i="49" s="1"/>
  <c r="AD77" i="260"/>
  <c r="AD48" i="265"/>
  <c r="AD33" i="265"/>
  <c r="AD41" i="49" s="1"/>
  <c r="AD43" i="49" s="1"/>
  <c r="BA31" i="49"/>
  <c r="BB55" i="261"/>
  <c r="BB47" i="261" s="1"/>
  <c r="BB49" i="261" s="1"/>
  <c r="Q25" i="295" l="1"/>
  <c r="Q31" i="295" s="1"/>
  <c r="Q33" i="295" s="1"/>
  <c r="Q26" i="295"/>
  <c r="Q40" i="295" s="1"/>
  <c r="Q41" i="295" s="1"/>
  <c r="AD15" i="49"/>
  <c r="AD39" i="265" s="1"/>
  <c r="AD40" i="265" s="1"/>
  <c r="AD45" i="49"/>
  <c r="AD16" i="283"/>
  <c r="AD18" i="283" s="1"/>
  <c r="AD37" i="260" s="1"/>
  <c r="AD38" i="260" s="1"/>
  <c r="AD40" i="260" s="1"/>
  <c r="AD42" i="260" s="1"/>
  <c r="AD45" i="260" s="1"/>
  <c r="AD46" i="260" s="1"/>
  <c r="AD39" i="283"/>
  <c r="AD32" i="283"/>
  <c r="AD9" i="283"/>
  <c r="BB57" i="261"/>
  <c r="BB58" i="261" s="1"/>
  <c r="BB50" i="261"/>
  <c r="BB58" i="49" s="1"/>
  <c r="BB12" i="277"/>
  <c r="Q43" i="295" l="1"/>
  <c r="Q45" i="295" s="1"/>
  <c r="Q48" i="295"/>
  <c r="Q50" i="49" s="1"/>
  <c r="Q34" i="295"/>
  <c r="Q49" i="49" s="1"/>
  <c r="Q58" i="295"/>
  <c r="AD47" i="265"/>
  <c r="AD49" i="265" s="1"/>
  <c r="AD29" i="49" s="1"/>
  <c r="AD41" i="265"/>
  <c r="AD17" i="49" s="1"/>
  <c r="AD18" i="49" s="1"/>
  <c r="AD70" i="261" s="1"/>
  <c r="AD55" i="260"/>
  <c r="AD57" i="260" s="1"/>
  <c r="AD60" i="260" s="1"/>
  <c r="AD62" i="260" s="1"/>
  <c r="AD78" i="260" s="1"/>
  <c r="AD79" i="260" s="1"/>
  <c r="AD8" i="295" s="1"/>
  <c r="AD50" i="260"/>
  <c r="AD51" i="260" s="1"/>
  <c r="AD52" i="260" s="1"/>
  <c r="AD37" i="252" s="1"/>
  <c r="BB31" i="49"/>
  <c r="BC55" i="261"/>
  <c r="BC47" i="261" s="1"/>
  <c r="BC49" i="261" s="1"/>
  <c r="Q47" i="295" l="1"/>
  <c r="Q49" i="295" s="1"/>
  <c r="Q51" i="49" s="1"/>
  <c r="Q52" i="49" s="1"/>
  <c r="Q30" i="277" s="1"/>
  <c r="Q59" i="295"/>
  <c r="Q60" i="295" s="1"/>
  <c r="AD92" i="261"/>
  <c r="AE46" i="265"/>
  <c r="AC10" i="295"/>
  <c r="AC12" i="295" s="1"/>
  <c r="AD63" i="260"/>
  <c r="AD46" i="49" s="1"/>
  <c r="AD47" i="49" s="1"/>
  <c r="AD73" i="260"/>
  <c r="AD74" i="260" s="1"/>
  <c r="AE71" i="260" s="1"/>
  <c r="AE29" i="260" s="1"/>
  <c r="AE30" i="260" s="1"/>
  <c r="AD21" i="283"/>
  <c r="AD10" i="283"/>
  <c r="AD11" i="283" s="1"/>
  <c r="AD40" i="283"/>
  <c r="AB41" i="283" s="1"/>
  <c r="AD33" i="283"/>
  <c r="AD34" i="283" s="1"/>
  <c r="BC57" i="261"/>
  <c r="BC58" i="261" s="1"/>
  <c r="BC50" i="261"/>
  <c r="BC58" i="49" s="1"/>
  <c r="BC12" i="277"/>
  <c r="Q24" i="49" l="1"/>
  <c r="R57" i="295"/>
  <c r="Q15" i="261"/>
  <c r="AD21" i="295"/>
  <c r="AD28" i="49"/>
  <c r="AE77" i="260"/>
  <c r="AE27" i="265"/>
  <c r="AE28" i="265" s="1"/>
  <c r="AE31" i="265" s="1"/>
  <c r="AE32" i="265" s="1"/>
  <c r="AE41" i="260"/>
  <c r="AE31" i="260"/>
  <c r="BD55" i="261"/>
  <c r="BD47" i="261" s="1"/>
  <c r="BD49" i="261" s="1"/>
  <c r="BC31" i="49"/>
  <c r="Q16" i="261" l="1"/>
  <c r="Q18" i="261" s="1"/>
  <c r="Q20" i="261" s="1"/>
  <c r="R13" i="295"/>
  <c r="R14" i="295" s="1"/>
  <c r="R16" i="295" s="1"/>
  <c r="R39" i="295"/>
  <c r="AE48" i="265"/>
  <c r="AE33" i="265"/>
  <c r="AE41" i="49" s="1"/>
  <c r="AE43" i="49" s="1"/>
  <c r="AE13" i="49"/>
  <c r="AE45" i="49"/>
  <c r="BD57" i="261"/>
  <c r="BD58" i="261" s="1"/>
  <c r="BD50" i="261"/>
  <c r="BD58" i="49" s="1"/>
  <c r="BD12" i="277"/>
  <c r="Q11" i="277" l="1"/>
  <c r="Q21" i="261"/>
  <c r="Q55" i="49" s="1"/>
  <c r="Q56" i="49" s="1"/>
  <c r="Q59" i="49" s="1"/>
  <c r="Q35" i="261"/>
  <c r="Q36" i="261" s="1"/>
  <c r="R33" i="261" s="1"/>
  <c r="R19" i="261" s="1"/>
  <c r="R18" i="295"/>
  <c r="R44" i="295" s="1"/>
  <c r="R17" i="295"/>
  <c r="R32" i="295" s="1"/>
  <c r="AE15" i="49"/>
  <c r="AE39" i="265" s="1"/>
  <c r="AE40" i="265" s="1"/>
  <c r="AE39" i="283"/>
  <c r="AE32" i="283"/>
  <c r="AE16" i="283"/>
  <c r="AE18" i="283" s="1"/>
  <c r="AE37" i="260" s="1"/>
  <c r="AE38" i="260" s="1"/>
  <c r="AE40" i="260" s="1"/>
  <c r="AE42" i="260" s="1"/>
  <c r="AE45" i="260" s="1"/>
  <c r="AE46" i="260" s="1"/>
  <c r="AE9" i="283"/>
  <c r="BD31" i="49"/>
  <c r="BE55" i="261"/>
  <c r="BE47" i="261" s="1"/>
  <c r="BE49" i="261" s="1"/>
  <c r="Q30" i="49" l="1"/>
  <c r="Q84" i="261"/>
  <c r="Q66" i="261"/>
  <c r="Q67" i="261" s="1"/>
  <c r="Q73" i="261" s="1"/>
  <c r="Q75" i="261" s="1"/>
  <c r="AE47" i="265"/>
  <c r="AE49" i="265" s="1"/>
  <c r="AF46" i="265" s="1"/>
  <c r="AE41" i="265"/>
  <c r="AE17" i="49" s="1"/>
  <c r="AE18" i="49" s="1"/>
  <c r="AE70" i="261" s="1"/>
  <c r="AE55" i="260"/>
  <c r="AE57" i="260" s="1"/>
  <c r="AE60" i="260" s="1"/>
  <c r="AE62" i="260" s="1"/>
  <c r="AE73" i="260" s="1"/>
  <c r="AE74" i="260" s="1"/>
  <c r="AE50" i="260"/>
  <c r="AE51" i="260" s="1"/>
  <c r="AE52" i="260" s="1"/>
  <c r="AE37" i="252" s="1"/>
  <c r="BE12" i="277"/>
  <c r="BE50" i="261"/>
  <c r="BE58" i="49" s="1"/>
  <c r="BE57" i="261"/>
  <c r="BE58" i="261" s="1"/>
  <c r="AE29" i="49" l="1"/>
  <c r="Q85" i="261"/>
  <c r="Q86" i="261" s="1"/>
  <c r="Q93" i="261"/>
  <c r="Q94" i="261" s="1"/>
  <c r="Q13" i="277"/>
  <c r="Q14" i="277" s="1"/>
  <c r="AE92" i="261"/>
  <c r="AE63" i="260"/>
  <c r="AE46" i="49" s="1"/>
  <c r="AE47" i="49" s="1"/>
  <c r="AE78" i="260"/>
  <c r="AE79" i="260" s="1"/>
  <c r="AF71" i="260"/>
  <c r="AF29" i="260" s="1"/>
  <c r="AF30" i="260" s="1"/>
  <c r="AE28" i="49"/>
  <c r="BB41" i="283"/>
  <c r="BF55" i="261"/>
  <c r="BF47" i="261" s="1"/>
  <c r="BF49" i="261" s="1"/>
  <c r="BE31" i="49"/>
  <c r="Q21" i="277" l="1"/>
  <c r="Q57" i="277"/>
  <c r="Q59" i="277" s="1"/>
  <c r="Q32" i="49"/>
  <c r="Q33" i="49" s="1"/>
  <c r="R91" i="261"/>
  <c r="R69" i="261" s="1"/>
  <c r="R71" i="261" s="1"/>
  <c r="R74" i="261" s="1"/>
  <c r="Q25" i="49"/>
  <c r="Q26" i="49" s="1"/>
  <c r="Q35" i="49" s="1"/>
  <c r="R83" i="261"/>
  <c r="AE40" i="283"/>
  <c r="AC41" i="283" s="1"/>
  <c r="AE8" i="295"/>
  <c r="AE21" i="295"/>
  <c r="AE33" i="283"/>
  <c r="AE34" i="283" s="1"/>
  <c r="AE10" i="283"/>
  <c r="AE11" i="283" s="1"/>
  <c r="AE21" i="283"/>
  <c r="AF31" i="260"/>
  <c r="AF41" i="260"/>
  <c r="AF27" i="265"/>
  <c r="AF28" i="265" s="1"/>
  <c r="AF31" i="265" s="1"/>
  <c r="AF32" i="265" s="1"/>
  <c r="AF77" i="260"/>
  <c r="BF50" i="261"/>
  <c r="BF58" i="49" s="1"/>
  <c r="BF57" i="261"/>
  <c r="BF58" i="261" s="1"/>
  <c r="BF12" i="277"/>
  <c r="R14" i="261" l="1"/>
  <c r="R20" i="295"/>
  <c r="R22" i="295" s="1"/>
  <c r="R24" i="295" s="1"/>
  <c r="R65" i="261"/>
  <c r="AD10" i="295"/>
  <c r="AD12" i="295" s="1"/>
  <c r="AF33" i="265"/>
  <c r="AF41" i="49" s="1"/>
  <c r="AF43" i="49" s="1"/>
  <c r="AF48" i="265"/>
  <c r="AF13" i="49"/>
  <c r="AF45" i="49"/>
  <c r="BG55" i="261"/>
  <c r="BG47" i="261" s="1"/>
  <c r="BG49" i="261" s="1"/>
  <c r="BF31" i="49"/>
  <c r="R26" i="295" l="1"/>
  <c r="R40" i="295" s="1"/>
  <c r="R41" i="295" s="1"/>
  <c r="R25" i="295"/>
  <c r="R31" i="295" s="1"/>
  <c r="R33" i="295" s="1"/>
  <c r="AF15" i="49"/>
  <c r="AF39" i="265" s="1"/>
  <c r="AF40" i="265" s="1"/>
  <c r="AF39" i="283"/>
  <c r="AF9" i="283"/>
  <c r="AF16" i="283"/>
  <c r="AF18" i="283" s="1"/>
  <c r="AF37" i="260" s="1"/>
  <c r="AF38" i="260" s="1"/>
  <c r="AF40" i="260" s="1"/>
  <c r="AF42" i="260" s="1"/>
  <c r="AF45" i="260" s="1"/>
  <c r="AF46" i="260" s="1"/>
  <c r="AF32" i="283"/>
  <c r="BG12" i="277"/>
  <c r="BG50" i="261"/>
  <c r="BG58" i="49" s="1"/>
  <c r="BG57" i="261"/>
  <c r="BG58" i="261" s="1"/>
  <c r="R34" i="295" l="1"/>
  <c r="R49" i="49" s="1"/>
  <c r="R58" i="295"/>
  <c r="R48" i="295"/>
  <c r="R50" i="49" s="1"/>
  <c r="R43" i="295"/>
  <c r="R45" i="295" s="1"/>
  <c r="AF47" i="265"/>
  <c r="AF49" i="265" s="1"/>
  <c r="AF29" i="49" s="1"/>
  <c r="AF41" i="265"/>
  <c r="AF17" i="49" s="1"/>
  <c r="AF18" i="49" s="1"/>
  <c r="AF70" i="261" s="1"/>
  <c r="AF55" i="260"/>
  <c r="AF57" i="260" s="1"/>
  <c r="AF60" i="260" s="1"/>
  <c r="AF62" i="260" s="1"/>
  <c r="AF63" i="260" s="1"/>
  <c r="AF46" i="49" s="1"/>
  <c r="AF47" i="49" s="1"/>
  <c r="AF50" i="260"/>
  <c r="AF51" i="260" s="1"/>
  <c r="AF52" i="260" s="1"/>
  <c r="AF37" i="252" s="1"/>
  <c r="BH55" i="261"/>
  <c r="BH47" i="261" s="1"/>
  <c r="BH49" i="261" s="1"/>
  <c r="BG31" i="49"/>
  <c r="AG46" i="265" l="1"/>
  <c r="R47" i="295"/>
  <c r="R49" i="295" s="1"/>
  <c r="R51" i="49" s="1"/>
  <c r="R52" i="49" s="1"/>
  <c r="R30" i="277" s="1"/>
  <c r="R59" i="295"/>
  <c r="R60" i="295" s="1"/>
  <c r="AF92" i="261"/>
  <c r="AF21" i="295"/>
  <c r="AF73" i="260"/>
  <c r="AF74" i="260" s="1"/>
  <c r="AG71" i="260" s="1"/>
  <c r="AG29" i="260" s="1"/>
  <c r="AG30" i="260" s="1"/>
  <c r="AF78" i="260"/>
  <c r="AF79" i="260" s="1"/>
  <c r="BH12" i="277"/>
  <c r="BH57" i="261"/>
  <c r="BH58" i="261" s="1"/>
  <c r="BH50" i="261"/>
  <c r="BH58" i="49" s="1"/>
  <c r="R15" i="261" l="1"/>
  <c r="R24" i="49"/>
  <c r="S57" i="295"/>
  <c r="AF33" i="283"/>
  <c r="AF34" i="283" s="1"/>
  <c r="AF8" i="295"/>
  <c r="AF10" i="283"/>
  <c r="AF11" i="283" s="1"/>
  <c r="AF40" i="283"/>
  <c r="AD41" i="283" s="1"/>
  <c r="AF28" i="49"/>
  <c r="AF21" i="283"/>
  <c r="AG41" i="260"/>
  <c r="AG31" i="260"/>
  <c r="AG77" i="260"/>
  <c r="AG27" i="265"/>
  <c r="AG28" i="265" s="1"/>
  <c r="AG31" i="265" s="1"/>
  <c r="AG32" i="265" s="1"/>
  <c r="BH31" i="49"/>
  <c r="BI55" i="261"/>
  <c r="BI47" i="261" s="1"/>
  <c r="BI49" i="261" s="1"/>
  <c r="R16" i="261" l="1"/>
  <c r="R18" i="261" s="1"/>
  <c r="R20" i="261" s="1"/>
  <c r="S13" i="295"/>
  <c r="S14" i="295" s="1"/>
  <c r="S16" i="295" s="1"/>
  <c r="S39" i="295"/>
  <c r="AE10" i="295"/>
  <c r="AE12" i="295" s="1"/>
  <c r="AG45" i="49"/>
  <c r="AG13" i="49"/>
  <c r="AG48" i="265"/>
  <c r="AG33" i="265"/>
  <c r="AG41" i="49" s="1"/>
  <c r="AG43" i="49" s="1"/>
  <c r="BI12" i="277"/>
  <c r="BI50" i="261"/>
  <c r="BI58" i="49" s="1"/>
  <c r="BI57" i="261"/>
  <c r="BI58" i="261" s="1"/>
  <c r="R11" i="277" l="1"/>
  <c r="R35" i="261"/>
  <c r="R36" i="261" s="1"/>
  <c r="S33" i="261" s="1"/>
  <c r="S19" i="261" s="1"/>
  <c r="R21" i="261"/>
  <c r="R55" i="49" s="1"/>
  <c r="R56" i="49" s="1"/>
  <c r="R59" i="49" s="1"/>
  <c r="S18" i="295"/>
  <c r="S44" i="295" s="1"/>
  <c r="S17" i="295"/>
  <c r="S32" i="295" s="1"/>
  <c r="AG15" i="49"/>
  <c r="AG39" i="265" s="1"/>
  <c r="AG40" i="265" s="1"/>
  <c r="AG32" i="283"/>
  <c r="AG16" i="283"/>
  <c r="AG18" i="283" s="1"/>
  <c r="AG37" i="260" s="1"/>
  <c r="AG38" i="260" s="1"/>
  <c r="AG40" i="260" s="1"/>
  <c r="AG42" i="260" s="1"/>
  <c r="AG45" i="260" s="1"/>
  <c r="AG46" i="260" s="1"/>
  <c r="AG9" i="283"/>
  <c r="AG39" i="283"/>
  <c r="BJ55" i="261"/>
  <c r="BJ47" i="261" s="1"/>
  <c r="BJ49" i="261" s="1"/>
  <c r="BI31" i="49"/>
  <c r="R30" i="49" l="1"/>
  <c r="R84" i="261"/>
  <c r="R66" i="261"/>
  <c r="R67" i="261" s="1"/>
  <c r="R73" i="261" s="1"/>
  <c r="R75" i="261" s="1"/>
  <c r="AG47" i="265"/>
  <c r="AG49" i="265" s="1"/>
  <c r="AG29" i="49" s="1"/>
  <c r="AG41" i="265"/>
  <c r="AG17" i="49" s="1"/>
  <c r="AG18" i="49" s="1"/>
  <c r="AG70" i="261" s="1"/>
  <c r="AG55" i="260"/>
  <c r="AG57" i="260" s="1"/>
  <c r="AG60" i="260" s="1"/>
  <c r="AG62" i="260" s="1"/>
  <c r="AG78" i="260" s="1"/>
  <c r="AG79" i="260" s="1"/>
  <c r="AG8" i="295" s="1"/>
  <c r="AG50" i="260"/>
  <c r="AG51" i="260" s="1"/>
  <c r="AG52" i="260" s="1"/>
  <c r="AG37" i="252" s="1"/>
  <c r="BJ50" i="261"/>
  <c r="BJ58" i="49" s="1"/>
  <c r="BJ57" i="261"/>
  <c r="BJ58" i="261" s="1"/>
  <c r="BJ12" i="277"/>
  <c r="AH46" i="265" l="1"/>
  <c r="R93" i="261"/>
  <c r="R94" i="261" s="1"/>
  <c r="R85" i="261"/>
  <c r="R86" i="261" s="1"/>
  <c r="R13" i="277"/>
  <c r="R14" i="277" s="1"/>
  <c r="AG92" i="261"/>
  <c r="AF10" i="295"/>
  <c r="AF12" i="295" s="1"/>
  <c r="AG73" i="260"/>
  <c r="AG74" i="260" s="1"/>
  <c r="AG28" i="49" s="1"/>
  <c r="AG63" i="260"/>
  <c r="AG46" i="49" s="1"/>
  <c r="AG47" i="49" s="1"/>
  <c r="AG21" i="283"/>
  <c r="AG10" i="283"/>
  <c r="AG11" i="283" s="1"/>
  <c r="AG33" i="283"/>
  <c r="AG34" i="283" s="1"/>
  <c r="AG40" i="283"/>
  <c r="AE41" i="283" s="1"/>
  <c r="BJ31" i="49"/>
  <c r="BK55" i="261"/>
  <c r="BK47" i="261" s="1"/>
  <c r="BK49" i="261" s="1"/>
  <c r="R21" i="277" l="1"/>
  <c r="R57" i="277"/>
  <c r="R59" i="277" s="1"/>
  <c r="R25" i="49"/>
  <c r="R26" i="49" s="1"/>
  <c r="S83" i="261"/>
  <c r="S91" i="261"/>
  <c r="S69" i="261" s="1"/>
  <c r="S71" i="261" s="1"/>
  <c r="S74" i="261" s="1"/>
  <c r="R32" i="49"/>
  <c r="R33" i="49" s="1"/>
  <c r="AG21" i="295"/>
  <c r="AH71" i="260"/>
  <c r="AH29" i="260" s="1"/>
  <c r="AH30" i="260" s="1"/>
  <c r="AH31" i="260" s="1"/>
  <c r="BK50" i="261"/>
  <c r="BK58" i="49" s="1"/>
  <c r="BK57" i="261"/>
  <c r="BK58" i="261" s="1"/>
  <c r="BK12" i="277"/>
  <c r="R35" i="49" l="1"/>
  <c r="S20" i="295"/>
  <c r="S22" i="295" s="1"/>
  <c r="S24" i="295" s="1"/>
  <c r="S65" i="261"/>
  <c r="S14" i="261"/>
  <c r="AH27" i="265"/>
  <c r="AH28" i="265" s="1"/>
  <c r="AH31" i="265" s="1"/>
  <c r="AH32" i="265" s="1"/>
  <c r="AH48" i="265" s="1"/>
  <c r="AH41" i="260"/>
  <c r="AH77" i="260"/>
  <c r="AH13" i="49"/>
  <c r="AH45" i="49"/>
  <c r="BK31" i="49"/>
  <c r="BL55" i="261"/>
  <c r="BL47" i="261" s="1"/>
  <c r="BL49" i="261" s="1"/>
  <c r="S25" i="295" l="1"/>
  <c r="S31" i="295" s="1"/>
  <c r="S33" i="295" s="1"/>
  <c r="S26" i="295"/>
  <c r="S40" i="295" s="1"/>
  <c r="S41" i="295" s="1"/>
  <c r="AH15" i="49"/>
  <c r="AH39" i="265" s="1"/>
  <c r="AH40" i="265" s="1"/>
  <c r="AH33" i="265"/>
  <c r="AH41" i="49" s="1"/>
  <c r="AH43" i="49" s="1"/>
  <c r="AH16" i="283" s="1"/>
  <c r="AH18" i="283" s="1"/>
  <c r="AH37" i="260" s="1"/>
  <c r="AH38" i="260" s="1"/>
  <c r="AH40" i="260" s="1"/>
  <c r="AH42" i="260" s="1"/>
  <c r="AH45" i="260" s="1"/>
  <c r="AH46" i="260" s="1"/>
  <c r="BL12" i="277"/>
  <c r="BL57" i="261"/>
  <c r="BL58" i="261" s="1"/>
  <c r="BL50" i="261"/>
  <c r="BL58" i="49" s="1"/>
  <c r="S48" i="295" l="1"/>
  <c r="S50" i="49" s="1"/>
  <c r="S43" i="295"/>
  <c r="S45" i="295" s="1"/>
  <c r="S58" i="295"/>
  <c r="S34" i="295"/>
  <c r="S49" i="49" s="1"/>
  <c r="AH47" i="265"/>
  <c r="AH49" i="265" s="1"/>
  <c r="AI46" i="265" s="1"/>
  <c r="AH41" i="265"/>
  <c r="AH17" i="49" s="1"/>
  <c r="AH18" i="49" s="1"/>
  <c r="AH70" i="261" s="1"/>
  <c r="AH32" i="283"/>
  <c r="AH39" i="283"/>
  <c r="AH9" i="283"/>
  <c r="AH55" i="260"/>
  <c r="AH57" i="260" s="1"/>
  <c r="AH60" i="260" s="1"/>
  <c r="AH62" i="260" s="1"/>
  <c r="AH78" i="260" s="1"/>
  <c r="AH79" i="260" s="1"/>
  <c r="AH8" i="295" s="1"/>
  <c r="AH50" i="260"/>
  <c r="AH51" i="260" s="1"/>
  <c r="AH52" i="260" s="1"/>
  <c r="AH37" i="252" s="1"/>
  <c r="BM55" i="261"/>
  <c r="BM47" i="261" s="1"/>
  <c r="BM49" i="261" s="1"/>
  <c r="BL31" i="49"/>
  <c r="AH29" i="49" l="1"/>
  <c r="AH92" i="261"/>
  <c r="S59" i="295"/>
  <c r="S60" i="295" s="1"/>
  <c r="S47" i="295"/>
  <c r="S49" i="295" s="1"/>
  <c r="S51" i="49" s="1"/>
  <c r="S52" i="49" s="1"/>
  <c r="S30" i="277" s="1"/>
  <c r="AG10" i="295"/>
  <c r="AG12" i="295" s="1"/>
  <c r="AH73" i="260"/>
  <c r="AH74" i="260" s="1"/>
  <c r="AH28" i="49" s="1"/>
  <c r="AH63" i="260"/>
  <c r="AH46" i="49" s="1"/>
  <c r="AH47" i="49" s="1"/>
  <c r="AH40" i="283"/>
  <c r="AF41" i="283" s="1"/>
  <c r="AH33" i="283"/>
  <c r="AH34" i="283" s="1"/>
  <c r="AH21" i="283"/>
  <c r="AH10" i="283"/>
  <c r="AH11" i="283" s="1"/>
  <c r="BM57" i="261"/>
  <c r="BM58" i="261" s="1"/>
  <c r="BM50" i="261"/>
  <c r="BM58" i="49" s="1"/>
  <c r="BM12" i="277"/>
  <c r="S15" i="261" l="1"/>
  <c r="S24" i="49"/>
  <c r="T57" i="295"/>
  <c r="AH21" i="295"/>
  <c r="AI71" i="260"/>
  <c r="AI29" i="260" s="1"/>
  <c r="AI30" i="260" s="1"/>
  <c r="AI27" i="265" s="1"/>
  <c r="AI28" i="265" s="1"/>
  <c r="AI31" i="265" s="1"/>
  <c r="AI32" i="265" s="1"/>
  <c r="BM31" i="49"/>
  <c r="BN55" i="261"/>
  <c r="BN47" i="261" s="1"/>
  <c r="BN49" i="261" s="1"/>
  <c r="S16" i="261" l="1"/>
  <c r="S18" i="261" s="1"/>
  <c r="S20" i="261" s="1"/>
  <c r="T39" i="295"/>
  <c r="T13" i="295"/>
  <c r="T14" i="295" s="1"/>
  <c r="T16" i="295" s="1"/>
  <c r="AI77" i="260"/>
  <c r="AI31" i="260"/>
  <c r="AI13" i="49" s="1"/>
  <c r="AI41" i="260"/>
  <c r="AI48" i="265"/>
  <c r="AI33" i="265"/>
  <c r="AI41" i="49" s="1"/>
  <c r="AI43" i="49" s="1"/>
  <c r="BN12" i="277"/>
  <c r="BN57" i="261"/>
  <c r="BN58" i="261" s="1"/>
  <c r="BN50" i="261"/>
  <c r="BN58" i="49" s="1"/>
  <c r="S11" i="277" l="1"/>
  <c r="S21" i="261"/>
  <c r="S55" i="49" s="1"/>
  <c r="S56" i="49" s="1"/>
  <c r="S59" i="49" s="1"/>
  <c r="S35" i="261"/>
  <c r="S36" i="261" s="1"/>
  <c r="T33" i="261" s="1"/>
  <c r="T19" i="261" s="1"/>
  <c r="T17" i="295"/>
  <c r="T32" i="295" s="1"/>
  <c r="T18" i="295"/>
  <c r="T44" i="295" s="1"/>
  <c r="S30" i="49"/>
  <c r="AI15" i="49"/>
  <c r="AI39" i="265" s="1"/>
  <c r="AI40" i="265" s="1"/>
  <c r="AI45" i="49"/>
  <c r="AI32" i="283"/>
  <c r="AI9" i="283"/>
  <c r="AI39" i="283"/>
  <c r="AI16" i="283"/>
  <c r="AI18" i="283" s="1"/>
  <c r="AI37" i="260" s="1"/>
  <c r="AI38" i="260" s="1"/>
  <c r="AI40" i="260" s="1"/>
  <c r="AI42" i="260" s="1"/>
  <c r="AI45" i="260" s="1"/>
  <c r="AI46" i="260" s="1"/>
  <c r="BO55" i="261"/>
  <c r="BO47" i="261" s="1"/>
  <c r="BO49" i="261" s="1"/>
  <c r="BN31" i="49"/>
  <c r="S66" i="261" l="1"/>
  <c r="S67" i="261" s="1"/>
  <c r="S73" i="261" s="1"/>
  <c r="S75" i="261" s="1"/>
  <c r="S84" i="261"/>
  <c r="AI41" i="265"/>
  <c r="AI17" i="49" s="1"/>
  <c r="AI18" i="49" s="1"/>
  <c r="AI92" i="261" s="1"/>
  <c r="AI47" i="265"/>
  <c r="AI49" i="265" s="1"/>
  <c r="AI29" i="49" s="1"/>
  <c r="AI55" i="260"/>
  <c r="AI57" i="260" s="1"/>
  <c r="AI60" i="260" s="1"/>
  <c r="AI62" i="260" s="1"/>
  <c r="AI63" i="260" s="1"/>
  <c r="AI46" i="49" s="1"/>
  <c r="AI47" i="49" s="1"/>
  <c r="AI50" i="260"/>
  <c r="AI51" i="260" s="1"/>
  <c r="AI52" i="260" s="1"/>
  <c r="AI37" i="252" s="1"/>
  <c r="BO12" i="277"/>
  <c r="BO57" i="261"/>
  <c r="BO58" i="261" s="1"/>
  <c r="BO50" i="261"/>
  <c r="BO58" i="49" s="1"/>
  <c r="AI70" i="261" l="1"/>
  <c r="S93" i="261"/>
  <c r="S94" i="261" s="1"/>
  <c r="S85" i="261"/>
  <c r="S86" i="261" s="1"/>
  <c r="S13" i="277"/>
  <c r="S14" i="277" s="1"/>
  <c r="AJ46" i="265"/>
  <c r="AI21" i="295"/>
  <c r="AI78" i="260"/>
  <c r="AI79" i="260" s="1"/>
  <c r="AI73" i="260"/>
  <c r="AI74" i="260" s="1"/>
  <c r="AI28" i="49" s="1"/>
  <c r="BO31" i="49"/>
  <c r="BP55" i="261"/>
  <c r="BP47" i="261" s="1"/>
  <c r="BP49" i="261" s="1"/>
  <c r="S21" i="277" l="1"/>
  <c r="S57" i="277"/>
  <c r="S59" i="277" s="1"/>
  <c r="T83" i="261"/>
  <c r="S25" i="49"/>
  <c r="S26" i="49" s="1"/>
  <c r="S32" i="49"/>
  <c r="S33" i="49" s="1"/>
  <c r="T91" i="261"/>
  <c r="T69" i="261" s="1"/>
  <c r="T71" i="261" s="1"/>
  <c r="T74" i="261" s="1"/>
  <c r="AI21" i="283"/>
  <c r="AI8" i="295"/>
  <c r="AJ71" i="260"/>
  <c r="AJ29" i="260" s="1"/>
  <c r="AJ30" i="260" s="1"/>
  <c r="AJ41" i="260" s="1"/>
  <c r="AI10" i="283"/>
  <c r="AI11" i="283" s="1"/>
  <c r="AI33" i="283"/>
  <c r="AI34" i="283" s="1"/>
  <c r="AI40" i="283"/>
  <c r="AG41" i="283" s="1"/>
  <c r="BP12" i="277"/>
  <c r="BP50" i="261"/>
  <c r="BP58" i="49" s="1"/>
  <c r="BP57" i="261"/>
  <c r="BP58" i="261" s="1"/>
  <c r="S35" i="49" l="1"/>
  <c r="T65" i="261"/>
  <c r="T20" i="295"/>
  <c r="T22" i="295" s="1"/>
  <c r="T24" i="295" s="1"/>
  <c r="T14" i="261"/>
  <c r="AH10" i="295"/>
  <c r="AH12" i="295" s="1"/>
  <c r="AJ31" i="260"/>
  <c r="AJ45" i="49" s="1"/>
  <c r="AJ77" i="260"/>
  <c r="AJ27" i="265"/>
  <c r="AJ28" i="265" s="1"/>
  <c r="AJ31" i="265" s="1"/>
  <c r="AJ32" i="265" s="1"/>
  <c r="AJ33" i="265" s="1"/>
  <c r="AJ41" i="49" s="1"/>
  <c r="AJ43" i="49" s="1"/>
  <c r="BQ55" i="261"/>
  <c r="BQ47" i="261" s="1"/>
  <c r="BQ49" i="261" s="1"/>
  <c r="BP31" i="49"/>
  <c r="T25" i="295" l="1"/>
  <c r="T31" i="295" s="1"/>
  <c r="T33" i="295" s="1"/>
  <c r="T26" i="295"/>
  <c r="T40" i="295" s="1"/>
  <c r="T41" i="295" s="1"/>
  <c r="AJ13" i="49"/>
  <c r="AJ48" i="265"/>
  <c r="AJ16" i="283"/>
  <c r="AJ18" i="283" s="1"/>
  <c r="AJ37" i="260" s="1"/>
  <c r="AJ38" i="260" s="1"/>
  <c r="AJ40" i="260" s="1"/>
  <c r="AJ42" i="260" s="1"/>
  <c r="AJ45" i="260" s="1"/>
  <c r="AJ46" i="260" s="1"/>
  <c r="AJ32" i="283"/>
  <c r="AJ9" i="283"/>
  <c r="AJ39" i="283"/>
  <c r="BQ50" i="261"/>
  <c r="BQ58" i="49" s="1"/>
  <c r="BQ57" i="261"/>
  <c r="BQ58" i="261" s="1"/>
  <c r="BQ12" i="277"/>
  <c r="T43" i="295" l="1"/>
  <c r="T45" i="295" s="1"/>
  <c r="T48" i="295"/>
  <c r="T50" i="49" s="1"/>
  <c r="T34" i="295"/>
  <c r="T49" i="49" s="1"/>
  <c r="T58" i="295"/>
  <c r="AJ15" i="49"/>
  <c r="AJ39" i="265" s="1"/>
  <c r="AJ40" i="265" s="1"/>
  <c r="AJ55" i="260"/>
  <c r="AJ57" i="260" s="1"/>
  <c r="AJ60" i="260" s="1"/>
  <c r="AJ62" i="260" s="1"/>
  <c r="AJ73" i="260" s="1"/>
  <c r="AJ74" i="260" s="1"/>
  <c r="AJ50" i="260"/>
  <c r="AJ51" i="260" s="1"/>
  <c r="AJ52" i="260" s="1"/>
  <c r="AJ37" i="252" s="1"/>
  <c r="BR55" i="261"/>
  <c r="BR47" i="261" s="1"/>
  <c r="BR49" i="261" s="1"/>
  <c r="BQ31" i="49"/>
  <c r="T47" i="295" l="1"/>
  <c r="T49" i="295" s="1"/>
  <c r="T51" i="49" s="1"/>
  <c r="T52" i="49" s="1"/>
  <c r="T30" i="277" s="1"/>
  <c r="T59" i="295"/>
  <c r="T60" i="295" s="1"/>
  <c r="AJ41" i="265"/>
  <c r="AJ17" i="49" s="1"/>
  <c r="AJ18" i="49" s="1"/>
  <c r="AJ47" i="265"/>
  <c r="AJ49" i="265" s="1"/>
  <c r="AJ29" i="49" s="1"/>
  <c r="AJ78" i="260"/>
  <c r="AJ79" i="260" s="1"/>
  <c r="AJ63" i="260"/>
  <c r="AJ46" i="49" s="1"/>
  <c r="AJ47" i="49" s="1"/>
  <c r="AK71" i="260"/>
  <c r="AK29" i="260" s="1"/>
  <c r="AK30" i="260" s="1"/>
  <c r="AJ28" i="49"/>
  <c r="BR57" i="261"/>
  <c r="BR58" i="261" s="1"/>
  <c r="BR50" i="261"/>
  <c r="BR58" i="49" s="1"/>
  <c r="BR12" i="277"/>
  <c r="U57" i="295" l="1"/>
  <c r="T24" i="49"/>
  <c r="T15" i="261"/>
  <c r="AK46" i="265"/>
  <c r="AJ92" i="261"/>
  <c r="AJ70" i="261"/>
  <c r="AJ21" i="295"/>
  <c r="AJ10" i="283"/>
  <c r="AJ11" i="283" s="1"/>
  <c r="AJ8" i="295"/>
  <c r="AJ21" i="283"/>
  <c r="AJ33" i="283"/>
  <c r="AJ34" i="283" s="1"/>
  <c r="AJ40" i="283"/>
  <c r="AH41" i="283" s="1"/>
  <c r="AK31" i="260"/>
  <c r="AK27" i="265"/>
  <c r="AK28" i="265" s="1"/>
  <c r="AK31" i="265" s="1"/>
  <c r="AK32" i="265" s="1"/>
  <c r="AK77" i="260"/>
  <c r="AK41" i="260"/>
  <c r="BR31" i="49"/>
  <c r="BS55" i="261"/>
  <c r="BS47" i="261" s="1"/>
  <c r="BS49" i="261" s="1"/>
  <c r="T16" i="261" l="1"/>
  <c r="T18" i="261" s="1"/>
  <c r="T20" i="261" s="1"/>
  <c r="U39" i="295"/>
  <c r="U13" i="295"/>
  <c r="U14" i="295" s="1"/>
  <c r="U16" i="295" s="1"/>
  <c r="AI10" i="295"/>
  <c r="AI12" i="295" s="1"/>
  <c r="AK33" i="265"/>
  <c r="AK41" i="49" s="1"/>
  <c r="AK43" i="49" s="1"/>
  <c r="AK48" i="265"/>
  <c r="AK13" i="49"/>
  <c r="AK45" i="49"/>
  <c r="BS57" i="261"/>
  <c r="BS58" i="261" s="1"/>
  <c r="BS12" i="277"/>
  <c r="BS50" i="261"/>
  <c r="BS58" i="49" s="1"/>
  <c r="T11" i="277" l="1"/>
  <c r="T35" i="261"/>
  <c r="T36" i="261" s="1"/>
  <c r="T21" i="261"/>
  <c r="T55" i="49" s="1"/>
  <c r="T56" i="49" s="1"/>
  <c r="T59" i="49" s="1"/>
  <c r="T30" i="49"/>
  <c r="U33" i="261"/>
  <c r="U19" i="261" s="1"/>
  <c r="U17" i="295"/>
  <c r="U32" i="295" s="1"/>
  <c r="U18" i="295"/>
  <c r="U44" i="295" s="1"/>
  <c r="AK15" i="49"/>
  <c r="AK39" i="265" s="1"/>
  <c r="AK40" i="265" s="1"/>
  <c r="AK39" i="283"/>
  <c r="AK32" i="283"/>
  <c r="AK16" i="283"/>
  <c r="AK18" i="283" s="1"/>
  <c r="AK37" i="260" s="1"/>
  <c r="AK38" i="260" s="1"/>
  <c r="AK40" i="260" s="1"/>
  <c r="AK42" i="260" s="1"/>
  <c r="AK45" i="260" s="1"/>
  <c r="AK46" i="260" s="1"/>
  <c r="AK9" i="283"/>
  <c r="BS31" i="49"/>
  <c r="BT55" i="261"/>
  <c r="BT47" i="261" s="1"/>
  <c r="BT49" i="261" s="1"/>
  <c r="T84" i="261" l="1"/>
  <c r="T66" i="261"/>
  <c r="T67" i="261" s="1"/>
  <c r="T73" i="261" s="1"/>
  <c r="T75" i="261" s="1"/>
  <c r="AK47" i="265"/>
  <c r="AK49" i="265" s="1"/>
  <c r="AL46" i="265" s="1"/>
  <c r="AK41" i="265"/>
  <c r="AK17" i="49" s="1"/>
  <c r="AK18" i="49" s="1"/>
  <c r="AK92" i="261" s="1"/>
  <c r="AK55" i="260"/>
  <c r="AK57" i="260" s="1"/>
  <c r="AK60" i="260" s="1"/>
  <c r="AK62" i="260" s="1"/>
  <c r="AK73" i="260" s="1"/>
  <c r="AK74" i="260" s="1"/>
  <c r="AK50" i="260"/>
  <c r="AK51" i="260" s="1"/>
  <c r="AK52" i="260" s="1"/>
  <c r="AK37" i="252" s="1"/>
  <c r="BT50" i="261"/>
  <c r="BT58" i="49" s="1"/>
  <c r="BT12" i="277"/>
  <c r="BT57" i="261"/>
  <c r="BT58" i="261" s="1"/>
  <c r="T85" i="261" l="1"/>
  <c r="T86" i="261" s="1"/>
  <c r="T13" i="277"/>
  <c r="T14" i="277" s="1"/>
  <c r="T93" i="261"/>
  <c r="T94" i="261" s="1"/>
  <c r="AK29" i="49"/>
  <c r="AK70" i="261"/>
  <c r="AK63" i="260"/>
  <c r="AK46" i="49" s="1"/>
  <c r="AK47" i="49" s="1"/>
  <c r="AK78" i="260"/>
  <c r="AK79" i="260" s="1"/>
  <c r="AL71" i="260"/>
  <c r="AL29" i="260" s="1"/>
  <c r="AL30" i="260" s="1"/>
  <c r="AK28" i="49"/>
  <c r="BT31" i="49"/>
  <c r="BU55" i="261"/>
  <c r="BU47" i="261" s="1"/>
  <c r="BU49" i="261" s="1"/>
  <c r="U91" i="261" l="1"/>
  <c r="U69" i="261" s="1"/>
  <c r="U71" i="261" s="1"/>
  <c r="U74" i="261" s="1"/>
  <c r="T32" i="49"/>
  <c r="T33" i="49" s="1"/>
  <c r="T21" i="277"/>
  <c r="T57" i="277"/>
  <c r="T59" i="277" s="1"/>
  <c r="T25" i="49"/>
  <c r="T26" i="49" s="1"/>
  <c r="U83" i="261"/>
  <c r="AK10" i="283"/>
  <c r="AK11" i="283" s="1"/>
  <c r="AK8" i="295"/>
  <c r="AK21" i="295"/>
  <c r="AK40" i="283"/>
  <c r="AI41" i="283" s="1"/>
  <c r="AK21" i="283"/>
  <c r="AK33" i="283"/>
  <c r="AK34" i="283" s="1"/>
  <c r="AL77" i="260"/>
  <c r="AL27" i="265"/>
  <c r="AL28" i="265" s="1"/>
  <c r="AL31" i="265" s="1"/>
  <c r="AL32" i="265" s="1"/>
  <c r="AL41" i="260"/>
  <c r="AL31" i="260"/>
  <c r="BU50" i="261"/>
  <c r="BU58" i="49" s="1"/>
  <c r="BU12" i="277"/>
  <c r="BU57" i="261"/>
  <c r="BU58" i="261" s="1"/>
  <c r="T35" i="49" l="1"/>
  <c r="U20" i="295"/>
  <c r="U22" i="295" s="1"/>
  <c r="U24" i="295" s="1"/>
  <c r="U65" i="261"/>
  <c r="U14" i="261"/>
  <c r="AJ10" i="295"/>
  <c r="AJ12" i="295" s="1"/>
  <c r="AL33" i="265"/>
  <c r="AL41" i="49" s="1"/>
  <c r="AL43" i="49" s="1"/>
  <c r="AL48" i="265"/>
  <c r="AL45" i="49"/>
  <c r="AL13" i="49"/>
  <c r="BU31" i="49"/>
  <c r="BV55" i="261"/>
  <c r="BV47" i="261" s="1"/>
  <c r="BV49" i="261" s="1"/>
  <c r="U25" i="295" l="1"/>
  <c r="U31" i="295" s="1"/>
  <c r="U33" i="295" s="1"/>
  <c r="U26" i="295"/>
  <c r="U40" i="295" s="1"/>
  <c r="U41" i="295" s="1"/>
  <c r="AL15" i="49"/>
  <c r="AL39" i="265" s="1"/>
  <c r="AL40" i="265" s="1"/>
  <c r="AL9" i="283"/>
  <c r="AL16" i="283"/>
  <c r="AL18" i="283" s="1"/>
  <c r="AL37" i="260" s="1"/>
  <c r="AL38" i="260" s="1"/>
  <c r="AL40" i="260" s="1"/>
  <c r="AL42" i="260" s="1"/>
  <c r="AL45" i="260" s="1"/>
  <c r="AL46" i="260" s="1"/>
  <c r="AL32" i="283"/>
  <c r="AL39" i="283"/>
  <c r="BV12" i="277"/>
  <c r="BV57" i="261"/>
  <c r="BV58" i="261" s="1"/>
  <c r="BV50" i="261"/>
  <c r="BV58" i="49" s="1"/>
  <c r="U43" i="295" l="1"/>
  <c r="U45" i="295" s="1"/>
  <c r="U48" i="295"/>
  <c r="U50" i="49" s="1"/>
  <c r="U34" i="295"/>
  <c r="U49" i="49" s="1"/>
  <c r="U58" i="295"/>
  <c r="AL47" i="265"/>
  <c r="AL49" i="265" s="1"/>
  <c r="AM46" i="265" s="1"/>
  <c r="AL41" i="265"/>
  <c r="AL17" i="49" s="1"/>
  <c r="AL18" i="49" s="1"/>
  <c r="AL70" i="261" s="1"/>
  <c r="AL55" i="260"/>
  <c r="AL57" i="260" s="1"/>
  <c r="AL60" i="260" s="1"/>
  <c r="AL62" i="260" s="1"/>
  <c r="AL73" i="260" s="1"/>
  <c r="AL74" i="260" s="1"/>
  <c r="AL50" i="260"/>
  <c r="AL51" i="260" s="1"/>
  <c r="AL52" i="260" s="1"/>
  <c r="AL37" i="252" s="1"/>
  <c r="BW55" i="261"/>
  <c r="BW47" i="261" s="1"/>
  <c r="BW49" i="261" s="1"/>
  <c r="BV31" i="49"/>
  <c r="AL92" i="261" l="1"/>
  <c r="AL29" i="49"/>
  <c r="U47" i="295"/>
  <c r="U49" i="295" s="1"/>
  <c r="U51" i="49" s="1"/>
  <c r="U52" i="49" s="1"/>
  <c r="U30" i="277" s="1"/>
  <c r="U59" i="295"/>
  <c r="U60" i="295" s="1"/>
  <c r="AL78" i="260"/>
  <c r="AL79" i="260" s="1"/>
  <c r="AL63" i="260"/>
  <c r="AL46" i="49" s="1"/>
  <c r="AL47" i="49" s="1"/>
  <c r="AM71" i="260"/>
  <c r="AM29" i="260" s="1"/>
  <c r="AM30" i="260" s="1"/>
  <c r="AL28" i="49"/>
  <c r="BW12" i="277"/>
  <c r="BW50" i="261"/>
  <c r="BW58" i="49" s="1"/>
  <c r="BW57" i="261"/>
  <c r="BW58" i="261" s="1"/>
  <c r="U15" i="261" l="1"/>
  <c r="V57" i="295"/>
  <c r="U24" i="49"/>
  <c r="AL21" i="295"/>
  <c r="AL40" i="283"/>
  <c r="AJ41" i="283" s="1"/>
  <c r="AL8" i="295"/>
  <c r="AL10" i="283"/>
  <c r="AL11" i="283" s="1"/>
  <c r="AL33" i="283"/>
  <c r="AL34" i="283" s="1"/>
  <c r="AL21" i="283"/>
  <c r="AM41" i="260"/>
  <c r="AM77" i="260"/>
  <c r="AM31" i="260"/>
  <c r="AM27" i="265"/>
  <c r="AM28" i="265" s="1"/>
  <c r="AM31" i="265" s="1"/>
  <c r="AM32" i="265" s="1"/>
  <c r="BW31" i="49"/>
  <c r="BX55" i="261"/>
  <c r="BX47" i="261" s="1"/>
  <c r="BX49" i="261" s="1"/>
  <c r="U16" i="261" l="1"/>
  <c r="U18" i="261" s="1"/>
  <c r="U20" i="261" s="1"/>
  <c r="V13" i="295"/>
  <c r="V14" i="295" s="1"/>
  <c r="V16" i="295" s="1"/>
  <c r="V39" i="295"/>
  <c r="AK10" i="295"/>
  <c r="AK12" i="295" s="1"/>
  <c r="AM13" i="49"/>
  <c r="AM45" i="49"/>
  <c r="AM48" i="265"/>
  <c r="AM33" i="265"/>
  <c r="AM41" i="49" s="1"/>
  <c r="AM43" i="49" s="1"/>
  <c r="BX57" i="261"/>
  <c r="BX58" i="261" s="1"/>
  <c r="BX12" i="277"/>
  <c r="BX50" i="261"/>
  <c r="BX58" i="49" s="1"/>
  <c r="U11" i="277" l="1"/>
  <c r="U21" i="261"/>
  <c r="U55" i="49" s="1"/>
  <c r="U56" i="49" s="1"/>
  <c r="U35" i="261"/>
  <c r="U36" i="261" s="1"/>
  <c r="V33" i="261" s="1"/>
  <c r="V19" i="261" s="1"/>
  <c r="U59" i="49"/>
  <c r="U30" i="49"/>
  <c r="V18" i="295"/>
  <c r="V44" i="295" s="1"/>
  <c r="V17" i="295"/>
  <c r="V32" i="295" s="1"/>
  <c r="AM15" i="49"/>
  <c r="AM39" i="265" s="1"/>
  <c r="AM40" i="265" s="1"/>
  <c r="AM39" i="283"/>
  <c r="AM16" i="283"/>
  <c r="AM18" i="283" s="1"/>
  <c r="AM37" i="260" s="1"/>
  <c r="AM38" i="260" s="1"/>
  <c r="AM40" i="260" s="1"/>
  <c r="AM42" i="260" s="1"/>
  <c r="AM45" i="260" s="1"/>
  <c r="AM46" i="260" s="1"/>
  <c r="AM32" i="283"/>
  <c r="AM9" i="283"/>
  <c r="BY55" i="261"/>
  <c r="BY47" i="261" s="1"/>
  <c r="BY49" i="261" s="1"/>
  <c r="BX31" i="49"/>
  <c r="U66" i="261" l="1"/>
  <c r="U67" i="261" s="1"/>
  <c r="U73" i="261" s="1"/>
  <c r="U75" i="261" s="1"/>
  <c r="U84" i="261"/>
  <c r="AM41" i="265"/>
  <c r="AM17" i="49" s="1"/>
  <c r="AM18" i="49" s="1"/>
  <c r="AM70" i="261" s="1"/>
  <c r="AM47" i="265"/>
  <c r="AM49" i="265" s="1"/>
  <c r="AM29" i="49" s="1"/>
  <c r="AM55" i="260"/>
  <c r="AM57" i="260" s="1"/>
  <c r="AM60" i="260" s="1"/>
  <c r="AM62" i="260" s="1"/>
  <c r="AM78" i="260" s="1"/>
  <c r="AM79" i="260" s="1"/>
  <c r="AM8" i="295" s="1"/>
  <c r="AM50" i="260"/>
  <c r="AM51" i="260" s="1"/>
  <c r="AM52" i="260" s="1"/>
  <c r="AM37" i="252" s="1"/>
  <c r="BY57" i="261"/>
  <c r="BY58" i="261" s="1"/>
  <c r="BY12" i="277"/>
  <c r="BY50" i="261"/>
  <c r="BY58" i="49" s="1"/>
  <c r="AM92" i="261" l="1"/>
  <c r="AN46" i="265"/>
  <c r="U85" i="261"/>
  <c r="U86" i="261" s="1"/>
  <c r="U93" i="261"/>
  <c r="U94" i="261" s="1"/>
  <c r="U13" i="277"/>
  <c r="U14" i="277" s="1"/>
  <c r="AL10" i="295"/>
  <c r="AL12" i="295" s="1"/>
  <c r="AM73" i="260"/>
  <c r="AM74" i="260" s="1"/>
  <c r="AN71" i="260" s="1"/>
  <c r="AN29" i="260" s="1"/>
  <c r="AN30" i="260" s="1"/>
  <c r="AM63" i="260"/>
  <c r="AM46" i="49" s="1"/>
  <c r="AM47" i="49" s="1"/>
  <c r="AM33" i="283"/>
  <c r="AM34" i="283" s="1"/>
  <c r="AM10" i="283"/>
  <c r="AM11" i="283" s="1"/>
  <c r="AM40" i="283"/>
  <c r="AK41" i="283" s="1"/>
  <c r="AM21" i="283"/>
  <c r="BZ55" i="261"/>
  <c r="BZ47" i="261" s="1"/>
  <c r="BZ49" i="261" s="1"/>
  <c r="BY31" i="49"/>
  <c r="U57" i="277" l="1"/>
  <c r="U59" i="277" s="1"/>
  <c r="U21" i="277"/>
  <c r="U32" i="49"/>
  <c r="U33" i="49" s="1"/>
  <c r="V91" i="261"/>
  <c r="V69" i="261" s="1"/>
  <c r="V71" i="261" s="1"/>
  <c r="V74" i="261" s="1"/>
  <c r="V83" i="261"/>
  <c r="U25" i="49"/>
  <c r="U26" i="49" s="1"/>
  <c r="AM21" i="295"/>
  <c r="AM28" i="49"/>
  <c r="AN31" i="260"/>
  <c r="AN41" i="260"/>
  <c r="AN27" i="265"/>
  <c r="AN28" i="265" s="1"/>
  <c r="AN31" i="265" s="1"/>
  <c r="AN32" i="265" s="1"/>
  <c r="AN77" i="260"/>
  <c r="BZ12" i="277"/>
  <c r="BZ50" i="261"/>
  <c r="BZ57" i="261"/>
  <c r="BZ58" i="261" s="1"/>
  <c r="U35" i="49" l="1"/>
  <c r="V65" i="261"/>
  <c r="V14" i="261"/>
  <c r="V20" i="295"/>
  <c r="V22" i="295" s="1"/>
  <c r="V24" i="295" s="1"/>
  <c r="AN48" i="265"/>
  <c r="AN33" i="265"/>
  <c r="AN41" i="49" s="1"/>
  <c r="AN43" i="49" s="1"/>
  <c r="AN45" i="49"/>
  <c r="AN13" i="49"/>
  <c r="CA55" i="261"/>
  <c r="CA47" i="261" s="1"/>
  <c r="CA49" i="261" s="1"/>
  <c r="BZ31" i="49"/>
  <c r="BZ58" i="49"/>
  <c r="V25" i="295" l="1"/>
  <c r="V31" i="295" s="1"/>
  <c r="V33" i="295" s="1"/>
  <c r="V26" i="295"/>
  <c r="V40" i="295" s="1"/>
  <c r="V41" i="295" s="1"/>
  <c r="AN15" i="49"/>
  <c r="AN39" i="265" s="1"/>
  <c r="AN40" i="265" s="1"/>
  <c r="AN32" i="283"/>
  <c r="AN39" i="283"/>
  <c r="AN16" i="283"/>
  <c r="AN18" i="283" s="1"/>
  <c r="AN37" i="260" s="1"/>
  <c r="AN38" i="260" s="1"/>
  <c r="AN40" i="260" s="1"/>
  <c r="AN42" i="260" s="1"/>
  <c r="AN45" i="260" s="1"/>
  <c r="AN46" i="260" s="1"/>
  <c r="AN9" i="283"/>
  <c r="CA57" i="261"/>
  <c r="CA58" i="261" s="1"/>
  <c r="CA31" i="49" s="1"/>
  <c r="CA50" i="261"/>
  <c r="CA12" i="277"/>
  <c r="H49" i="261"/>
  <c r="V43" i="295" l="1"/>
  <c r="V45" i="295" s="1"/>
  <c r="V48" i="295"/>
  <c r="V50" i="49" s="1"/>
  <c r="V34" i="295"/>
  <c r="V49" i="49" s="1"/>
  <c r="V58" i="295"/>
  <c r="AN47" i="265"/>
  <c r="AN49" i="265" s="1"/>
  <c r="AN29" i="49" s="1"/>
  <c r="AN41" i="265"/>
  <c r="AN17" i="49" s="1"/>
  <c r="AN18" i="49" s="1"/>
  <c r="AN70" i="261" s="1"/>
  <c r="AN55" i="260"/>
  <c r="AN57" i="260" s="1"/>
  <c r="AN60" i="260" s="1"/>
  <c r="AN62" i="260" s="1"/>
  <c r="AN63" i="260" s="1"/>
  <c r="AN46" i="49" s="1"/>
  <c r="AN47" i="49" s="1"/>
  <c r="AN50" i="260"/>
  <c r="AN51" i="260" s="1"/>
  <c r="AN52" i="260" s="1"/>
  <c r="AN37" i="252" s="1"/>
  <c r="CA58" i="49"/>
  <c r="H50" i="261"/>
  <c r="H58" i="49" s="1"/>
  <c r="H12" i="277"/>
  <c r="H57" i="261"/>
  <c r="AN92" i="261" l="1"/>
  <c r="V47" i="295"/>
  <c r="V49" i="295" s="1"/>
  <c r="V51" i="49" s="1"/>
  <c r="V52" i="49" s="1"/>
  <c r="V30" i="277" s="1"/>
  <c r="V59" i="295"/>
  <c r="V60" i="295" s="1"/>
  <c r="AO46" i="265"/>
  <c r="AN21" i="295"/>
  <c r="AN78" i="260"/>
  <c r="AN79" i="260" s="1"/>
  <c r="AN73" i="260"/>
  <c r="AN74" i="260" s="1"/>
  <c r="AO71" i="260" s="1"/>
  <c r="AO29" i="260" s="1"/>
  <c r="AO30" i="260" s="1"/>
  <c r="V24" i="49" l="1"/>
  <c r="W57" i="295"/>
  <c r="V15" i="261"/>
  <c r="AN10" i="283"/>
  <c r="AN11" i="283" s="1"/>
  <c r="AN8" i="295"/>
  <c r="AN28" i="49"/>
  <c r="AN21" i="283"/>
  <c r="AN40" i="283"/>
  <c r="AL41" i="283" s="1"/>
  <c r="AN33" i="283"/>
  <c r="AN34" i="283" s="1"/>
  <c r="AO31" i="260"/>
  <c r="AO27" i="265"/>
  <c r="AO28" i="265" s="1"/>
  <c r="AO31" i="265" s="1"/>
  <c r="AO32" i="265" s="1"/>
  <c r="AO41" i="260"/>
  <c r="AO77" i="260"/>
  <c r="V16" i="261" l="1"/>
  <c r="V18" i="261" s="1"/>
  <c r="V20" i="261" s="1"/>
  <c r="W13" i="295"/>
  <c r="W14" i="295" s="1"/>
  <c r="W16" i="295" s="1"/>
  <c r="W39" i="295"/>
  <c r="AM10" i="295"/>
  <c r="AM12" i="295" s="1"/>
  <c r="AO48" i="265"/>
  <c r="AO33" i="265"/>
  <c r="AO41" i="49" s="1"/>
  <c r="AO43" i="49" s="1"/>
  <c r="AO45" i="49"/>
  <c r="AO13" i="49"/>
  <c r="V11" i="277" l="1"/>
  <c r="V35" i="261"/>
  <c r="V36" i="261" s="1"/>
  <c r="W33" i="261" s="1"/>
  <c r="W19" i="261" s="1"/>
  <c r="V21" i="261"/>
  <c r="V55" i="49" s="1"/>
  <c r="V56" i="49" s="1"/>
  <c r="V30" i="49"/>
  <c r="V59" i="49"/>
  <c r="W17" i="295"/>
  <c r="W32" i="295" s="1"/>
  <c r="W18" i="295"/>
  <c r="W44" i="295" s="1"/>
  <c r="AO15" i="49"/>
  <c r="AO39" i="265" s="1"/>
  <c r="AO40" i="265" s="1"/>
  <c r="AO9" i="283"/>
  <c r="AO39" i="283"/>
  <c r="AO16" i="283"/>
  <c r="AO18" i="283" s="1"/>
  <c r="AO37" i="260" s="1"/>
  <c r="AO38" i="260" s="1"/>
  <c r="AO40" i="260" s="1"/>
  <c r="AO42" i="260" s="1"/>
  <c r="AO32" i="283"/>
  <c r="V66" i="261" l="1"/>
  <c r="V67" i="261" s="1"/>
  <c r="V73" i="261" s="1"/>
  <c r="V75" i="261" s="1"/>
  <c r="V84" i="261"/>
  <c r="AO47" i="265"/>
  <c r="AO49" i="265" s="1"/>
  <c r="AP46" i="265" s="1"/>
  <c r="AO41" i="265"/>
  <c r="AO17" i="49" s="1"/>
  <c r="AO18" i="49" s="1"/>
  <c r="AO70" i="261" s="1"/>
  <c r="AO45" i="260"/>
  <c r="AO46" i="260" s="1"/>
  <c r="AO50" i="260" s="1"/>
  <c r="AO51" i="260" s="1"/>
  <c r="AO52" i="260" s="1"/>
  <c r="AO37" i="252" s="1"/>
  <c r="AO29" i="49" l="1"/>
  <c r="V85" i="261"/>
  <c r="V86" i="261" s="1"/>
  <c r="V13" i="277"/>
  <c r="V14" i="277" s="1"/>
  <c r="V93" i="261"/>
  <c r="V94" i="261" s="1"/>
  <c r="AO92" i="261"/>
  <c r="AO55" i="260"/>
  <c r="AO57" i="260" s="1"/>
  <c r="V57" i="277" l="1"/>
  <c r="V59" i="277" s="1"/>
  <c r="V21" i="277"/>
  <c r="V32" i="49"/>
  <c r="V33" i="49" s="1"/>
  <c r="W91" i="261"/>
  <c r="W69" i="261" s="1"/>
  <c r="W71" i="261" s="1"/>
  <c r="W74" i="261" s="1"/>
  <c r="V25" i="49"/>
  <c r="V26" i="49" s="1"/>
  <c r="V35" i="49" s="1"/>
  <c r="W83" i="261"/>
  <c r="AO60" i="260"/>
  <c r="AO62" i="260" s="1"/>
  <c r="W20" i="295" l="1"/>
  <c r="W22" i="295" s="1"/>
  <c r="W24" i="295" s="1"/>
  <c r="W65" i="261"/>
  <c r="W14" i="261"/>
  <c r="AO78" i="260"/>
  <c r="AO79" i="260" s="1"/>
  <c r="AO8" i="295" s="1"/>
  <c r="AO73" i="260"/>
  <c r="AO74" i="260" s="1"/>
  <c r="AO63" i="260"/>
  <c r="W25" i="295" l="1"/>
  <c r="W31" i="295" s="1"/>
  <c r="W33" i="295" s="1"/>
  <c r="W26" i="295"/>
  <c r="W40" i="295" s="1"/>
  <c r="W41" i="295" s="1"/>
  <c r="AN10" i="295"/>
  <c r="AN12" i="295" s="1"/>
  <c r="AO46" i="49"/>
  <c r="AO47" i="49" s="1"/>
  <c r="AP71" i="260"/>
  <c r="AP29" i="260" s="1"/>
  <c r="AP30" i="260" s="1"/>
  <c r="AO28" i="49"/>
  <c r="AO21" i="283"/>
  <c r="AO33" i="283"/>
  <c r="AO34" i="283" s="1"/>
  <c r="AO10" i="283"/>
  <c r="AO11" i="283" s="1"/>
  <c r="AO40" i="283"/>
  <c r="AM41" i="283" s="1"/>
  <c r="W43" i="295" l="1"/>
  <c r="W45" i="295" s="1"/>
  <c r="W48" i="295"/>
  <c r="W50" i="49" s="1"/>
  <c r="W34" i="295"/>
  <c r="W49" i="49" s="1"/>
  <c r="W58" i="295"/>
  <c r="AO21" i="295"/>
  <c r="AP31" i="260"/>
  <c r="AP27" i="265"/>
  <c r="AP28" i="265" s="1"/>
  <c r="AP41" i="260"/>
  <c r="AP77" i="260"/>
  <c r="W59" i="295" l="1"/>
  <c r="W60" i="295" s="1"/>
  <c r="W47" i="295"/>
  <c r="W49" i="295" s="1"/>
  <c r="W51" i="49" s="1"/>
  <c r="W52" i="49" s="1"/>
  <c r="W30" i="277" s="1"/>
  <c r="AP31" i="265"/>
  <c r="AP32" i="265" s="1"/>
  <c r="AP13" i="49"/>
  <c r="AP15" i="49" s="1"/>
  <c r="AP45" i="49"/>
  <c r="W15" i="261" l="1"/>
  <c r="W24" i="49"/>
  <c r="X57" i="295"/>
  <c r="AP39" i="265"/>
  <c r="AP40" i="265" s="1"/>
  <c r="AP33" i="265"/>
  <c r="AP48" i="265"/>
  <c r="W16" i="261" l="1"/>
  <c r="W18" i="261" s="1"/>
  <c r="W20" i="261" s="1"/>
  <c r="W11" i="277" s="1"/>
  <c r="X13" i="295"/>
  <c r="X14" i="295" s="1"/>
  <c r="X16" i="295" s="1"/>
  <c r="X39" i="295"/>
  <c r="AP41" i="49"/>
  <c r="AP43" i="49" s="1"/>
  <c r="AP47" i="265"/>
  <c r="AP49" i="265" s="1"/>
  <c r="AP41" i="265"/>
  <c r="W35" i="261" l="1"/>
  <c r="W36" i="261" s="1"/>
  <c r="X33" i="261" s="1"/>
  <c r="X19" i="261" s="1"/>
  <c r="W21" i="261"/>
  <c r="W55" i="49" s="1"/>
  <c r="W56" i="49" s="1"/>
  <c r="X18" i="295"/>
  <c r="X44" i="295" s="1"/>
  <c r="X17" i="295"/>
  <c r="X32" i="295" s="1"/>
  <c r="W59" i="49"/>
  <c r="AP17" i="49"/>
  <c r="AP18" i="49" s="1"/>
  <c r="AP29" i="49"/>
  <c r="AQ46" i="265"/>
  <c r="AP32" i="283"/>
  <c r="AP16" i="283"/>
  <c r="AP18" i="283" s="1"/>
  <c r="AP39" i="283"/>
  <c r="AP9" i="283"/>
  <c r="W30" i="49" l="1"/>
  <c r="W84" i="261"/>
  <c r="W66" i="261"/>
  <c r="W67" i="261" s="1"/>
  <c r="W73" i="261" s="1"/>
  <c r="W75" i="261" s="1"/>
  <c r="AP37" i="260"/>
  <c r="AP38" i="260" s="1"/>
  <c r="AP40" i="260" s="1"/>
  <c r="AP42" i="260" s="1"/>
  <c r="AP92" i="261"/>
  <c r="AP70" i="261"/>
  <c r="W85" i="261" l="1"/>
  <c r="W86" i="261" s="1"/>
  <c r="W13" i="277"/>
  <c r="W14" i="277" s="1"/>
  <c r="W93" i="261"/>
  <c r="W94" i="261" s="1"/>
  <c r="AP45" i="260"/>
  <c r="AP46" i="260" s="1"/>
  <c r="AP50" i="260" s="1"/>
  <c r="AP51" i="260" s="1"/>
  <c r="AP52" i="260" s="1"/>
  <c r="AP37" i="252" s="1"/>
  <c r="W57" i="277" l="1"/>
  <c r="W59" i="277" s="1"/>
  <c r="W21" i="277"/>
  <c r="W32" i="49"/>
  <c r="W33" i="49" s="1"/>
  <c r="X91" i="261"/>
  <c r="X69" i="261" s="1"/>
  <c r="X71" i="261" s="1"/>
  <c r="X74" i="261" s="1"/>
  <c r="W25" i="49"/>
  <c r="W26" i="49" s="1"/>
  <c r="W35" i="49" s="1"/>
  <c r="X83" i="261"/>
  <c r="AP55" i="260"/>
  <c r="AP57" i="260" s="1"/>
  <c r="X65" i="261" l="1"/>
  <c r="X14" i="261"/>
  <c r="X20" i="295"/>
  <c r="X22" i="295" s="1"/>
  <c r="X24" i="295" s="1"/>
  <c r="AP60" i="260"/>
  <c r="AP62" i="260" s="1"/>
  <c r="X25" i="295" l="1"/>
  <c r="X31" i="295" s="1"/>
  <c r="X33" i="295" s="1"/>
  <c r="X26" i="295"/>
  <c r="X40" i="295" s="1"/>
  <c r="X41" i="295" s="1"/>
  <c r="AP78" i="260"/>
  <c r="AP79" i="260" s="1"/>
  <c r="AP8" i="295" s="1"/>
  <c r="AP73" i="260"/>
  <c r="AP74" i="260" s="1"/>
  <c r="AP63" i="260"/>
  <c r="X43" i="295" l="1"/>
  <c r="X45" i="295" s="1"/>
  <c r="X48" i="295"/>
  <c r="X50" i="49" s="1"/>
  <c r="X34" i="295"/>
  <c r="X49" i="49" s="1"/>
  <c r="X58" i="295"/>
  <c r="AO10" i="295"/>
  <c r="AO12" i="295" s="1"/>
  <c r="AP40" i="283"/>
  <c r="AN41" i="283" s="1"/>
  <c r="AP21" i="283"/>
  <c r="AP33" i="283"/>
  <c r="AP34" i="283" s="1"/>
  <c r="AP10" i="283"/>
  <c r="AP11" i="283" s="1"/>
  <c r="AP46" i="49"/>
  <c r="AP47" i="49" s="1"/>
  <c r="AQ71" i="260"/>
  <c r="AQ29" i="260" s="1"/>
  <c r="AQ30" i="260" s="1"/>
  <c r="AP28" i="49"/>
  <c r="X59" i="295" l="1"/>
  <c r="X60" i="295" s="1"/>
  <c r="X47" i="295"/>
  <c r="X49" i="295" s="1"/>
  <c r="X51" i="49" s="1"/>
  <c r="X52" i="49" s="1"/>
  <c r="X30" i="277" s="1"/>
  <c r="AP21" i="295"/>
  <c r="AQ77" i="260"/>
  <c r="AQ31" i="260"/>
  <c r="AQ41" i="260"/>
  <c r="AQ27" i="265"/>
  <c r="AQ28" i="265" s="1"/>
  <c r="X15" i="261" l="1"/>
  <c r="Y57" i="295"/>
  <c r="X24" i="49"/>
  <c r="AQ31" i="265"/>
  <c r="AQ32" i="265" s="1"/>
  <c r="AQ13" i="49"/>
  <c r="AQ15" i="49" s="1"/>
  <c r="AQ45" i="49"/>
  <c r="X16" i="261" l="1"/>
  <c r="X18" i="261" s="1"/>
  <c r="X20" i="261" s="1"/>
  <c r="Y13" i="295"/>
  <c r="Y14" i="295" s="1"/>
  <c r="Y16" i="295" s="1"/>
  <c r="Y39" i="295"/>
  <c r="AQ48" i="265"/>
  <c r="AQ33" i="265"/>
  <c r="AQ39" i="265"/>
  <c r="AQ40" i="265" s="1"/>
  <c r="X11" i="277" l="1"/>
  <c r="X35" i="261"/>
  <c r="X36" i="261" s="1"/>
  <c r="X30" i="49" s="1"/>
  <c r="X21" i="261"/>
  <c r="X55" i="49" s="1"/>
  <c r="X56" i="49" s="1"/>
  <c r="X59" i="49" s="1"/>
  <c r="Y33" i="261"/>
  <c r="Y19" i="261" s="1"/>
  <c r="Y18" i="295"/>
  <c r="Y44" i="295" s="1"/>
  <c r="Y17" i="295"/>
  <c r="Y32" i="295" s="1"/>
  <c r="AQ47" i="265"/>
  <c r="AQ49" i="265" s="1"/>
  <c r="AQ41" i="265"/>
  <c r="AQ41" i="49"/>
  <c r="AQ43" i="49" s="1"/>
  <c r="X66" i="261" l="1"/>
  <c r="X67" i="261" s="1"/>
  <c r="X73" i="261" s="1"/>
  <c r="X75" i="261" s="1"/>
  <c r="X84" i="261"/>
  <c r="AQ39" i="283"/>
  <c r="AQ16" i="283"/>
  <c r="AQ18" i="283" s="1"/>
  <c r="AQ32" i="283"/>
  <c r="AQ9" i="283"/>
  <c r="AR46" i="265"/>
  <c r="AQ29" i="49"/>
  <c r="AQ17" i="49"/>
  <c r="AQ18" i="49" s="1"/>
  <c r="X13" i="277" l="1"/>
  <c r="X14" i="277" s="1"/>
  <c r="X93" i="261"/>
  <c r="X94" i="261" s="1"/>
  <c r="X85" i="261"/>
  <c r="X86" i="261" s="1"/>
  <c r="AQ70" i="261"/>
  <c r="AQ92" i="261"/>
  <c r="AQ37" i="260"/>
  <c r="AQ38" i="260" s="1"/>
  <c r="AQ40" i="260" s="1"/>
  <c r="AQ42" i="260" s="1"/>
  <c r="Y91" i="261" l="1"/>
  <c r="Y69" i="261" s="1"/>
  <c r="Y71" i="261" s="1"/>
  <c r="Y74" i="261" s="1"/>
  <c r="X32" i="49"/>
  <c r="X33" i="49" s="1"/>
  <c r="X25" i="49"/>
  <c r="X26" i="49" s="1"/>
  <c r="X35" i="49" s="1"/>
  <c r="Y83" i="261"/>
  <c r="X21" i="277"/>
  <c r="X57" i="277"/>
  <c r="X59" i="277" s="1"/>
  <c r="AQ45" i="260"/>
  <c r="AQ46" i="260" s="1"/>
  <c r="AQ50" i="260" s="1"/>
  <c r="AQ51" i="260" s="1"/>
  <c r="AQ52" i="260" s="1"/>
  <c r="AQ37" i="252" s="1"/>
  <c r="Y20" i="295" l="1"/>
  <c r="Y22" i="295" s="1"/>
  <c r="Y24" i="295" s="1"/>
  <c r="Y14" i="261"/>
  <c r="Y65" i="261"/>
  <c r="AQ55" i="260"/>
  <c r="AQ57" i="260" s="1"/>
  <c r="Y26" i="295" l="1"/>
  <c r="Y40" i="295" s="1"/>
  <c r="Y41" i="295" s="1"/>
  <c r="Y25" i="295"/>
  <c r="Y31" i="295" s="1"/>
  <c r="Y33" i="295" s="1"/>
  <c r="AQ60" i="260"/>
  <c r="AQ62" i="260" s="1"/>
  <c r="Y58" i="295" l="1"/>
  <c r="Y34" i="295"/>
  <c r="Y49" i="49" s="1"/>
  <c r="Y48" i="295"/>
  <c r="Y50" i="49" s="1"/>
  <c r="Y43" i="295"/>
  <c r="Y45" i="295" s="1"/>
  <c r="AQ63" i="260"/>
  <c r="AQ73" i="260"/>
  <c r="AQ74" i="260" s="1"/>
  <c r="AQ78" i="260"/>
  <c r="AQ79" i="260" s="1"/>
  <c r="AQ8" i="295" s="1"/>
  <c r="Y59" i="295" l="1"/>
  <c r="Y60" i="295" s="1"/>
  <c r="Y47" i="295"/>
  <c r="Y49" i="295" s="1"/>
  <c r="Y51" i="49" s="1"/>
  <c r="Y52" i="49" s="1"/>
  <c r="Y30" i="277" s="1"/>
  <c r="AP10" i="295"/>
  <c r="AP12" i="295" s="1"/>
  <c r="AR71" i="260"/>
  <c r="AR29" i="260" s="1"/>
  <c r="AR30" i="260" s="1"/>
  <c r="AQ28" i="49"/>
  <c r="AQ21" i="283"/>
  <c r="AQ40" i="283"/>
  <c r="AO41" i="283" s="1"/>
  <c r="AQ33" i="283"/>
  <c r="AQ34" i="283" s="1"/>
  <c r="AQ10" i="283"/>
  <c r="AQ11" i="283" s="1"/>
  <c r="AQ46" i="49"/>
  <c r="AQ47" i="49" s="1"/>
  <c r="Y15" i="261" l="1"/>
  <c r="Y24" i="49"/>
  <c r="Z57" i="295"/>
  <c r="AQ21" i="295"/>
  <c r="AR77" i="260"/>
  <c r="AR31" i="260"/>
  <c r="AR41" i="260"/>
  <c r="AR27" i="265"/>
  <c r="AR28" i="265" s="1"/>
  <c r="Y16" i="261" l="1"/>
  <c r="Y18" i="261" s="1"/>
  <c r="Y20" i="261" s="1"/>
  <c r="Z13" i="295"/>
  <c r="Z14" i="295" s="1"/>
  <c r="Z16" i="295" s="1"/>
  <c r="Z39" i="295"/>
  <c r="AR31" i="265"/>
  <c r="AR32" i="265" s="1"/>
  <c r="AR45" i="49"/>
  <c r="AR13" i="49"/>
  <c r="AR15" i="49" s="1"/>
  <c r="Y11" i="277" l="1"/>
  <c r="Y21" i="261"/>
  <c r="Y55" i="49" s="1"/>
  <c r="Y56" i="49" s="1"/>
  <c r="Y35" i="261"/>
  <c r="Y36" i="261" s="1"/>
  <c r="Z33" i="261" s="1"/>
  <c r="Z19" i="261" s="1"/>
  <c r="Z17" i="295"/>
  <c r="Z32" i="295" s="1"/>
  <c r="Z18" i="295"/>
  <c r="Z44" i="295" s="1"/>
  <c r="Y30" i="49"/>
  <c r="Y59" i="49"/>
  <c r="AR39" i="265"/>
  <c r="AR40" i="265" s="1"/>
  <c r="AR33" i="265"/>
  <c r="AR48" i="265"/>
  <c r="Y84" i="261" l="1"/>
  <c r="Y66" i="261"/>
  <c r="Y67" i="261" s="1"/>
  <c r="Y73" i="261" s="1"/>
  <c r="Y75" i="261" s="1"/>
  <c r="AR41" i="49"/>
  <c r="AR43" i="49" s="1"/>
  <c r="AR47" i="265"/>
  <c r="AR49" i="265" s="1"/>
  <c r="AR41" i="265"/>
  <c r="Y13" i="277" l="1"/>
  <c r="Y14" i="277" s="1"/>
  <c r="Y93" i="261"/>
  <c r="Y94" i="261" s="1"/>
  <c r="Y85" i="261"/>
  <c r="Y86" i="261" s="1"/>
  <c r="AS46" i="265"/>
  <c r="AR29" i="49"/>
  <c r="AR17" i="49"/>
  <c r="AR18" i="49" s="1"/>
  <c r="AR39" i="283"/>
  <c r="AR32" i="283"/>
  <c r="AR16" i="283"/>
  <c r="AR18" i="283" s="1"/>
  <c r="AR9" i="283"/>
  <c r="Y25" i="49" l="1"/>
  <c r="Y26" i="49" s="1"/>
  <c r="Z83" i="261"/>
  <c r="Z91" i="261"/>
  <c r="Z69" i="261" s="1"/>
  <c r="Z71" i="261" s="1"/>
  <c r="Z74" i="261" s="1"/>
  <c r="Y32" i="49"/>
  <c r="Y33" i="49" s="1"/>
  <c r="Y57" i="277"/>
  <c r="Y59" i="277" s="1"/>
  <c r="Y21" i="277"/>
  <c r="AR37" i="260"/>
  <c r="AR38" i="260" s="1"/>
  <c r="AR40" i="260" s="1"/>
  <c r="AR42" i="260" s="1"/>
  <c r="AR92" i="261"/>
  <c r="AR70" i="261"/>
  <c r="Z20" i="295" l="1"/>
  <c r="Z22" i="295" s="1"/>
  <c r="Z24" i="295" s="1"/>
  <c r="Z65" i="261"/>
  <c r="Z14" i="261"/>
  <c r="Y35" i="49"/>
  <c r="AR45" i="260"/>
  <c r="AR46" i="260" s="1"/>
  <c r="AR50" i="260" s="1"/>
  <c r="AR51" i="260" s="1"/>
  <c r="AR52" i="260" s="1"/>
  <c r="AR37" i="252" s="1"/>
  <c r="Z26" i="295" l="1"/>
  <c r="Z40" i="295" s="1"/>
  <c r="Z41" i="295" s="1"/>
  <c r="Z25" i="295"/>
  <c r="Z31" i="295" s="1"/>
  <c r="Z33" i="295" s="1"/>
  <c r="AR55" i="260"/>
  <c r="AR57" i="260" s="1"/>
  <c r="Z34" i="295" l="1"/>
  <c r="Z49" i="49" s="1"/>
  <c r="Z58" i="295"/>
  <c r="Z43" i="295"/>
  <c r="Z45" i="295" s="1"/>
  <c r="Z48" i="295"/>
  <c r="Z50" i="49" s="1"/>
  <c r="AR60" i="260"/>
  <c r="AR62" i="260" s="1"/>
  <c r="Z59" i="295" l="1"/>
  <c r="Z60" i="295" s="1"/>
  <c r="Z47" i="295"/>
  <c r="Z49" i="295" s="1"/>
  <c r="Z51" i="49" s="1"/>
  <c r="Z52" i="49" s="1"/>
  <c r="Z30" i="277" s="1"/>
  <c r="AR73" i="260"/>
  <c r="AR74" i="260" s="1"/>
  <c r="AR63" i="260"/>
  <c r="AR78" i="260"/>
  <c r="AR79" i="260" s="1"/>
  <c r="AR8" i="295" s="1"/>
  <c r="Z15" i="261" l="1"/>
  <c r="AA57" i="295"/>
  <c r="Z24" i="49"/>
  <c r="AQ10" i="295"/>
  <c r="AQ12" i="295" s="1"/>
  <c r="AR33" i="283"/>
  <c r="AR34" i="283" s="1"/>
  <c r="AR10" i="283"/>
  <c r="AR11" i="283" s="1"/>
  <c r="AR21" i="283"/>
  <c r="AR40" i="283"/>
  <c r="AP41" i="283" s="1"/>
  <c r="AR46" i="49"/>
  <c r="AR47" i="49" s="1"/>
  <c r="AS71" i="260"/>
  <c r="AS29" i="260" s="1"/>
  <c r="AS30" i="260" s="1"/>
  <c r="AR28" i="49"/>
  <c r="Z16" i="261" l="1"/>
  <c r="Z18" i="261" s="1"/>
  <c r="Z20" i="261" s="1"/>
  <c r="Z11" i="277" s="1"/>
  <c r="AA39" i="295"/>
  <c r="AA13" i="295"/>
  <c r="AA14" i="295" s="1"/>
  <c r="AA16" i="295" s="1"/>
  <c r="AR21" i="295"/>
  <c r="AS31" i="260"/>
  <c r="AS27" i="265"/>
  <c r="AS28" i="265" s="1"/>
  <c r="AS77" i="260"/>
  <c r="AS41" i="260"/>
  <c r="Z35" i="261" l="1"/>
  <c r="Z36" i="261" s="1"/>
  <c r="AA33" i="261" s="1"/>
  <c r="AA19" i="261" s="1"/>
  <c r="Z21" i="261"/>
  <c r="Z55" i="49" s="1"/>
  <c r="Z56" i="49" s="1"/>
  <c r="Z59" i="49" s="1"/>
  <c r="AA18" i="295"/>
  <c r="AA44" i="295" s="1"/>
  <c r="AA17" i="295"/>
  <c r="AA32" i="295" s="1"/>
  <c r="AS31" i="265"/>
  <c r="AS32" i="265" s="1"/>
  <c r="AS13" i="49"/>
  <c r="AS15" i="49" s="1"/>
  <c r="AS45" i="49"/>
  <c r="Z30" i="49" l="1"/>
  <c r="Z66" i="261"/>
  <c r="Z67" i="261" s="1"/>
  <c r="Z73" i="261" s="1"/>
  <c r="Z75" i="261" s="1"/>
  <c r="Z84" i="261"/>
  <c r="AS39" i="265"/>
  <c r="AS40" i="265" s="1"/>
  <c r="AS33" i="265"/>
  <c r="AS48" i="265"/>
  <c r="Z13" i="277" l="1"/>
  <c r="Z14" i="277" s="1"/>
  <c r="Z93" i="261"/>
  <c r="Z94" i="261" s="1"/>
  <c r="Z85" i="261"/>
  <c r="Z86" i="261" s="1"/>
  <c r="AS41" i="49"/>
  <c r="AS43" i="49" s="1"/>
  <c r="AS47" i="265"/>
  <c r="AS49" i="265" s="1"/>
  <c r="AS41" i="265"/>
  <c r="AA83" i="261" l="1"/>
  <c r="Z25" i="49"/>
  <c r="Z26" i="49" s="1"/>
  <c r="AA91" i="261"/>
  <c r="AA69" i="261" s="1"/>
  <c r="AA71" i="261" s="1"/>
  <c r="AA74" i="261" s="1"/>
  <c r="Z32" i="49"/>
  <c r="Z33" i="49" s="1"/>
  <c r="Z57" i="277"/>
  <c r="Z59" i="277" s="1"/>
  <c r="Z21" i="277"/>
  <c r="AT46" i="265"/>
  <c r="AS29" i="49"/>
  <c r="AS17" i="49"/>
  <c r="AS18" i="49" s="1"/>
  <c r="AS32" i="283"/>
  <c r="AS39" i="283"/>
  <c r="AS9" i="283"/>
  <c r="AS16" i="283"/>
  <c r="AS18" i="283" s="1"/>
  <c r="Z35" i="49" l="1"/>
  <c r="AA65" i="261"/>
  <c r="AA20" i="295"/>
  <c r="AA22" i="295" s="1"/>
  <c r="AA24" i="295" s="1"/>
  <c r="AA14" i="261"/>
  <c r="AS70" i="261"/>
  <c r="AS92" i="261"/>
  <c r="AS37" i="260"/>
  <c r="AS38" i="260" s="1"/>
  <c r="AS40" i="260" s="1"/>
  <c r="AS42" i="260" s="1"/>
  <c r="AA25" i="295" l="1"/>
  <c r="AA31" i="295" s="1"/>
  <c r="AA33" i="295" s="1"/>
  <c r="AA26" i="295"/>
  <c r="AA40" i="295" s="1"/>
  <c r="AA41" i="295" s="1"/>
  <c r="AS45" i="260"/>
  <c r="AS46" i="260" s="1"/>
  <c r="AS50" i="260" s="1"/>
  <c r="AS51" i="260" s="1"/>
  <c r="AS52" i="260" s="1"/>
  <c r="AS37" i="252" s="1"/>
  <c r="AA48" i="295" l="1"/>
  <c r="AA50" i="49" s="1"/>
  <c r="AA43" i="295"/>
  <c r="AA45" i="295" s="1"/>
  <c r="AA34" i="295"/>
  <c r="AA49" i="49" s="1"/>
  <c r="AA58" i="295"/>
  <c r="AS55" i="260"/>
  <c r="AS57" i="260" s="1"/>
  <c r="AA59" i="295" l="1"/>
  <c r="AA60" i="295" s="1"/>
  <c r="AA47" i="295"/>
  <c r="AA49" i="295" s="1"/>
  <c r="AA51" i="49" s="1"/>
  <c r="AA52" i="49" s="1"/>
  <c r="AA30" i="277" s="1"/>
  <c r="AS60" i="260"/>
  <c r="AS62" i="260" s="1"/>
  <c r="AA15" i="261" l="1"/>
  <c r="AA24" i="49"/>
  <c r="AB57" i="295"/>
  <c r="AS78" i="260"/>
  <c r="AS79" i="260" s="1"/>
  <c r="AS8" i="295" s="1"/>
  <c r="AS73" i="260"/>
  <c r="AS74" i="260" s="1"/>
  <c r="AS63" i="260"/>
  <c r="AA16" i="261" l="1"/>
  <c r="AA18" i="261" s="1"/>
  <c r="AA20" i="261" s="1"/>
  <c r="AB13" i="295"/>
  <c r="AB14" i="295" s="1"/>
  <c r="AB16" i="295" s="1"/>
  <c r="AB39" i="295"/>
  <c r="AR10" i="295"/>
  <c r="AR12" i="295" s="1"/>
  <c r="AS46" i="49"/>
  <c r="AS47" i="49" s="1"/>
  <c r="AT71" i="260"/>
  <c r="AT29" i="260" s="1"/>
  <c r="AT30" i="260" s="1"/>
  <c r="AS28" i="49"/>
  <c r="AS40" i="283"/>
  <c r="AQ41" i="283" s="1"/>
  <c r="AS33" i="283"/>
  <c r="AS34" i="283" s="1"/>
  <c r="AS21" i="283"/>
  <c r="AS10" i="283"/>
  <c r="AS11" i="283" s="1"/>
  <c r="AA11" i="277" l="1"/>
  <c r="AA21" i="261"/>
  <c r="AA55" i="49" s="1"/>
  <c r="AA56" i="49" s="1"/>
  <c r="AA35" i="261"/>
  <c r="AA36" i="261" s="1"/>
  <c r="AB33" i="261" s="1"/>
  <c r="AB19" i="261" s="1"/>
  <c r="AB18" i="295"/>
  <c r="AB44" i="295" s="1"/>
  <c r="AB17" i="295"/>
  <c r="AB32" i="295" s="1"/>
  <c r="AA30" i="49"/>
  <c r="AA59" i="49"/>
  <c r="AS21" i="295"/>
  <c r="AT77" i="260"/>
  <c r="AT41" i="260"/>
  <c r="AT31" i="260"/>
  <c r="AT27" i="265"/>
  <c r="AT28" i="265" s="1"/>
  <c r="AA66" i="261" l="1"/>
  <c r="AA67" i="261" s="1"/>
  <c r="AA73" i="261" s="1"/>
  <c r="AA75" i="261" s="1"/>
  <c r="AA84" i="261"/>
  <c r="AT31" i="265"/>
  <c r="AT32" i="265" s="1"/>
  <c r="AT13" i="49"/>
  <c r="AT45" i="49"/>
  <c r="AA85" i="261" l="1"/>
  <c r="AA86" i="261" s="1"/>
  <c r="AA93" i="261"/>
  <c r="AA94" i="261" s="1"/>
  <c r="AA13" i="277"/>
  <c r="AA14" i="277" s="1"/>
  <c r="AT15" i="49"/>
  <c r="AT39" i="265" s="1"/>
  <c r="AT40" i="265" s="1"/>
  <c r="AT33" i="265"/>
  <c r="AT48" i="265"/>
  <c r="AA57" i="277" l="1"/>
  <c r="AA59" i="277" s="1"/>
  <c r="AA21" i="277"/>
  <c r="AA32" i="49"/>
  <c r="AA33" i="49" s="1"/>
  <c r="AB91" i="261"/>
  <c r="AB69" i="261" s="1"/>
  <c r="AB71" i="261" s="1"/>
  <c r="AB74" i="261" s="1"/>
  <c r="AB83" i="261"/>
  <c r="AA25" i="49"/>
  <c r="AA26" i="49" s="1"/>
  <c r="AT47" i="265"/>
  <c r="AT49" i="265" s="1"/>
  <c r="AT41" i="265"/>
  <c r="AT17" i="49" s="1"/>
  <c r="AT18" i="49" s="1"/>
  <c r="AT41" i="49"/>
  <c r="AT43" i="49" s="1"/>
  <c r="AA35" i="49" l="1"/>
  <c r="AB20" i="295"/>
  <c r="AB22" i="295" s="1"/>
  <c r="AB24" i="295" s="1"/>
  <c r="AB65" i="261"/>
  <c r="AB14" i="261"/>
  <c r="AT92" i="261"/>
  <c r="AT70" i="261"/>
  <c r="AU46" i="265"/>
  <c r="AT29" i="49"/>
  <c r="AT16" i="283"/>
  <c r="AT18" i="283" s="1"/>
  <c r="AT32" i="283"/>
  <c r="AT39" i="283"/>
  <c r="AT9" i="283"/>
  <c r="AB25" i="295" l="1"/>
  <c r="AB31" i="295" s="1"/>
  <c r="AB33" i="295" s="1"/>
  <c r="AB26" i="295"/>
  <c r="AB40" i="295" s="1"/>
  <c r="AB41" i="295" s="1"/>
  <c r="AT37" i="260"/>
  <c r="AT38" i="260" s="1"/>
  <c r="AT40" i="260" s="1"/>
  <c r="AT42" i="260" s="1"/>
  <c r="AT45" i="260" s="1"/>
  <c r="AT46" i="260" s="1"/>
  <c r="AB43" i="295" l="1"/>
  <c r="AB45" i="295" s="1"/>
  <c r="AB48" i="295"/>
  <c r="AB50" i="49" s="1"/>
  <c r="AB58" i="295"/>
  <c r="AB34" i="295"/>
  <c r="AB49" i="49" s="1"/>
  <c r="AT55" i="260"/>
  <c r="AT57" i="260" s="1"/>
  <c r="AT60" i="260" s="1"/>
  <c r="AT62" i="260" s="1"/>
  <c r="AT63" i="260" s="1"/>
  <c r="AT46" i="49" s="1"/>
  <c r="AT47" i="49" s="1"/>
  <c r="AT50" i="260"/>
  <c r="AT51" i="260" s="1"/>
  <c r="AT52" i="260" s="1"/>
  <c r="AT37" i="252" s="1"/>
  <c r="AB59" i="295" l="1"/>
  <c r="AB60" i="295" s="1"/>
  <c r="AB47" i="295"/>
  <c r="AB49" i="295" s="1"/>
  <c r="AB51" i="49" s="1"/>
  <c r="AB52" i="49" s="1"/>
  <c r="AB30" i="277" s="1"/>
  <c r="AT21" i="295"/>
  <c r="AT78" i="260"/>
  <c r="AT79" i="260" s="1"/>
  <c r="AT73" i="260"/>
  <c r="AT74" i="260" s="1"/>
  <c r="AU71" i="260" s="1"/>
  <c r="AU29" i="260" s="1"/>
  <c r="AU30" i="260" s="1"/>
  <c r="AB15" i="261" l="1"/>
  <c r="AB24" i="49"/>
  <c r="AC57" i="295"/>
  <c r="AT21" i="283"/>
  <c r="AT8" i="295"/>
  <c r="AT28" i="49"/>
  <c r="AT40" i="283"/>
  <c r="AR41" i="283" s="1"/>
  <c r="AT10" i="283"/>
  <c r="AT11" i="283" s="1"/>
  <c r="AT33" i="283"/>
  <c r="AT34" i="283" s="1"/>
  <c r="AU31" i="260"/>
  <c r="AU41" i="260"/>
  <c r="AU27" i="265"/>
  <c r="AU28" i="265" s="1"/>
  <c r="AU31" i="265" s="1"/>
  <c r="AU32" i="265" s="1"/>
  <c r="AU77" i="260"/>
  <c r="AB16" i="261" l="1"/>
  <c r="AB18" i="261" s="1"/>
  <c r="AB20" i="261" s="1"/>
  <c r="AC13" i="295"/>
  <c r="AC14" i="295" s="1"/>
  <c r="AC16" i="295" s="1"/>
  <c r="AC39" i="295"/>
  <c r="AS10" i="295"/>
  <c r="AS12" i="295" s="1"/>
  <c r="AU48" i="265"/>
  <c r="AU33" i="265"/>
  <c r="AU41" i="49" s="1"/>
  <c r="AU43" i="49" s="1"/>
  <c r="AU45" i="49"/>
  <c r="AU13" i="49"/>
  <c r="AB11" i="277" l="1"/>
  <c r="AB35" i="261"/>
  <c r="AB36" i="261" s="1"/>
  <c r="AB21" i="261"/>
  <c r="AB55" i="49" s="1"/>
  <c r="AB56" i="49" s="1"/>
  <c r="AC33" i="261"/>
  <c r="AC19" i="261" s="1"/>
  <c r="AB30" i="49"/>
  <c r="AB59" i="49"/>
  <c r="AC18" i="295"/>
  <c r="AC44" i="295" s="1"/>
  <c r="AC17" i="295"/>
  <c r="AC32" i="295" s="1"/>
  <c r="AU15" i="49"/>
  <c r="AU39" i="265" s="1"/>
  <c r="AU40" i="265" s="1"/>
  <c r="AU9" i="283"/>
  <c r="AU16" i="283"/>
  <c r="AU18" i="283" s="1"/>
  <c r="AU37" i="260" s="1"/>
  <c r="AU38" i="260" s="1"/>
  <c r="AU40" i="260" s="1"/>
  <c r="AU42" i="260" s="1"/>
  <c r="AU45" i="260" s="1"/>
  <c r="AU46" i="260" s="1"/>
  <c r="AU39" i="283"/>
  <c r="AU32" i="283"/>
  <c r="AB66" i="261" l="1"/>
  <c r="AB67" i="261" s="1"/>
  <c r="AB73" i="261" s="1"/>
  <c r="AB75" i="261" s="1"/>
  <c r="AB84" i="261"/>
  <c r="AU47" i="265"/>
  <c r="AU49" i="265" s="1"/>
  <c r="AV46" i="265" s="1"/>
  <c r="AU41" i="265"/>
  <c r="AU17" i="49" s="1"/>
  <c r="AU18" i="49" s="1"/>
  <c r="AU70" i="261" s="1"/>
  <c r="AU55" i="260"/>
  <c r="AU57" i="260" s="1"/>
  <c r="AU60" i="260" s="1"/>
  <c r="AU62" i="260" s="1"/>
  <c r="AU78" i="260" s="1"/>
  <c r="AU79" i="260" s="1"/>
  <c r="AU8" i="295" s="1"/>
  <c r="AU50" i="260"/>
  <c r="AU51" i="260" s="1"/>
  <c r="AU52" i="260" s="1"/>
  <c r="AU37" i="252" s="1"/>
  <c r="AU29" i="49" l="1"/>
  <c r="AB13" i="277"/>
  <c r="AB14" i="277" s="1"/>
  <c r="AB85" i="261"/>
  <c r="AB86" i="261" s="1"/>
  <c r="AB93" i="261"/>
  <c r="AB94" i="261" s="1"/>
  <c r="AU92" i="261"/>
  <c r="AT10" i="295"/>
  <c r="AT12" i="295" s="1"/>
  <c r="AU63" i="260"/>
  <c r="AU46" i="49" s="1"/>
  <c r="AU47" i="49" s="1"/>
  <c r="AU73" i="260"/>
  <c r="AU74" i="260" s="1"/>
  <c r="AV71" i="260" s="1"/>
  <c r="AV29" i="260" s="1"/>
  <c r="AV30" i="260" s="1"/>
  <c r="AU10" i="283"/>
  <c r="AU11" i="283" s="1"/>
  <c r="AU40" i="283"/>
  <c r="AS41" i="283" s="1"/>
  <c r="AU33" i="283"/>
  <c r="AU34" i="283" s="1"/>
  <c r="AU21" i="283"/>
  <c r="AC83" i="261" l="1"/>
  <c r="AB25" i="49"/>
  <c r="AB26" i="49" s="1"/>
  <c r="AB57" i="277"/>
  <c r="AB59" i="277" s="1"/>
  <c r="AB21" i="277"/>
  <c r="AC91" i="261"/>
  <c r="AC69" i="261" s="1"/>
  <c r="AC71" i="261" s="1"/>
  <c r="AC74" i="261" s="1"/>
  <c r="AB32" i="49"/>
  <c r="AB33" i="49" s="1"/>
  <c r="AU21" i="295"/>
  <c r="AU28" i="49"/>
  <c r="AV77" i="260"/>
  <c r="AV27" i="265"/>
  <c r="AV28" i="265" s="1"/>
  <c r="AV31" i="265" s="1"/>
  <c r="AV32" i="265" s="1"/>
  <c r="AV41" i="260"/>
  <c r="AV31" i="260"/>
  <c r="AB35" i="49" l="1"/>
  <c r="AC65" i="261"/>
  <c r="AC20" i="295"/>
  <c r="AC22" i="295" s="1"/>
  <c r="AC24" i="295" s="1"/>
  <c r="AC14" i="261"/>
  <c r="AV48" i="265"/>
  <c r="AV33" i="265"/>
  <c r="AV41" i="49" s="1"/>
  <c r="AV43" i="49" s="1"/>
  <c r="AV45" i="49"/>
  <c r="AV13" i="49"/>
  <c r="AC26" i="295" l="1"/>
  <c r="AC40" i="295" s="1"/>
  <c r="AC41" i="295" s="1"/>
  <c r="AC25" i="295"/>
  <c r="AC31" i="295" s="1"/>
  <c r="AC33" i="295" s="1"/>
  <c r="AV15" i="49"/>
  <c r="AV39" i="265" s="1"/>
  <c r="AV40" i="265" s="1"/>
  <c r="AV16" i="283"/>
  <c r="AV18" i="283" s="1"/>
  <c r="AV37" i="260" s="1"/>
  <c r="AV38" i="260" s="1"/>
  <c r="AV40" i="260" s="1"/>
  <c r="AV42" i="260" s="1"/>
  <c r="AV45" i="260" s="1"/>
  <c r="AV46" i="260" s="1"/>
  <c r="AV9" i="283"/>
  <c r="AV39" i="283"/>
  <c r="AV32" i="283"/>
  <c r="AC58" i="295" l="1"/>
  <c r="AC34" i="295"/>
  <c r="AC49" i="49" s="1"/>
  <c r="AC48" i="295"/>
  <c r="AC50" i="49" s="1"/>
  <c r="AC43" i="295"/>
  <c r="AC45" i="295" s="1"/>
  <c r="AV41" i="265"/>
  <c r="AV17" i="49" s="1"/>
  <c r="AV18" i="49" s="1"/>
  <c r="AV92" i="261" s="1"/>
  <c r="AV47" i="265"/>
  <c r="AV49" i="265" s="1"/>
  <c r="AV29" i="49" s="1"/>
  <c r="AV55" i="260"/>
  <c r="AV57" i="260" s="1"/>
  <c r="AV60" i="260" s="1"/>
  <c r="AV62" i="260" s="1"/>
  <c r="AV63" i="260" s="1"/>
  <c r="AV46" i="49" s="1"/>
  <c r="AV47" i="49" s="1"/>
  <c r="AV50" i="260"/>
  <c r="AV51" i="260" s="1"/>
  <c r="AV52" i="260" s="1"/>
  <c r="AV37" i="252" s="1"/>
  <c r="AV70" i="261" l="1"/>
  <c r="AC47" i="295"/>
  <c r="AC49" i="295" s="1"/>
  <c r="AC51" i="49" s="1"/>
  <c r="AC52" i="49" s="1"/>
  <c r="AC30" i="277" s="1"/>
  <c r="AC59" i="295"/>
  <c r="AC60" i="295" s="1"/>
  <c r="AW46" i="265"/>
  <c r="AV21" i="295"/>
  <c r="AV78" i="260"/>
  <c r="AV79" i="260" s="1"/>
  <c r="AV73" i="260"/>
  <c r="AV74" i="260" s="1"/>
  <c r="AW71" i="260" s="1"/>
  <c r="AW29" i="260" s="1"/>
  <c r="AW30" i="260" s="1"/>
  <c r="AC24" i="49" l="1"/>
  <c r="AD57" i="295"/>
  <c r="AC15" i="261"/>
  <c r="AV33" i="283"/>
  <c r="AV34" i="283" s="1"/>
  <c r="AV8" i="295"/>
  <c r="AV21" i="283"/>
  <c r="AV40" i="283"/>
  <c r="AT41" i="283" s="1"/>
  <c r="AV10" i="283"/>
  <c r="AV11" i="283" s="1"/>
  <c r="AV28" i="49"/>
  <c r="AW77" i="260"/>
  <c r="AW27" i="265"/>
  <c r="AW28" i="265" s="1"/>
  <c r="AW31" i="265" s="1"/>
  <c r="AW32" i="265" s="1"/>
  <c r="AW31" i="260"/>
  <c r="AW41" i="260"/>
  <c r="AC16" i="261" l="1"/>
  <c r="AC18" i="261" s="1"/>
  <c r="AC20" i="261" s="1"/>
  <c r="AD39" i="295"/>
  <c r="AD13" i="295"/>
  <c r="AD14" i="295" s="1"/>
  <c r="AD16" i="295" s="1"/>
  <c r="AU10" i="295"/>
  <c r="AU12" i="295" s="1"/>
  <c r="AW33" i="265"/>
  <c r="AW41" i="49" s="1"/>
  <c r="AW43" i="49" s="1"/>
  <c r="AW48" i="265"/>
  <c r="AW45" i="49"/>
  <c r="AW13" i="49"/>
  <c r="AC11" i="277" l="1"/>
  <c r="AC35" i="261"/>
  <c r="AC36" i="261" s="1"/>
  <c r="AC21" i="261"/>
  <c r="AC55" i="49" s="1"/>
  <c r="AC56" i="49" s="1"/>
  <c r="AD17" i="295"/>
  <c r="AD32" i="295" s="1"/>
  <c r="AD18" i="295"/>
  <c r="AD44" i="295" s="1"/>
  <c r="AD33" i="261"/>
  <c r="AD19" i="261" s="1"/>
  <c r="AC30" i="49"/>
  <c r="AC59" i="49"/>
  <c r="AW15" i="49"/>
  <c r="AW39" i="265" s="1"/>
  <c r="AW40" i="265" s="1"/>
  <c r="AW39" i="283"/>
  <c r="AW32" i="283"/>
  <c r="AW16" i="283"/>
  <c r="AW18" i="283" s="1"/>
  <c r="AW37" i="260" s="1"/>
  <c r="AW38" i="260" s="1"/>
  <c r="AW40" i="260" s="1"/>
  <c r="AW42" i="260" s="1"/>
  <c r="AW45" i="260" s="1"/>
  <c r="AW46" i="260" s="1"/>
  <c r="AW9" i="283"/>
  <c r="AC84" i="261" l="1"/>
  <c r="AC66" i="261"/>
  <c r="AC67" i="261" s="1"/>
  <c r="AC73" i="261" s="1"/>
  <c r="AC75" i="261" s="1"/>
  <c r="AW47" i="265"/>
  <c r="AW49" i="265" s="1"/>
  <c r="AX46" i="265" s="1"/>
  <c r="AW41" i="265"/>
  <c r="AW17" i="49" s="1"/>
  <c r="AW18" i="49" s="1"/>
  <c r="AW70" i="261" s="1"/>
  <c r="AW55" i="260"/>
  <c r="AW57" i="260" s="1"/>
  <c r="AW60" i="260" s="1"/>
  <c r="AW62" i="260" s="1"/>
  <c r="AW73" i="260" s="1"/>
  <c r="AW74" i="260" s="1"/>
  <c r="AW50" i="260"/>
  <c r="AW51" i="260" s="1"/>
  <c r="AW52" i="260" s="1"/>
  <c r="AW37" i="252" s="1"/>
  <c r="AW92" i="261" l="1"/>
  <c r="AW29" i="49"/>
  <c r="AC85" i="261"/>
  <c r="AC86" i="261" s="1"/>
  <c r="AC93" i="261"/>
  <c r="AC94" i="261" s="1"/>
  <c r="AC13" i="277"/>
  <c r="AC14" i="277" s="1"/>
  <c r="AW63" i="260"/>
  <c r="AW46" i="49" s="1"/>
  <c r="AW47" i="49" s="1"/>
  <c r="AW78" i="260"/>
  <c r="AW79" i="260" s="1"/>
  <c r="AX71" i="260"/>
  <c r="AX29" i="260" s="1"/>
  <c r="AX30" i="260" s="1"/>
  <c r="AW28" i="49"/>
  <c r="AC25" i="49" l="1"/>
  <c r="AC26" i="49" s="1"/>
  <c r="AD83" i="261"/>
  <c r="AC57" i="277"/>
  <c r="AC59" i="277" s="1"/>
  <c r="AC21" i="277"/>
  <c r="AD91" i="261"/>
  <c r="AD69" i="261" s="1"/>
  <c r="AD71" i="261" s="1"/>
  <c r="AD74" i="261" s="1"/>
  <c r="AC32" i="49"/>
  <c r="AC33" i="49" s="1"/>
  <c r="AW21" i="295"/>
  <c r="AW33" i="283"/>
  <c r="AW34" i="283" s="1"/>
  <c r="AW8" i="295"/>
  <c r="AW40" i="283"/>
  <c r="AU41" i="283" s="1"/>
  <c r="AW10" i="283"/>
  <c r="AW11" i="283" s="1"/>
  <c r="AW21" i="283"/>
  <c r="AX77" i="260"/>
  <c r="AX27" i="265"/>
  <c r="AX28" i="265" s="1"/>
  <c r="AX31" i="265" s="1"/>
  <c r="AX32" i="265" s="1"/>
  <c r="AX31" i="260"/>
  <c r="AX41" i="260"/>
  <c r="AD14" i="261" l="1"/>
  <c r="AD20" i="295"/>
  <c r="AD22" i="295" s="1"/>
  <c r="AD24" i="295" s="1"/>
  <c r="AD65" i="261"/>
  <c r="AC35" i="49"/>
  <c r="AV10" i="295"/>
  <c r="AV12" i="295" s="1"/>
  <c r="AX48" i="265"/>
  <c r="AX33" i="265"/>
  <c r="AX41" i="49" s="1"/>
  <c r="AX43" i="49" s="1"/>
  <c r="AX13" i="49"/>
  <c r="AX45" i="49"/>
  <c r="AD26" i="295" l="1"/>
  <c r="AD40" i="295" s="1"/>
  <c r="AD41" i="295" s="1"/>
  <c r="AD25" i="295"/>
  <c r="AD31" i="295" s="1"/>
  <c r="AD33" i="295" s="1"/>
  <c r="AX15" i="49"/>
  <c r="AX39" i="265" s="1"/>
  <c r="AX40" i="265" s="1"/>
  <c r="AX9" i="283"/>
  <c r="AX32" i="283"/>
  <c r="AX16" i="283"/>
  <c r="AX18" i="283" s="1"/>
  <c r="AX37" i="260" s="1"/>
  <c r="AX38" i="260" s="1"/>
  <c r="AX40" i="260" s="1"/>
  <c r="AX42" i="260" s="1"/>
  <c r="AX45" i="260" s="1"/>
  <c r="AX46" i="260" s="1"/>
  <c r="AX39" i="283"/>
  <c r="AD58" i="295" l="1"/>
  <c r="AD34" i="295"/>
  <c r="AD49" i="49" s="1"/>
  <c r="AD43" i="295"/>
  <c r="AD45" i="295" s="1"/>
  <c r="AD48" i="295"/>
  <c r="AD50" i="49" s="1"/>
  <c r="AX47" i="265"/>
  <c r="AX49" i="265" s="1"/>
  <c r="AY46" i="265" s="1"/>
  <c r="AX41" i="265"/>
  <c r="AX17" i="49" s="1"/>
  <c r="AX18" i="49" s="1"/>
  <c r="AX92" i="261" s="1"/>
  <c r="AX55" i="260"/>
  <c r="AX57" i="260" s="1"/>
  <c r="AX60" i="260" s="1"/>
  <c r="AX62" i="260" s="1"/>
  <c r="AX78" i="260" s="1"/>
  <c r="AX79" i="260" s="1"/>
  <c r="AX8" i="295" s="1"/>
  <c r="AX50" i="260"/>
  <c r="AX51" i="260" s="1"/>
  <c r="AX52" i="260" s="1"/>
  <c r="AX37" i="252" s="1"/>
  <c r="AX29" i="49" l="1"/>
  <c r="AD47" i="295"/>
  <c r="AD49" i="295" s="1"/>
  <c r="AD51" i="49" s="1"/>
  <c r="AD52" i="49" s="1"/>
  <c r="AD30" i="277" s="1"/>
  <c r="AD59" i="295"/>
  <c r="AD60" i="295" s="1"/>
  <c r="AX70" i="261"/>
  <c r="AW10" i="295"/>
  <c r="AW12" i="295" s="1"/>
  <c r="AX63" i="260"/>
  <c r="AX46" i="49" s="1"/>
  <c r="AX47" i="49" s="1"/>
  <c r="AX73" i="260"/>
  <c r="AX74" i="260" s="1"/>
  <c r="AY71" i="260" s="1"/>
  <c r="AY29" i="260" s="1"/>
  <c r="AY30" i="260" s="1"/>
  <c r="AX40" i="283"/>
  <c r="AV41" i="283" s="1"/>
  <c r="AX21" i="283"/>
  <c r="AX10" i="283"/>
  <c r="AX11" i="283" s="1"/>
  <c r="AX33" i="283"/>
  <c r="AX34" i="283" s="1"/>
  <c r="AD24" i="49" l="1"/>
  <c r="AE57" i="295"/>
  <c r="AD15" i="261"/>
  <c r="AX21" i="295"/>
  <c r="AX28" i="49"/>
  <c r="AY41" i="260"/>
  <c r="AY31" i="260"/>
  <c r="AY27" i="265"/>
  <c r="AY28" i="265" s="1"/>
  <c r="AY31" i="265" s="1"/>
  <c r="AY32" i="265" s="1"/>
  <c r="AY77" i="260"/>
  <c r="AD16" i="261" l="1"/>
  <c r="AD18" i="261" s="1"/>
  <c r="AD20" i="261" s="1"/>
  <c r="AE39" i="295"/>
  <c r="AE13" i="295"/>
  <c r="AE14" i="295" s="1"/>
  <c r="AE16" i="295" s="1"/>
  <c r="AY13" i="49"/>
  <c r="AY45" i="49"/>
  <c r="AY33" i="265"/>
  <c r="AY41" i="49" s="1"/>
  <c r="AY43" i="49" s="1"/>
  <c r="AY48" i="265"/>
  <c r="AD11" i="277" l="1"/>
  <c r="AD21" i="261"/>
  <c r="AD55" i="49" s="1"/>
  <c r="AD56" i="49" s="1"/>
  <c r="AD35" i="261"/>
  <c r="AD36" i="261" s="1"/>
  <c r="AE18" i="295"/>
  <c r="AE44" i="295" s="1"/>
  <c r="AE17" i="295"/>
  <c r="AE32" i="295" s="1"/>
  <c r="AD30" i="49"/>
  <c r="AE33" i="261"/>
  <c r="AE19" i="261" s="1"/>
  <c r="AD59" i="49"/>
  <c r="AY15" i="49"/>
  <c r="AY39" i="265" s="1"/>
  <c r="AY40" i="265" s="1"/>
  <c r="AY39" i="283"/>
  <c r="AY32" i="283"/>
  <c r="AY9" i="283"/>
  <c r="AY16" i="283"/>
  <c r="AY18" i="283" s="1"/>
  <c r="AY37" i="260" s="1"/>
  <c r="AY38" i="260" s="1"/>
  <c r="AY40" i="260" s="1"/>
  <c r="AY42" i="260" s="1"/>
  <c r="AY45" i="260" s="1"/>
  <c r="AY46" i="260" s="1"/>
  <c r="AD66" i="261" l="1"/>
  <c r="AD67" i="261" s="1"/>
  <c r="AD73" i="261" s="1"/>
  <c r="AD75" i="261" s="1"/>
  <c r="AD84" i="261"/>
  <c r="AY47" i="265"/>
  <c r="AY49" i="265" s="1"/>
  <c r="AY29" i="49" s="1"/>
  <c r="AY41" i="265"/>
  <c r="AY17" i="49" s="1"/>
  <c r="AY18" i="49" s="1"/>
  <c r="AY92" i="261" s="1"/>
  <c r="AY55" i="260"/>
  <c r="AY57" i="260" s="1"/>
  <c r="AY60" i="260" s="1"/>
  <c r="AY62" i="260" s="1"/>
  <c r="AY78" i="260" s="1"/>
  <c r="AY79" i="260" s="1"/>
  <c r="AY8" i="295" s="1"/>
  <c r="AY50" i="260"/>
  <c r="AY51" i="260" s="1"/>
  <c r="AY52" i="260" s="1"/>
  <c r="AY37" i="252" s="1"/>
  <c r="AD93" i="261" l="1"/>
  <c r="AD94" i="261" s="1"/>
  <c r="AD85" i="261"/>
  <c r="AD86" i="261" s="1"/>
  <c r="AD13" i="277"/>
  <c r="AD14" i="277" s="1"/>
  <c r="AY70" i="261"/>
  <c r="AZ46" i="265"/>
  <c r="AX10" i="295"/>
  <c r="AX12" i="295" s="1"/>
  <c r="AY63" i="260"/>
  <c r="AY46" i="49" s="1"/>
  <c r="AY47" i="49" s="1"/>
  <c r="AY73" i="260"/>
  <c r="AY74" i="260" s="1"/>
  <c r="AZ71" i="260" s="1"/>
  <c r="AZ29" i="260" s="1"/>
  <c r="AZ30" i="260" s="1"/>
  <c r="AY40" i="283"/>
  <c r="AW41" i="283" s="1"/>
  <c r="AY33" i="283"/>
  <c r="AY34" i="283" s="1"/>
  <c r="AY21" i="283"/>
  <c r="AY10" i="283"/>
  <c r="AY11" i="283" s="1"/>
  <c r="AD21" i="277" l="1"/>
  <c r="AD57" i="277"/>
  <c r="AD59" i="277" s="1"/>
  <c r="AE83" i="261"/>
  <c r="AD25" i="49"/>
  <c r="AD26" i="49" s="1"/>
  <c r="AE91" i="261"/>
  <c r="AE69" i="261" s="1"/>
  <c r="AE71" i="261" s="1"/>
  <c r="AE74" i="261" s="1"/>
  <c r="AD32" i="49"/>
  <c r="AD33" i="49" s="1"/>
  <c r="AY21" i="295"/>
  <c r="AY28" i="49"/>
  <c r="AZ31" i="260"/>
  <c r="AZ41" i="260"/>
  <c r="AZ27" i="265"/>
  <c r="AZ28" i="265" s="1"/>
  <c r="AZ31" i="265" s="1"/>
  <c r="AZ32" i="265" s="1"/>
  <c r="AZ77" i="260"/>
  <c r="AD35" i="49" l="1"/>
  <c r="AE14" i="261"/>
  <c r="AE65" i="261"/>
  <c r="AE20" i="295"/>
  <c r="AE22" i="295" s="1"/>
  <c r="AE24" i="295" s="1"/>
  <c r="AZ33" i="265"/>
  <c r="AZ41" i="49" s="1"/>
  <c r="AZ43" i="49" s="1"/>
  <c r="AZ48" i="265"/>
  <c r="AZ13" i="49"/>
  <c r="AZ45" i="49"/>
  <c r="AE26" i="295" l="1"/>
  <c r="AE40" i="295" s="1"/>
  <c r="AE41" i="295" s="1"/>
  <c r="AE25" i="295"/>
  <c r="AE31" i="295" s="1"/>
  <c r="AE33" i="295" s="1"/>
  <c r="AZ15" i="49"/>
  <c r="AZ39" i="265" s="1"/>
  <c r="AZ40" i="265" s="1"/>
  <c r="AZ39" i="283"/>
  <c r="AZ32" i="283"/>
  <c r="AZ16" i="283"/>
  <c r="AZ18" i="283" s="1"/>
  <c r="AZ37" i="260" s="1"/>
  <c r="AZ38" i="260" s="1"/>
  <c r="AZ40" i="260" s="1"/>
  <c r="AZ42" i="260" s="1"/>
  <c r="AZ45" i="260" s="1"/>
  <c r="AZ46" i="260" s="1"/>
  <c r="AZ9" i="283"/>
  <c r="AE34" i="295" l="1"/>
  <c r="AE49" i="49" s="1"/>
  <c r="AE58" i="295"/>
  <c r="AE43" i="295"/>
  <c r="AE45" i="295" s="1"/>
  <c r="AE48" i="295"/>
  <c r="AE50" i="49" s="1"/>
  <c r="AZ41" i="265"/>
  <c r="AZ17" i="49" s="1"/>
  <c r="AZ18" i="49" s="1"/>
  <c r="AZ70" i="261" s="1"/>
  <c r="AZ47" i="265"/>
  <c r="AZ49" i="265" s="1"/>
  <c r="AZ29" i="49" s="1"/>
  <c r="AZ55" i="260"/>
  <c r="AZ57" i="260" s="1"/>
  <c r="AZ60" i="260" s="1"/>
  <c r="AZ62" i="260" s="1"/>
  <c r="AZ78" i="260" s="1"/>
  <c r="AZ79" i="260" s="1"/>
  <c r="AZ8" i="295" s="1"/>
  <c r="AZ50" i="260"/>
  <c r="AZ51" i="260" s="1"/>
  <c r="AZ52" i="260" s="1"/>
  <c r="AZ37" i="252" s="1"/>
  <c r="AE47" i="295" l="1"/>
  <c r="AE49" i="295" s="1"/>
  <c r="AE51" i="49" s="1"/>
  <c r="AE52" i="49" s="1"/>
  <c r="AE30" i="277" s="1"/>
  <c r="AE59" i="295"/>
  <c r="AE60" i="295" s="1"/>
  <c r="AZ92" i="261"/>
  <c r="BA46" i="265"/>
  <c r="AY10" i="295"/>
  <c r="AY12" i="295" s="1"/>
  <c r="AZ63" i="260"/>
  <c r="AZ46" i="49" s="1"/>
  <c r="AZ47" i="49" s="1"/>
  <c r="AZ73" i="260"/>
  <c r="AZ74" i="260" s="1"/>
  <c r="BA71" i="260" s="1"/>
  <c r="BA29" i="260" s="1"/>
  <c r="BA30" i="260" s="1"/>
  <c r="AZ40" i="283"/>
  <c r="AX41" i="283" s="1"/>
  <c r="AZ21" i="283"/>
  <c r="AZ33" i="283"/>
  <c r="AZ34" i="283" s="1"/>
  <c r="AZ10" i="283"/>
  <c r="AZ11" i="283" s="1"/>
  <c r="AF57" i="295" l="1"/>
  <c r="AE24" i="49"/>
  <c r="AE15" i="261"/>
  <c r="AZ21" i="295"/>
  <c r="AZ28" i="49"/>
  <c r="BA27" i="265"/>
  <c r="BA28" i="265" s="1"/>
  <c r="BA31" i="265" s="1"/>
  <c r="BA32" i="265" s="1"/>
  <c r="BA41" i="260"/>
  <c r="BA31" i="260"/>
  <c r="BA77" i="260"/>
  <c r="AE16" i="261" l="1"/>
  <c r="AE18" i="261" s="1"/>
  <c r="AE20" i="261" s="1"/>
  <c r="AF39" i="295"/>
  <c r="AF13" i="295"/>
  <c r="AF14" i="295" s="1"/>
  <c r="AF16" i="295" s="1"/>
  <c r="BA33" i="265"/>
  <c r="BA41" i="49" s="1"/>
  <c r="BA43" i="49" s="1"/>
  <c r="BA48" i="265"/>
  <c r="BA45" i="49"/>
  <c r="BA13" i="49"/>
  <c r="AE11" i="277" l="1"/>
  <c r="AE35" i="261"/>
  <c r="AE36" i="261" s="1"/>
  <c r="AF33" i="261" s="1"/>
  <c r="AF19" i="261" s="1"/>
  <c r="AE21" i="261"/>
  <c r="AE55" i="49" s="1"/>
  <c r="AE56" i="49" s="1"/>
  <c r="AE59" i="49" s="1"/>
  <c r="AF17" i="295"/>
  <c r="AF32" i="295" s="1"/>
  <c r="AF18" i="295"/>
  <c r="AF44" i="295" s="1"/>
  <c r="BA15" i="49"/>
  <c r="BA39" i="265" s="1"/>
  <c r="BA40" i="265" s="1"/>
  <c r="BA32" i="283"/>
  <c r="BA39" i="283"/>
  <c r="BA16" i="283"/>
  <c r="BA18" i="283" s="1"/>
  <c r="BA37" i="260" s="1"/>
  <c r="BA38" i="260" s="1"/>
  <c r="BA40" i="260" s="1"/>
  <c r="BA42" i="260" s="1"/>
  <c r="BA45" i="260" s="1"/>
  <c r="BA46" i="260" s="1"/>
  <c r="BA9" i="283"/>
  <c r="AE30" i="49" l="1"/>
  <c r="AE66" i="261"/>
  <c r="AE67" i="261" s="1"/>
  <c r="AE73" i="261" s="1"/>
  <c r="AE75" i="261" s="1"/>
  <c r="AE84" i="261"/>
  <c r="BA47" i="265"/>
  <c r="BA49" i="265" s="1"/>
  <c r="BB46" i="265" s="1"/>
  <c r="BA41" i="265"/>
  <c r="BA17" i="49" s="1"/>
  <c r="BA18" i="49" s="1"/>
  <c r="BA70" i="261" s="1"/>
  <c r="BA55" i="260"/>
  <c r="BA57" i="260" s="1"/>
  <c r="BA60" i="260" s="1"/>
  <c r="BA62" i="260" s="1"/>
  <c r="BA63" i="260" s="1"/>
  <c r="BA46" i="49" s="1"/>
  <c r="BA47" i="49" s="1"/>
  <c r="BA50" i="260"/>
  <c r="BA51" i="260" s="1"/>
  <c r="BA52" i="260" s="1"/>
  <c r="AE93" i="261" l="1"/>
  <c r="AE94" i="261" s="1"/>
  <c r="AE85" i="261"/>
  <c r="AE86" i="261" s="1"/>
  <c r="AE13" i="277"/>
  <c r="AE14" i="277" s="1"/>
  <c r="BA29" i="49"/>
  <c r="BA92" i="261"/>
  <c r="BA21" i="295"/>
  <c r="BB52" i="260"/>
  <c r="BB37" i="252" s="1"/>
  <c r="BA37" i="252"/>
  <c r="BA78" i="260"/>
  <c r="BA79" i="260" s="1"/>
  <c r="BA73" i="260"/>
  <c r="BA74" i="260" s="1"/>
  <c r="BB71" i="260" s="1"/>
  <c r="BB29" i="260" s="1"/>
  <c r="BB30" i="260" s="1"/>
  <c r="AE21" i="277" l="1"/>
  <c r="AE57" i="277"/>
  <c r="AE59" i="277" s="1"/>
  <c r="AE25" i="49"/>
  <c r="AE26" i="49" s="1"/>
  <c r="AF83" i="261"/>
  <c r="AF91" i="261"/>
  <c r="AF69" i="261" s="1"/>
  <c r="AF71" i="261" s="1"/>
  <c r="AF74" i="261" s="1"/>
  <c r="AE32" i="49"/>
  <c r="AE33" i="49" s="1"/>
  <c r="BA10" i="283"/>
  <c r="BA11" i="283" s="1"/>
  <c r="BA8" i="295"/>
  <c r="BA33" i="283"/>
  <c r="BA34" i="283" s="1"/>
  <c r="BA21" i="283"/>
  <c r="BA40" i="283"/>
  <c r="AY41" i="283" s="1"/>
  <c r="BA28" i="49"/>
  <c r="BB77" i="260"/>
  <c r="BB31" i="260"/>
  <c r="BB41" i="260"/>
  <c r="BB27" i="265"/>
  <c r="BB28" i="265" s="1"/>
  <c r="BB31" i="265" s="1"/>
  <c r="BB32" i="265" s="1"/>
  <c r="AF20" i="295" l="1"/>
  <c r="AF22" i="295" s="1"/>
  <c r="AF24" i="295" s="1"/>
  <c r="AF65" i="261"/>
  <c r="AF14" i="261"/>
  <c r="AE35" i="49"/>
  <c r="AZ10" i="295"/>
  <c r="AZ12" i="295" s="1"/>
  <c r="BB13" i="49"/>
  <c r="BB45" i="49"/>
  <c r="BB48" i="265"/>
  <c r="BB33" i="265"/>
  <c r="BB41" i="49" s="1"/>
  <c r="BB43" i="49" s="1"/>
  <c r="AF25" i="295" l="1"/>
  <c r="AF31" i="295" s="1"/>
  <c r="AF33" i="295" s="1"/>
  <c r="AF26" i="295"/>
  <c r="AF40" i="295" s="1"/>
  <c r="AF41" i="295" s="1"/>
  <c r="BB15" i="49"/>
  <c r="BB39" i="265" s="1"/>
  <c r="BB40" i="265" s="1"/>
  <c r="BB39" i="283"/>
  <c r="BB9" i="283"/>
  <c r="BB16" i="283"/>
  <c r="BB18" i="283" s="1"/>
  <c r="BB37" i="260" s="1"/>
  <c r="BB38" i="260" s="1"/>
  <c r="BB40" i="260" s="1"/>
  <c r="BB42" i="260" s="1"/>
  <c r="BB45" i="260" s="1"/>
  <c r="BB46" i="260" s="1"/>
  <c r="BB32" i="283"/>
  <c r="AF43" i="295" l="1"/>
  <c r="AF45" i="295" s="1"/>
  <c r="AF48" i="295"/>
  <c r="AF50" i="49" s="1"/>
  <c r="AF34" i="295"/>
  <c r="AF49" i="49" s="1"/>
  <c r="AF58" i="295"/>
  <c r="BB41" i="265"/>
  <c r="BB17" i="49" s="1"/>
  <c r="BB18" i="49" s="1"/>
  <c r="BB92" i="261" s="1"/>
  <c r="BB47" i="265"/>
  <c r="BB49" i="265" s="1"/>
  <c r="BB29" i="49" s="1"/>
  <c r="BB55" i="260"/>
  <c r="BB57" i="260" s="1"/>
  <c r="BB60" i="260" s="1"/>
  <c r="BB62" i="260" s="1"/>
  <c r="BB63" i="260" s="1"/>
  <c r="BB46" i="49" s="1"/>
  <c r="BB47" i="49" s="1"/>
  <c r="BB50" i="260"/>
  <c r="BB51" i="260" s="1"/>
  <c r="BC46" i="265" l="1"/>
  <c r="AF59" i="295"/>
  <c r="AF60" i="295" s="1"/>
  <c r="AF47" i="295"/>
  <c r="AF49" i="295" s="1"/>
  <c r="AF51" i="49" s="1"/>
  <c r="AF52" i="49" s="1"/>
  <c r="AF30" i="277" s="1"/>
  <c r="BB70" i="261"/>
  <c r="BB21" i="295"/>
  <c r="BB73" i="260"/>
  <c r="BB74" i="260" s="1"/>
  <c r="BC71" i="260" s="1"/>
  <c r="BC29" i="260" s="1"/>
  <c r="BC30" i="260" s="1"/>
  <c r="BB78" i="260"/>
  <c r="BB79" i="260" s="1"/>
  <c r="AF15" i="261" l="1"/>
  <c r="AG57" i="295"/>
  <c r="AF24" i="49"/>
  <c r="BB21" i="283"/>
  <c r="BB8" i="295"/>
  <c r="BB28" i="49"/>
  <c r="BB40" i="283"/>
  <c r="AZ41" i="283" s="1"/>
  <c r="BB10" i="283"/>
  <c r="BB11" i="283" s="1"/>
  <c r="F13" i="283" s="1"/>
  <c r="BB33" i="283"/>
  <c r="BB34" i="283" s="1"/>
  <c r="F36" i="283" s="1"/>
  <c r="BC77" i="260"/>
  <c r="BC41" i="260"/>
  <c r="BC27" i="265"/>
  <c r="BC28" i="265" s="1"/>
  <c r="BC31" i="265" s="1"/>
  <c r="BC32" i="265" s="1"/>
  <c r="BC31" i="260"/>
  <c r="AF16" i="261" l="1"/>
  <c r="AF18" i="261" s="1"/>
  <c r="AF20" i="261" s="1"/>
  <c r="AG39" i="295"/>
  <c r="AG13" i="295"/>
  <c r="AG14" i="295" s="1"/>
  <c r="AG16" i="295" s="1"/>
  <c r="BA10" i="295"/>
  <c r="BA12" i="295" s="1"/>
  <c r="F14" i="283"/>
  <c r="BC48" i="265"/>
  <c r="BC33" i="265"/>
  <c r="BC41" i="49" s="1"/>
  <c r="BC43" i="49" s="1"/>
  <c r="BC45" i="49"/>
  <c r="BC13" i="49"/>
  <c r="AF11" i="277" l="1"/>
  <c r="AF35" i="261"/>
  <c r="AF36" i="261" s="1"/>
  <c r="AF21" i="261"/>
  <c r="AF55" i="49" s="1"/>
  <c r="AF56" i="49" s="1"/>
  <c r="AF59" i="49"/>
  <c r="AG18" i="295"/>
  <c r="AG44" i="295" s="1"/>
  <c r="AG17" i="295"/>
  <c r="AG32" i="295" s="1"/>
  <c r="AG33" i="261"/>
  <c r="AG19" i="261" s="1"/>
  <c r="AF30" i="49"/>
  <c r="BC15" i="49"/>
  <c r="BC39" i="265" s="1"/>
  <c r="BC40" i="265" s="1"/>
  <c r="BC32" i="283"/>
  <c r="BC39" i="283"/>
  <c r="BC9" i="283"/>
  <c r="BC16" i="283"/>
  <c r="BC18" i="283" s="1"/>
  <c r="BC37" i="260" s="1"/>
  <c r="BC38" i="260" s="1"/>
  <c r="BC40" i="260" s="1"/>
  <c r="BC42" i="260" s="1"/>
  <c r="BC45" i="260" s="1"/>
  <c r="BC46" i="260" s="1"/>
  <c r="AF66" i="261" l="1"/>
  <c r="AF67" i="261" s="1"/>
  <c r="AF73" i="261" s="1"/>
  <c r="AF75" i="261" s="1"/>
  <c r="AF84" i="261"/>
  <c r="BC47" i="265"/>
  <c r="BC49" i="265" s="1"/>
  <c r="BC29" i="49" s="1"/>
  <c r="BC41" i="265"/>
  <c r="BC17" i="49" s="1"/>
  <c r="BC18" i="49" s="1"/>
  <c r="BC92" i="261" s="1"/>
  <c r="BC55" i="260"/>
  <c r="BC57" i="260" s="1"/>
  <c r="BC60" i="260" s="1"/>
  <c r="BC62" i="260" s="1"/>
  <c r="BC78" i="260" s="1"/>
  <c r="BC79" i="260" s="1"/>
  <c r="BC8" i="295" s="1"/>
  <c r="BC50" i="260"/>
  <c r="BC51" i="260" s="1"/>
  <c r="BC52" i="260" s="1"/>
  <c r="BC37" i="252" s="1"/>
  <c r="BD46" i="265" l="1"/>
  <c r="AF85" i="261"/>
  <c r="AF86" i="261" s="1"/>
  <c r="AF13" i="277"/>
  <c r="AF14" i="277" s="1"/>
  <c r="AF93" i="261"/>
  <c r="AF94" i="261" s="1"/>
  <c r="BC70" i="261"/>
  <c r="BB10" i="295"/>
  <c r="BB12" i="295" s="1"/>
  <c r="BC63" i="260"/>
  <c r="BC46" i="49" s="1"/>
  <c r="BC47" i="49" s="1"/>
  <c r="BC73" i="260"/>
  <c r="BC74" i="260" s="1"/>
  <c r="BD71" i="260" s="1"/>
  <c r="BD29" i="260" s="1"/>
  <c r="BD30" i="260" s="1"/>
  <c r="BC21" i="283"/>
  <c r="BC33" i="283"/>
  <c r="BC40" i="283"/>
  <c r="BA41" i="283" s="1"/>
  <c r="F43" i="283" s="1"/>
  <c r="BC10" i="283"/>
  <c r="AF21" i="277" l="1"/>
  <c r="AF57" i="277"/>
  <c r="AF59" i="277" s="1"/>
  <c r="AG91" i="261"/>
  <c r="AG69" i="261" s="1"/>
  <c r="AG71" i="261" s="1"/>
  <c r="AG74" i="261" s="1"/>
  <c r="AF32" i="49"/>
  <c r="AF33" i="49" s="1"/>
  <c r="AF25" i="49"/>
  <c r="AF26" i="49" s="1"/>
  <c r="AG83" i="261"/>
  <c r="BC21" i="295"/>
  <c r="BC28" i="49"/>
  <c r="BD41" i="260"/>
  <c r="BD31" i="260"/>
  <c r="BD27" i="265"/>
  <c r="BD28" i="265" s="1"/>
  <c r="BD31" i="265" s="1"/>
  <c r="BD32" i="265" s="1"/>
  <c r="BD77" i="260"/>
  <c r="AG14" i="261" l="1"/>
  <c r="AG65" i="261"/>
  <c r="AG20" i="295"/>
  <c r="AG22" i="295" s="1"/>
  <c r="AG24" i="295" s="1"/>
  <c r="AF35" i="49"/>
  <c r="BD45" i="49"/>
  <c r="BD13" i="49"/>
  <c r="BD48" i="265"/>
  <c r="BD33" i="265"/>
  <c r="BD41" i="49" s="1"/>
  <c r="BD43" i="49" s="1"/>
  <c r="AG25" i="295" l="1"/>
  <c r="AG31" i="295" s="1"/>
  <c r="AG33" i="295" s="1"/>
  <c r="AG26" i="295"/>
  <c r="AG40" i="295" s="1"/>
  <c r="AG41" i="295" s="1"/>
  <c r="BD15" i="49"/>
  <c r="BD39" i="265" s="1"/>
  <c r="BD40" i="265" s="1"/>
  <c r="BD9" i="283"/>
  <c r="BD32" i="283"/>
  <c r="BD16" i="283"/>
  <c r="BD18" i="283" s="1"/>
  <c r="BD37" i="260" s="1"/>
  <c r="BD38" i="260" s="1"/>
  <c r="BD40" i="260" s="1"/>
  <c r="BD42" i="260" s="1"/>
  <c r="BD45" i="260" s="1"/>
  <c r="BD46" i="260" s="1"/>
  <c r="BD39" i="283"/>
  <c r="AG43" i="295" l="1"/>
  <c r="AG45" i="295" s="1"/>
  <c r="AG48" i="295"/>
  <c r="AG50" i="49" s="1"/>
  <c r="AG34" i="295"/>
  <c r="AG49" i="49" s="1"/>
  <c r="AG58" i="295"/>
  <c r="BD41" i="265"/>
  <c r="BD17" i="49" s="1"/>
  <c r="BD18" i="49" s="1"/>
  <c r="BD70" i="261" s="1"/>
  <c r="BD47" i="265"/>
  <c r="BD49" i="265" s="1"/>
  <c r="BD29" i="49" s="1"/>
  <c r="BD55" i="260"/>
  <c r="BD57" i="260" s="1"/>
  <c r="BD60" i="260" s="1"/>
  <c r="BD62" i="260" s="1"/>
  <c r="BD73" i="260" s="1"/>
  <c r="BD74" i="260" s="1"/>
  <c r="BD50" i="260"/>
  <c r="BD51" i="260" s="1"/>
  <c r="BD52" i="260" s="1"/>
  <c r="BD37" i="252" s="1"/>
  <c r="BD92" i="261" l="1"/>
  <c r="AG47" i="295"/>
  <c r="AG49" i="295" s="1"/>
  <c r="AG51" i="49" s="1"/>
  <c r="AG52" i="49" s="1"/>
  <c r="AG30" i="277" s="1"/>
  <c r="AG59" i="295"/>
  <c r="AG60" i="295" s="1"/>
  <c r="BE46" i="265"/>
  <c r="BD63" i="260"/>
  <c r="BD46" i="49" s="1"/>
  <c r="BD47" i="49" s="1"/>
  <c r="BD78" i="260"/>
  <c r="BD79" i="260" s="1"/>
  <c r="BE71" i="260"/>
  <c r="BE29" i="260" s="1"/>
  <c r="BE30" i="260" s="1"/>
  <c r="BD28" i="49"/>
  <c r="AG24" i="49" l="1"/>
  <c r="AH57" i="295"/>
  <c r="AG15" i="261"/>
  <c r="BD40" i="283"/>
  <c r="BD8" i="295"/>
  <c r="BD21" i="295"/>
  <c r="BD10" i="283"/>
  <c r="BD33" i="283"/>
  <c r="BD21" i="283"/>
  <c r="BE77" i="260"/>
  <c r="BE41" i="260"/>
  <c r="BE31" i="260"/>
  <c r="BE27" i="265"/>
  <c r="BE28" i="265" s="1"/>
  <c r="BE31" i="265" s="1"/>
  <c r="BE32" i="265" s="1"/>
  <c r="AG16" i="261" l="1"/>
  <c r="AG18" i="261" s="1"/>
  <c r="AG20" i="261" s="1"/>
  <c r="AH13" i="295"/>
  <c r="AH14" i="295" s="1"/>
  <c r="AH16" i="295" s="1"/>
  <c r="AH39" i="295"/>
  <c r="BC10" i="295"/>
  <c r="BC12" i="295" s="1"/>
  <c r="BE45" i="49"/>
  <c r="BE13" i="49"/>
  <c r="BE48" i="265"/>
  <c r="BE33" i="265"/>
  <c r="BE41" i="49" s="1"/>
  <c r="BE43" i="49" s="1"/>
  <c r="AG11" i="277" l="1"/>
  <c r="AG35" i="261"/>
  <c r="AG36" i="261" s="1"/>
  <c r="AG21" i="261"/>
  <c r="AG55" i="49" s="1"/>
  <c r="AG56" i="49" s="1"/>
  <c r="AG59" i="49" s="1"/>
  <c r="AG30" i="49"/>
  <c r="AH33" i="261"/>
  <c r="AH19" i="261" s="1"/>
  <c r="AH17" i="295"/>
  <c r="AH32" i="295" s="1"/>
  <c r="AH18" i="295"/>
  <c r="AH44" i="295" s="1"/>
  <c r="BE15" i="49"/>
  <c r="BE39" i="265" s="1"/>
  <c r="BE40" i="265" s="1"/>
  <c r="BE32" i="283"/>
  <c r="BE16" i="283"/>
  <c r="BE18" i="283" s="1"/>
  <c r="BE37" i="260" s="1"/>
  <c r="BE38" i="260" s="1"/>
  <c r="BE40" i="260" s="1"/>
  <c r="BE42" i="260" s="1"/>
  <c r="BE45" i="260" s="1"/>
  <c r="BE46" i="260" s="1"/>
  <c r="BE9" i="283"/>
  <c r="BE39" i="283"/>
  <c r="AG66" i="261" l="1"/>
  <c r="AG67" i="261" s="1"/>
  <c r="AG73" i="261" s="1"/>
  <c r="AG75" i="261" s="1"/>
  <c r="AG84" i="261"/>
  <c r="BE47" i="265"/>
  <c r="BE49" i="265" s="1"/>
  <c r="BE29" i="49" s="1"/>
  <c r="BE41" i="265"/>
  <c r="BE17" i="49" s="1"/>
  <c r="BE18" i="49" s="1"/>
  <c r="BE92" i="261" s="1"/>
  <c r="BE55" i="260"/>
  <c r="BE57" i="260" s="1"/>
  <c r="BE60" i="260" s="1"/>
  <c r="BE62" i="260" s="1"/>
  <c r="BE78" i="260" s="1"/>
  <c r="BE79" i="260" s="1"/>
  <c r="BE8" i="295" s="1"/>
  <c r="BE50" i="260"/>
  <c r="BE51" i="260" s="1"/>
  <c r="BE52" i="260" s="1"/>
  <c r="BE37" i="252" s="1"/>
  <c r="AG13" i="277" l="1"/>
  <c r="AG14" i="277" s="1"/>
  <c r="AG93" i="261"/>
  <c r="AG94" i="261" s="1"/>
  <c r="AG85" i="261"/>
  <c r="AG86" i="261" s="1"/>
  <c r="BE70" i="261"/>
  <c r="BF46" i="265"/>
  <c r="BD10" i="295"/>
  <c r="BD12" i="295" s="1"/>
  <c r="BE73" i="260"/>
  <c r="BE74" i="260" s="1"/>
  <c r="BF71" i="260" s="1"/>
  <c r="BF29" i="260" s="1"/>
  <c r="BF30" i="260" s="1"/>
  <c r="BE63" i="260"/>
  <c r="BE46" i="49" s="1"/>
  <c r="BE47" i="49" s="1"/>
  <c r="BE40" i="283"/>
  <c r="BE21" i="283"/>
  <c r="BE33" i="283"/>
  <c r="BE10" i="283"/>
  <c r="AH83" i="261" l="1"/>
  <c r="AG25" i="49"/>
  <c r="AG26" i="49" s="1"/>
  <c r="AH91" i="261"/>
  <c r="AH69" i="261" s="1"/>
  <c r="AH71" i="261" s="1"/>
  <c r="AH74" i="261" s="1"/>
  <c r="AG32" i="49"/>
  <c r="AG33" i="49" s="1"/>
  <c r="AG57" i="277"/>
  <c r="AG59" i="277" s="1"/>
  <c r="AG21" i="277"/>
  <c r="BE21" i="295"/>
  <c r="BE28" i="49"/>
  <c r="BF77" i="260"/>
  <c r="BF41" i="260"/>
  <c r="BF27" i="265"/>
  <c r="BF28" i="265" s="1"/>
  <c r="BF31" i="265" s="1"/>
  <c r="BF32" i="265" s="1"/>
  <c r="BF31" i="260"/>
  <c r="AG35" i="49" l="1"/>
  <c r="AH14" i="261"/>
  <c r="AH20" i="295"/>
  <c r="AH22" i="295" s="1"/>
  <c r="AH24" i="295" s="1"/>
  <c r="AH65" i="261"/>
  <c r="BF48" i="265"/>
  <c r="BF33" i="265"/>
  <c r="BF41" i="49" s="1"/>
  <c r="BF43" i="49" s="1"/>
  <c r="BF45" i="49"/>
  <c r="BF13" i="49"/>
  <c r="AH25" i="295" l="1"/>
  <c r="AH31" i="295" s="1"/>
  <c r="AH33" i="295" s="1"/>
  <c r="AH26" i="295"/>
  <c r="AH40" i="295" s="1"/>
  <c r="AH41" i="295" s="1"/>
  <c r="BF15" i="49"/>
  <c r="BF39" i="265" s="1"/>
  <c r="BF40" i="265" s="1"/>
  <c r="BF39" i="283"/>
  <c r="BF32" i="283"/>
  <c r="BF9" i="283"/>
  <c r="BF16" i="283"/>
  <c r="BF18" i="283" s="1"/>
  <c r="BF37" i="260" s="1"/>
  <c r="BF38" i="260" s="1"/>
  <c r="BF40" i="260" s="1"/>
  <c r="BF42" i="260" s="1"/>
  <c r="BF45" i="260" s="1"/>
  <c r="BF46" i="260" s="1"/>
  <c r="AH43" i="295" l="1"/>
  <c r="AH45" i="295" s="1"/>
  <c r="AH48" i="295"/>
  <c r="AH50" i="49" s="1"/>
  <c r="AH58" i="295"/>
  <c r="AH34" i="295"/>
  <c r="AH49" i="49" s="1"/>
  <c r="BF47" i="265"/>
  <c r="BF49" i="265" s="1"/>
  <c r="BG46" i="265" s="1"/>
  <c r="BF41" i="265"/>
  <c r="BF17" i="49" s="1"/>
  <c r="BF18" i="49" s="1"/>
  <c r="BF70" i="261" s="1"/>
  <c r="BF55" i="260"/>
  <c r="BF57" i="260" s="1"/>
  <c r="BF60" i="260" s="1"/>
  <c r="BF62" i="260" s="1"/>
  <c r="BF63" i="260" s="1"/>
  <c r="BF46" i="49" s="1"/>
  <c r="BF47" i="49" s="1"/>
  <c r="BF50" i="260"/>
  <c r="BF51" i="260" s="1"/>
  <c r="BF52" i="260" s="1"/>
  <c r="BF37" i="252" s="1"/>
  <c r="AH47" i="295" l="1"/>
  <c r="AH49" i="295" s="1"/>
  <c r="AH51" i="49" s="1"/>
  <c r="AH52" i="49" s="1"/>
  <c r="AH30" i="277" s="1"/>
  <c r="AH59" i="295"/>
  <c r="AH60" i="295" s="1"/>
  <c r="BF29" i="49"/>
  <c r="BF92" i="261"/>
  <c r="BF21" i="295"/>
  <c r="BF78" i="260"/>
  <c r="BF79" i="260" s="1"/>
  <c r="BF73" i="260"/>
  <c r="BF74" i="260" s="1"/>
  <c r="BF28" i="49" s="1"/>
  <c r="AH15" i="261" l="1"/>
  <c r="AH24" i="49"/>
  <c r="AI57" i="295"/>
  <c r="BF21" i="283"/>
  <c r="BF8" i="295"/>
  <c r="BF33" i="283"/>
  <c r="BF10" i="283"/>
  <c r="BF40" i="283"/>
  <c r="BG71" i="260"/>
  <c r="BG29" i="260" s="1"/>
  <c r="BG30" i="260" s="1"/>
  <c r="BG77" i="260" s="1"/>
  <c r="AH16" i="261" l="1"/>
  <c r="AH18" i="261" s="1"/>
  <c r="AH20" i="261" s="1"/>
  <c r="AI39" i="295"/>
  <c r="AI13" i="295"/>
  <c r="AI14" i="295" s="1"/>
  <c r="AI16" i="295" s="1"/>
  <c r="BE10" i="295"/>
  <c r="BE12" i="295" s="1"/>
  <c r="BG27" i="265"/>
  <c r="BG28" i="265" s="1"/>
  <c r="BG31" i="265" s="1"/>
  <c r="BG32" i="265" s="1"/>
  <c r="BG48" i="265" s="1"/>
  <c r="BG41" i="260"/>
  <c r="BG31" i="260"/>
  <c r="BG45" i="49" s="1"/>
  <c r="AH11" i="277" l="1"/>
  <c r="AH35" i="261"/>
  <c r="AH36" i="261" s="1"/>
  <c r="AH21" i="261"/>
  <c r="AH55" i="49" s="1"/>
  <c r="AH56" i="49" s="1"/>
  <c r="AI17" i="295"/>
  <c r="AI32" i="295" s="1"/>
  <c r="AI18" i="295"/>
  <c r="AI44" i="295" s="1"/>
  <c r="AH59" i="49"/>
  <c r="AI33" i="261"/>
  <c r="AI19" i="261" s="1"/>
  <c r="AH30" i="49"/>
  <c r="BG13" i="49"/>
  <c r="BG33" i="265"/>
  <c r="BG41" i="49" s="1"/>
  <c r="BG43" i="49" s="1"/>
  <c r="BG9" i="283" s="1"/>
  <c r="AH66" i="261" l="1"/>
  <c r="AH67" i="261" s="1"/>
  <c r="AH73" i="261" s="1"/>
  <c r="AH75" i="261" s="1"/>
  <c r="AH84" i="261"/>
  <c r="BG15" i="49"/>
  <c r="BG39" i="265" s="1"/>
  <c r="BG40" i="265" s="1"/>
  <c r="BG16" i="283"/>
  <c r="BG18" i="283" s="1"/>
  <c r="BG37" i="260" s="1"/>
  <c r="BG38" i="260" s="1"/>
  <c r="BG40" i="260" s="1"/>
  <c r="BG42" i="260" s="1"/>
  <c r="BG45" i="260" s="1"/>
  <c r="BG46" i="260" s="1"/>
  <c r="BG50" i="260" s="1"/>
  <c r="BG51" i="260" s="1"/>
  <c r="BG52" i="260" s="1"/>
  <c r="BG37" i="252" s="1"/>
  <c r="BG39" i="283"/>
  <c r="BG32" i="283"/>
  <c r="AH93" i="261" l="1"/>
  <c r="AH94" i="261" s="1"/>
  <c r="AH85" i="261"/>
  <c r="AH86" i="261" s="1"/>
  <c r="AH13" i="277"/>
  <c r="AH14" i="277" s="1"/>
  <c r="BG41" i="265"/>
  <c r="BG17" i="49" s="1"/>
  <c r="BG18" i="49" s="1"/>
  <c r="BG47" i="265"/>
  <c r="BG49" i="265" s="1"/>
  <c r="BG29" i="49" s="1"/>
  <c r="BG55" i="260"/>
  <c r="BG57" i="260" s="1"/>
  <c r="BG60" i="260" s="1"/>
  <c r="BG62" i="260" s="1"/>
  <c r="BG78" i="260" s="1"/>
  <c r="BG79" i="260" s="1"/>
  <c r="AH57" i="277" l="1"/>
  <c r="AH59" i="277" s="1"/>
  <c r="AH21" i="277"/>
  <c r="AI83" i="261"/>
  <c r="AH25" i="49"/>
  <c r="AH26" i="49" s="1"/>
  <c r="AH32" i="49"/>
  <c r="AH33" i="49" s="1"/>
  <c r="AI91" i="261"/>
  <c r="AI69" i="261" s="1"/>
  <c r="AI71" i="261" s="1"/>
  <c r="AI74" i="261" s="1"/>
  <c r="BH46" i="265"/>
  <c r="BG92" i="261"/>
  <c r="BG70" i="261"/>
  <c r="BG33" i="283"/>
  <c r="BG8" i="295"/>
  <c r="BG73" i="260"/>
  <c r="BG74" i="260" s="1"/>
  <c r="BH71" i="260" s="1"/>
  <c r="BH29" i="260" s="1"/>
  <c r="BH30" i="260" s="1"/>
  <c r="BH27" i="265" s="1"/>
  <c r="BH28" i="265" s="1"/>
  <c r="BH31" i="265" s="1"/>
  <c r="BH32" i="265" s="1"/>
  <c r="BG10" i="283"/>
  <c r="BG21" i="283"/>
  <c r="BG40" i="283"/>
  <c r="BG63" i="260"/>
  <c r="BG46" i="49" s="1"/>
  <c r="BG47" i="49" s="1"/>
  <c r="AI65" i="261" l="1"/>
  <c r="AI14" i="261"/>
  <c r="AI20" i="295"/>
  <c r="AI22" i="295" s="1"/>
  <c r="AI24" i="295" s="1"/>
  <c r="AH35" i="49"/>
  <c r="BF10" i="295"/>
  <c r="BF12" i="295" s="1"/>
  <c r="BG21" i="295"/>
  <c r="BH41" i="260"/>
  <c r="BH77" i="260"/>
  <c r="BH31" i="260"/>
  <c r="BH13" i="49" s="1"/>
  <c r="BG28" i="49"/>
  <c r="BH48" i="265"/>
  <c r="BH33" i="265"/>
  <c r="BH41" i="49" s="1"/>
  <c r="BH43" i="49" s="1"/>
  <c r="AI26" i="295" l="1"/>
  <c r="AI40" i="295" s="1"/>
  <c r="AI41" i="295" s="1"/>
  <c r="AI25" i="295"/>
  <c r="AI31" i="295" s="1"/>
  <c r="AI33" i="295" s="1"/>
  <c r="BH15" i="49"/>
  <c r="BH39" i="265" s="1"/>
  <c r="BH40" i="265" s="1"/>
  <c r="BH45" i="49"/>
  <c r="BH32" i="283"/>
  <c r="BH39" i="283"/>
  <c r="BH16" i="283"/>
  <c r="BH18" i="283" s="1"/>
  <c r="BH37" i="260" s="1"/>
  <c r="BH38" i="260" s="1"/>
  <c r="BH40" i="260" s="1"/>
  <c r="BH42" i="260" s="1"/>
  <c r="BH45" i="260" s="1"/>
  <c r="BH46" i="260" s="1"/>
  <c r="BH9" i="283"/>
  <c r="AI58" i="295" l="1"/>
  <c r="AI34" i="295"/>
  <c r="AI49" i="49" s="1"/>
  <c r="AI48" i="295"/>
  <c r="AI50" i="49" s="1"/>
  <c r="AI43" i="295"/>
  <c r="AI45" i="295" s="1"/>
  <c r="BH47" i="265"/>
  <c r="BH49" i="265" s="1"/>
  <c r="BH29" i="49" s="1"/>
  <c r="BH41" i="265"/>
  <c r="BH17" i="49" s="1"/>
  <c r="BH18" i="49" s="1"/>
  <c r="BH70" i="261" s="1"/>
  <c r="BH55" i="260"/>
  <c r="BH57" i="260" s="1"/>
  <c r="BH60" i="260" s="1"/>
  <c r="BH62" i="260" s="1"/>
  <c r="BH78" i="260" s="1"/>
  <c r="BH79" i="260" s="1"/>
  <c r="BH8" i="295" s="1"/>
  <c r="BH50" i="260"/>
  <c r="BH51" i="260" s="1"/>
  <c r="BH52" i="260" s="1"/>
  <c r="BH37" i="252" s="1"/>
  <c r="AI47" i="295" l="1"/>
  <c r="AI49" i="295" s="1"/>
  <c r="AI51" i="49" s="1"/>
  <c r="AI52" i="49" s="1"/>
  <c r="AI30" i="277" s="1"/>
  <c r="AI59" i="295"/>
  <c r="AI60" i="295" s="1"/>
  <c r="BI46" i="265"/>
  <c r="BH92" i="261"/>
  <c r="BG10" i="295"/>
  <c r="BG12" i="295" s="1"/>
  <c r="BH63" i="260"/>
  <c r="BH46" i="49" s="1"/>
  <c r="BH47" i="49" s="1"/>
  <c r="BH73" i="260"/>
  <c r="BH74" i="260" s="1"/>
  <c r="BI71" i="260" s="1"/>
  <c r="BI29" i="260" s="1"/>
  <c r="BI30" i="260" s="1"/>
  <c r="BH10" i="283"/>
  <c r="BH21" i="283"/>
  <c r="BH40" i="283"/>
  <c r="BH33" i="283"/>
  <c r="AI15" i="261" l="1"/>
  <c r="AI24" i="49"/>
  <c r="AJ57" i="295"/>
  <c r="BH21" i="295"/>
  <c r="BH28" i="49"/>
  <c r="BI41" i="260"/>
  <c r="BI27" i="265"/>
  <c r="BI28" i="265" s="1"/>
  <c r="BI31" i="265" s="1"/>
  <c r="BI32" i="265" s="1"/>
  <c r="BI77" i="260"/>
  <c r="BI31" i="260"/>
  <c r="AI16" i="261" l="1"/>
  <c r="AI18" i="261" s="1"/>
  <c r="AI20" i="261" s="1"/>
  <c r="AJ13" i="295"/>
  <c r="AJ14" i="295" s="1"/>
  <c r="AJ16" i="295" s="1"/>
  <c r="AJ39" i="295"/>
  <c r="BI33" i="265"/>
  <c r="BI41" i="49" s="1"/>
  <c r="BI43" i="49" s="1"/>
  <c r="BI48" i="265"/>
  <c r="BI13" i="49"/>
  <c r="BI45" i="49"/>
  <c r="AI11" i="277" l="1"/>
  <c r="AI21" i="261"/>
  <c r="AI55" i="49" s="1"/>
  <c r="AI56" i="49" s="1"/>
  <c r="AI35" i="261"/>
  <c r="AI36" i="261" s="1"/>
  <c r="AJ18" i="295"/>
  <c r="AJ44" i="295" s="1"/>
  <c r="AJ17" i="295"/>
  <c r="AJ32" i="295" s="1"/>
  <c r="AJ33" i="261"/>
  <c r="AJ19" i="261" s="1"/>
  <c r="AI30" i="49"/>
  <c r="AI59" i="49"/>
  <c r="BI15" i="49"/>
  <c r="BI39" i="265" s="1"/>
  <c r="BI40" i="265" s="1"/>
  <c r="BI32" i="283"/>
  <c r="BI9" i="283"/>
  <c r="BI16" i="283"/>
  <c r="BI18" i="283" s="1"/>
  <c r="BI37" i="260" s="1"/>
  <c r="BI38" i="260" s="1"/>
  <c r="BI40" i="260" s="1"/>
  <c r="BI42" i="260" s="1"/>
  <c r="BI45" i="260" s="1"/>
  <c r="BI46" i="260" s="1"/>
  <c r="BI39" i="283"/>
  <c r="AI66" i="261" l="1"/>
  <c r="AI67" i="261" s="1"/>
  <c r="AI73" i="261" s="1"/>
  <c r="AI75" i="261" s="1"/>
  <c r="AI84" i="261"/>
  <c r="BI41" i="265"/>
  <c r="BI17" i="49" s="1"/>
  <c r="BI18" i="49" s="1"/>
  <c r="BI92" i="261" s="1"/>
  <c r="BI47" i="265"/>
  <c r="BI49" i="265" s="1"/>
  <c r="BI29" i="49" s="1"/>
  <c r="BI55" i="260"/>
  <c r="BI57" i="260" s="1"/>
  <c r="BI60" i="260" s="1"/>
  <c r="BI62" i="260" s="1"/>
  <c r="BI73" i="260" s="1"/>
  <c r="BI74" i="260" s="1"/>
  <c r="BI50" i="260"/>
  <c r="BI51" i="260" s="1"/>
  <c r="BI52" i="260" s="1"/>
  <c r="BI37" i="252" s="1"/>
  <c r="AI13" i="277" l="1"/>
  <c r="AI14" i="277" s="1"/>
  <c r="AI93" i="261"/>
  <c r="AI94" i="261" s="1"/>
  <c r="AI85" i="261"/>
  <c r="AI86" i="261" s="1"/>
  <c r="BI70" i="261"/>
  <c r="BJ46" i="265"/>
  <c r="BI63" i="260"/>
  <c r="BI46" i="49" s="1"/>
  <c r="BI47" i="49" s="1"/>
  <c r="BI78" i="260"/>
  <c r="BI79" i="260" s="1"/>
  <c r="BJ71" i="260"/>
  <c r="BJ29" i="260" s="1"/>
  <c r="BJ30" i="260" s="1"/>
  <c r="BI28" i="49"/>
  <c r="AI25" i="49" l="1"/>
  <c r="AI26" i="49" s="1"/>
  <c r="AJ83" i="261"/>
  <c r="AJ91" i="261"/>
  <c r="AJ69" i="261" s="1"/>
  <c r="AJ71" i="261" s="1"/>
  <c r="AJ74" i="261" s="1"/>
  <c r="AI32" i="49"/>
  <c r="AI33" i="49" s="1"/>
  <c r="AI57" i="277"/>
  <c r="AI59" i="277" s="1"/>
  <c r="AI21" i="277"/>
  <c r="BI40" i="283"/>
  <c r="BI8" i="295"/>
  <c r="BI21" i="295"/>
  <c r="BI33" i="283"/>
  <c r="BI10" i="283"/>
  <c r="BI21" i="283"/>
  <c r="BJ77" i="260"/>
  <c r="BJ31" i="260"/>
  <c r="BJ41" i="260"/>
  <c r="BJ27" i="265"/>
  <c r="BJ28" i="265" s="1"/>
  <c r="BJ31" i="265" s="1"/>
  <c r="BJ32" i="265" s="1"/>
  <c r="AJ14" i="261" l="1"/>
  <c r="AJ65" i="261"/>
  <c r="AJ20" i="295"/>
  <c r="AJ22" i="295" s="1"/>
  <c r="AJ24" i="295" s="1"/>
  <c r="AI35" i="49"/>
  <c r="BH10" i="295"/>
  <c r="BH12" i="295" s="1"/>
  <c r="BJ45" i="49"/>
  <c r="BJ13" i="49"/>
  <c r="BJ33" i="265"/>
  <c r="BJ41" i="49" s="1"/>
  <c r="BJ43" i="49" s="1"/>
  <c r="BJ48" i="265"/>
  <c r="AJ26" i="295" l="1"/>
  <c r="AJ40" i="295" s="1"/>
  <c r="AJ41" i="295" s="1"/>
  <c r="AJ25" i="295"/>
  <c r="AJ31" i="295" s="1"/>
  <c r="AJ33" i="295" s="1"/>
  <c r="BJ15" i="49"/>
  <c r="BJ39" i="265" s="1"/>
  <c r="BJ40" i="265" s="1"/>
  <c r="BJ16" i="283"/>
  <c r="BJ18" i="283" s="1"/>
  <c r="BJ37" i="260" s="1"/>
  <c r="BJ38" i="260" s="1"/>
  <c r="BJ40" i="260" s="1"/>
  <c r="BJ42" i="260" s="1"/>
  <c r="BJ45" i="260" s="1"/>
  <c r="BJ46" i="260" s="1"/>
  <c r="BJ32" i="283"/>
  <c r="BJ39" i="283"/>
  <c r="BJ9" i="283"/>
  <c r="AJ34" i="295" l="1"/>
  <c r="AJ49" i="49" s="1"/>
  <c r="AJ58" i="295"/>
  <c r="AJ43" i="295"/>
  <c r="AJ45" i="295" s="1"/>
  <c r="AJ48" i="295"/>
  <c r="AJ50" i="49" s="1"/>
  <c r="BJ41" i="265"/>
  <c r="BJ17" i="49" s="1"/>
  <c r="BJ18" i="49" s="1"/>
  <c r="BJ70" i="261" s="1"/>
  <c r="BJ47" i="265"/>
  <c r="BJ49" i="265" s="1"/>
  <c r="BJ29" i="49" s="1"/>
  <c r="BJ55" i="260"/>
  <c r="BJ57" i="260" s="1"/>
  <c r="BJ60" i="260" s="1"/>
  <c r="BJ62" i="260" s="1"/>
  <c r="BJ73" i="260" s="1"/>
  <c r="BJ74" i="260" s="1"/>
  <c r="BJ50" i="260"/>
  <c r="BJ51" i="260" s="1"/>
  <c r="BJ52" i="260" s="1"/>
  <c r="BJ37" i="252" s="1"/>
  <c r="BJ92" i="261" l="1"/>
  <c r="AJ47" i="295"/>
  <c r="AJ49" i="295" s="1"/>
  <c r="AJ51" i="49" s="1"/>
  <c r="AJ52" i="49" s="1"/>
  <c r="AJ30" i="277" s="1"/>
  <c r="AJ59" i="295"/>
  <c r="AJ60" i="295" s="1"/>
  <c r="BK46" i="265"/>
  <c r="BJ78" i="260"/>
  <c r="BJ79" i="260" s="1"/>
  <c r="BJ63" i="260"/>
  <c r="BJ46" i="49" s="1"/>
  <c r="BJ47" i="49" s="1"/>
  <c r="BK71" i="260"/>
  <c r="BK29" i="260" s="1"/>
  <c r="BK30" i="260" s="1"/>
  <c r="BJ28" i="49"/>
  <c r="AK57" i="295" l="1"/>
  <c r="AJ24" i="49"/>
  <c r="AJ15" i="261"/>
  <c r="BJ10" i="283"/>
  <c r="BJ8" i="295"/>
  <c r="BJ21" i="295"/>
  <c r="BJ33" i="283"/>
  <c r="BJ40" i="283"/>
  <c r="BJ21" i="283"/>
  <c r="BK31" i="260"/>
  <c r="BK77" i="260"/>
  <c r="BK41" i="260"/>
  <c r="BK27" i="265"/>
  <c r="BK28" i="265" s="1"/>
  <c r="BK31" i="265" s="1"/>
  <c r="BK32" i="265" s="1"/>
  <c r="AJ16" i="261" l="1"/>
  <c r="AJ18" i="261" s="1"/>
  <c r="AJ20" i="261" s="1"/>
  <c r="AK13" i="295"/>
  <c r="AK14" i="295" s="1"/>
  <c r="AK16" i="295" s="1"/>
  <c r="AK39" i="295"/>
  <c r="BI10" i="295"/>
  <c r="BI12" i="295" s="1"/>
  <c r="BK33" i="265"/>
  <c r="BK41" i="49" s="1"/>
  <c r="BK43" i="49" s="1"/>
  <c r="BK48" i="265"/>
  <c r="BK13" i="49"/>
  <c r="BK45" i="49"/>
  <c r="AJ11" i="277" l="1"/>
  <c r="AJ35" i="261"/>
  <c r="AJ36" i="261" s="1"/>
  <c r="AK33" i="261" s="1"/>
  <c r="AK19" i="261" s="1"/>
  <c r="AJ21" i="261"/>
  <c r="AJ55" i="49" s="1"/>
  <c r="AJ56" i="49" s="1"/>
  <c r="AJ59" i="49" s="1"/>
  <c r="AK17" i="295"/>
  <c r="AK32" i="295" s="1"/>
  <c r="AK18" i="295"/>
  <c r="AK44" i="295" s="1"/>
  <c r="AJ30" i="49"/>
  <c r="BK15" i="49"/>
  <c r="BK39" i="265" s="1"/>
  <c r="BK40" i="265" s="1"/>
  <c r="BK9" i="283"/>
  <c r="BK39" i="283"/>
  <c r="BK32" i="283"/>
  <c r="BK16" i="283"/>
  <c r="BK18" i="283" s="1"/>
  <c r="BK37" i="260" s="1"/>
  <c r="BK38" i="260" s="1"/>
  <c r="BK40" i="260" s="1"/>
  <c r="BK42" i="260" s="1"/>
  <c r="BK45" i="260" s="1"/>
  <c r="BK46" i="260" s="1"/>
  <c r="AJ84" i="261" l="1"/>
  <c r="AJ66" i="261"/>
  <c r="AJ67" i="261" s="1"/>
  <c r="AJ73" i="261" s="1"/>
  <c r="AJ75" i="261" s="1"/>
  <c r="BK41" i="265"/>
  <c r="BK17" i="49" s="1"/>
  <c r="BK18" i="49" s="1"/>
  <c r="BK70" i="261" s="1"/>
  <c r="BK47" i="265"/>
  <c r="BK49" i="265" s="1"/>
  <c r="BK29" i="49" s="1"/>
  <c r="BK55" i="260"/>
  <c r="BK57" i="260" s="1"/>
  <c r="BK60" i="260" s="1"/>
  <c r="BK62" i="260" s="1"/>
  <c r="BK63" i="260" s="1"/>
  <c r="BK46" i="49" s="1"/>
  <c r="BK47" i="49" s="1"/>
  <c r="BK50" i="260"/>
  <c r="BK51" i="260" s="1"/>
  <c r="BK52" i="260" s="1"/>
  <c r="BK37" i="252" s="1"/>
  <c r="BK92" i="261" l="1"/>
  <c r="AJ85" i="261"/>
  <c r="AJ86" i="261" s="1"/>
  <c r="AJ93" i="261"/>
  <c r="AJ94" i="261" s="1"/>
  <c r="AJ13" i="277"/>
  <c r="AJ14" i="277" s="1"/>
  <c r="BL46" i="265"/>
  <c r="BK21" i="295"/>
  <c r="BK73" i="260"/>
  <c r="BK74" i="260" s="1"/>
  <c r="BK28" i="49" s="1"/>
  <c r="BK78" i="260"/>
  <c r="BK79" i="260" s="1"/>
  <c r="AJ57" i="277" l="1"/>
  <c r="AJ59" i="277" s="1"/>
  <c r="AJ21" i="277"/>
  <c r="AJ32" i="49"/>
  <c r="AJ33" i="49" s="1"/>
  <c r="AK91" i="261"/>
  <c r="AK69" i="261" s="1"/>
  <c r="AK71" i="261" s="1"/>
  <c r="AK74" i="261" s="1"/>
  <c r="AJ25" i="49"/>
  <c r="AJ26" i="49" s="1"/>
  <c r="AJ35" i="49" s="1"/>
  <c r="AK83" i="261"/>
  <c r="BK10" i="283"/>
  <c r="BK8" i="295"/>
  <c r="BL71" i="260"/>
  <c r="BL29" i="260" s="1"/>
  <c r="BL30" i="260" s="1"/>
  <c r="BL77" i="260" s="1"/>
  <c r="BK40" i="283"/>
  <c r="BK21" i="283"/>
  <c r="BK33" i="283"/>
  <c r="AK14" i="261" l="1"/>
  <c r="AK65" i="261"/>
  <c r="AK20" i="295"/>
  <c r="AK22" i="295" s="1"/>
  <c r="AK24" i="295" s="1"/>
  <c r="BJ10" i="295"/>
  <c r="BJ12" i="295" s="1"/>
  <c r="BL27" i="265"/>
  <c r="BL28" i="265" s="1"/>
  <c r="BL31" i="265" s="1"/>
  <c r="BL32" i="265" s="1"/>
  <c r="BL33" i="265" s="1"/>
  <c r="BL41" i="49" s="1"/>
  <c r="BL43" i="49" s="1"/>
  <c r="BL41" i="260"/>
  <c r="BL31" i="260"/>
  <c r="BL45" i="49" s="1"/>
  <c r="AK25" i="295" l="1"/>
  <c r="AK31" i="295" s="1"/>
  <c r="AK33" i="295" s="1"/>
  <c r="AK26" i="295"/>
  <c r="AK40" i="295" s="1"/>
  <c r="AK41" i="295" s="1"/>
  <c r="BL48" i="265"/>
  <c r="BL13" i="49"/>
  <c r="BL39" i="283"/>
  <c r="BL9" i="283"/>
  <c r="BL32" i="283"/>
  <c r="BL16" i="283"/>
  <c r="BL18" i="283" s="1"/>
  <c r="BL37" i="260" s="1"/>
  <c r="BL38" i="260" s="1"/>
  <c r="BL40" i="260" s="1"/>
  <c r="BL42" i="260" s="1"/>
  <c r="BL45" i="260" s="1"/>
  <c r="BL46" i="260" s="1"/>
  <c r="AK43" i="295" l="1"/>
  <c r="AK45" i="295" s="1"/>
  <c r="AK48" i="295"/>
  <c r="AK50" i="49" s="1"/>
  <c r="AK34" i="295"/>
  <c r="AK49" i="49" s="1"/>
  <c r="AK58" i="295"/>
  <c r="BL15" i="49"/>
  <c r="BL39" i="265" s="1"/>
  <c r="BL40" i="265" s="1"/>
  <c r="BL55" i="260"/>
  <c r="BL57" i="260" s="1"/>
  <c r="BL60" i="260" s="1"/>
  <c r="BL62" i="260" s="1"/>
  <c r="BL78" i="260" s="1"/>
  <c r="BL79" i="260" s="1"/>
  <c r="BL8" i="295" s="1"/>
  <c r="BL50" i="260"/>
  <c r="BL51" i="260" s="1"/>
  <c r="BL52" i="260" s="1"/>
  <c r="BL37" i="252" s="1"/>
  <c r="AK59" i="295" l="1"/>
  <c r="AK60" i="295" s="1"/>
  <c r="AK47" i="295"/>
  <c r="AK49" i="295" s="1"/>
  <c r="AK51" i="49" s="1"/>
  <c r="AK52" i="49" s="1"/>
  <c r="AK30" i="277" s="1"/>
  <c r="BL41" i="265"/>
  <c r="BL17" i="49" s="1"/>
  <c r="BL18" i="49" s="1"/>
  <c r="BL47" i="265"/>
  <c r="BL49" i="265" s="1"/>
  <c r="BL29" i="49" s="1"/>
  <c r="BK10" i="295"/>
  <c r="BK12" i="295" s="1"/>
  <c r="BL73" i="260"/>
  <c r="BL74" i="260" s="1"/>
  <c r="BM71" i="260" s="1"/>
  <c r="BM29" i="260" s="1"/>
  <c r="BM30" i="260" s="1"/>
  <c r="BL63" i="260"/>
  <c r="BL46" i="49" s="1"/>
  <c r="BL47" i="49" s="1"/>
  <c r="BL33" i="283"/>
  <c r="BL40" i="283"/>
  <c r="BL21" i="283"/>
  <c r="BL10" i="283"/>
  <c r="AK15" i="261" l="1"/>
  <c r="BM46" i="265"/>
  <c r="AL57" i="295"/>
  <c r="AK24" i="49"/>
  <c r="BL92" i="261"/>
  <c r="BL70" i="261"/>
  <c r="BL21" i="295"/>
  <c r="BL28" i="49"/>
  <c r="BM77" i="260"/>
  <c r="BM41" i="260"/>
  <c r="BM31" i="260"/>
  <c r="BM27" i="265"/>
  <c r="BM28" i="265" s="1"/>
  <c r="BM31" i="265" s="1"/>
  <c r="BM32" i="265" s="1"/>
  <c r="AK16" i="261" l="1"/>
  <c r="AK18" i="261" s="1"/>
  <c r="AK20" i="261" s="1"/>
  <c r="AL39" i="295"/>
  <c r="AL13" i="295"/>
  <c r="AL14" i="295" s="1"/>
  <c r="AL16" i="295" s="1"/>
  <c r="BM48" i="265"/>
  <c r="BM33" i="265"/>
  <c r="BM41" i="49" s="1"/>
  <c r="BM43" i="49" s="1"/>
  <c r="BM45" i="49"/>
  <c r="BM13" i="49"/>
  <c r="AK11" i="277" l="1"/>
  <c r="AK35" i="261"/>
  <c r="AK36" i="261" s="1"/>
  <c r="AK21" i="261"/>
  <c r="AK55" i="49" s="1"/>
  <c r="AK56" i="49" s="1"/>
  <c r="AL18" i="295"/>
  <c r="AL44" i="295" s="1"/>
  <c r="AL17" i="295"/>
  <c r="AL32" i="295" s="1"/>
  <c r="AK59" i="49"/>
  <c r="AL33" i="261"/>
  <c r="AL19" i="261" s="1"/>
  <c r="AK30" i="49"/>
  <c r="BM15" i="49"/>
  <c r="BM39" i="265" s="1"/>
  <c r="BM40" i="265" s="1"/>
  <c r="BM47" i="265" s="1"/>
  <c r="BM49" i="265" s="1"/>
  <c r="BM32" i="283"/>
  <c r="BM9" i="283"/>
  <c r="BM16" i="283"/>
  <c r="BM18" i="283" s="1"/>
  <c r="BM37" i="260" s="1"/>
  <c r="BM38" i="260" s="1"/>
  <c r="BM40" i="260" s="1"/>
  <c r="BM42" i="260" s="1"/>
  <c r="BM45" i="260" s="1"/>
  <c r="BM46" i="260" s="1"/>
  <c r="BM39" i="283"/>
  <c r="AK66" i="261" l="1"/>
  <c r="AK67" i="261" s="1"/>
  <c r="AK73" i="261" s="1"/>
  <c r="AK75" i="261" s="1"/>
  <c r="AK84" i="261"/>
  <c r="BM41" i="265"/>
  <c r="BM17" i="49" s="1"/>
  <c r="BM18" i="49" s="1"/>
  <c r="BM70" i="261" s="1"/>
  <c r="BM55" i="260"/>
  <c r="BM57" i="260" s="1"/>
  <c r="BM60" i="260" s="1"/>
  <c r="BM62" i="260" s="1"/>
  <c r="BM63" i="260" s="1"/>
  <c r="BM46" i="49" s="1"/>
  <c r="BM47" i="49" s="1"/>
  <c r="BM50" i="260"/>
  <c r="BM51" i="260" s="1"/>
  <c r="BM52" i="260" s="1"/>
  <c r="BM37" i="252" s="1"/>
  <c r="BM29" i="49"/>
  <c r="BN46" i="265"/>
  <c r="AK85" i="261" l="1"/>
  <c r="AK86" i="261" s="1"/>
  <c r="AK13" i="277"/>
  <c r="AK14" i="277" s="1"/>
  <c r="AK93" i="261"/>
  <c r="AK94" i="261" s="1"/>
  <c r="BM92" i="261"/>
  <c r="BM21" i="295"/>
  <c r="BM73" i="260"/>
  <c r="BM74" i="260" s="1"/>
  <c r="BN71" i="260" s="1"/>
  <c r="BN29" i="260" s="1"/>
  <c r="BN30" i="260" s="1"/>
  <c r="BM78" i="260"/>
  <c r="BM79" i="260" s="1"/>
  <c r="AL91" i="261" l="1"/>
  <c r="AL69" i="261" s="1"/>
  <c r="AL71" i="261" s="1"/>
  <c r="AL74" i="261" s="1"/>
  <c r="AK32" i="49"/>
  <c r="AK33" i="49" s="1"/>
  <c r="AK21" i="277"/>
  <c r="AK57" i="277"/>
  <c r="AK59" i="277" s="1"/>
  <c r="AK25" i="49"/>
  <c r="AK26" i="49" s="1"/>
  <c r="AK35" i="49" s="1"/>
  <c r="AL83" i="261"/>
  <c r="BM33" i="283"/>
  <c r="BM8" i="295"/>
  <c r="BM21" i="283"/>
  <c r="BM10" i="283"/>
  <c r="BM40" i="283"/>
  <c r="BM28" i="49"/>
  <c r="BN27" i="265"/>
  <c r="BN28" i="265" s="1"/>
  <c r="BN31" i="265" s="1"/>
  <c r="BN32" i="265" s="1"/>
  <c r="BN41" i="260"/>
  <c r="BN31" i="260"/>
  <c r="BN77" i="260"/>
  <c r="AL14" i="261" l="1"/>
  <c r="AL20" i="295"/>
  <c r="AL22" i="295" s="1"/>
  <c r="AL24" i="295" s="1"/>
  <c r="AL65" i="261"/>
  <c r="BL10" i="295"/>
  <c r="BL12" i="295" s="1"/>
  <c r="BN45" i="49"/>
  <c r="BN13" i="49"/>
  <c r="BN48" i="265"/>
  <c r="BN33" i="265"/>
  <c r="BN41" i="49" s="1"/>
  <c r="BN43" i="49" s="1"/>
  <c r="AL25" i="295" l="1"/>
  <c r="AL31" i="295" s="1"/>
  <c r="AL33" i="295" s="1"/>
  <c r="AL26" i="295"/>
  <c r="AL40" i="295" s="1"/>
  <c r="AL41" i="295" s="1"/>
  <c r="BN15" i="49"/>
  <c r="BN39" i="265" s="1"/>
  <c r="BN40" i="265" s="1"/>
  <c r="BN16" i="283"/>
  <c r="BN18" i="283" s="1"/>
  <c r="BN37" i="260" s="1"/>
  <c r="BN38" i="260" s="1"/>
  <c r="BN40" i="260" s="1"/>
  <c r="BN42" i="260" s="1"/>
  <c r="BN45" i="260" s="1"/>
  <c r="BN46" i="260" s="1"/>
  <c r="BN32" i="283"/>
  <c r="BN39" i="283"/>
  <c r="BN9" i="283"/>
  <c r="AL48" i="295" l="1"/>
  <c r="AL50" i="49" s="1"/>
  <c r="AL43" i="295"/>
  <c r="AL45" i="295" s="1"/>
  <c r="AL34" i="295"/>
  <c r="AL49" i="49" s="1"/>
  <c r="AL58" i="295"/>
  <c r="BN41" i="265"/>
  <c r="BN17" i="49" s="1"/>
  <c r="BN18" i="49" s="1"/>
  <c r="BN70" i="261" s="1"/>
  <c r="BN47" i="265"/>
  <c r="BN49" i="265" s="1"/>
  <c r="BN29" i="49" s="1"/>
  <c r="BN55" i="260"/>
  <c r="BN57" i="260" s="1"/>
  <c r="BN60" i="260" s="1"/>
  <c r="BN62" i="260" s="1"/>
  <c r="BN78" i="260" s="1"/>
  <c r="BN79" i="260" s="1"/>
  <c r="BN8" i="295" s="1"/>
  <c r="BN50" i="260"/>
  <c r="BN51" i="260" s="1"/>
  <c r="BN52" i="260" s="1"/>
  <c r="BN37" i="252" s="1"/>
  <c r="AL59" i="295" l="1"/>
  <c r="AL60" i="295" s="1"/>
  <c r="AL47" i="295"/>
  <c r="AL49" i="295" s="1"/>
  <c r="AL51" i="49" s="1"/>
  <c r="AL52" i="49" s="1"/>
  <c r="AL30" i="277" s="1"/>
  <c r="BN92" i="261"/>
  <c r="BO46" i="265"/>
  <c r="BM10" i="295"/>
  <c r="BM12" i="295" s="1"/>
  <c r="BN63" i="260"/>
  <c r="BN46" i="49" s="1"/>
  <c r="BN47" i="49" s="1"/>
  <c r="BN73" i="260"/>
  <c r="BN74" i="260" s="1"/>
  <c r="BO71" i="260" s="1"/>
  <c r="BO29" i="260" s="1"/>
  <c r="BO30" i="260" s="1"/>
  <c r="BN40" i="283"/>
  <c r="BN10" i="283"/>
  <c r="BN33" i="283"/>
  <c r="BN21" i="283"/>
  <c r="AL15" i="261" l="1"/>
  <c r="AL24" i="49"/>
  <c r="AM57" i="295"/>
  <c r="BN21" i="295"/>
  <c r="BN28" i="49"/>
  <c r="BO77" i="260"/>
  <c r="BO41" i="260"/>
  <c r="BO27" i="265"/>
  <c r="BO28" i="265" s="1"/>
  <c r="BO31" i="265" s="1"/>
  <c r="BO32" i="265" s="1"/>
  <c r="BO31" i="260"/>
  <c r="AL16" i="261" l="1"/>
  <c r="AL18" i="261" s="1"/>
  <c r="AL20" i="261" s="1"/>
  <c r="AM39" i="295"/>
  <c r="AM13" i="295"/>
  <c r="AM14" i="295" s="1"/>
  <c r="AM16" i="295" s="1"/>
  <c r="BO13" i="49"/>
  <c r="BO45" i="49"/>
  <c r="BO33" i="265"/>
  <c r="BO41" i="49" s="1"/>
  <c r="BO43" i="49" s="1"/>
  <c r="BO48" i="265"/>
  <c r="AL11" i="277" l="1"/>
  <c r="AL21" i="261"/>
  <c r="AL55" i="49" s="1"/>
  <c r="AL56" i="49" s="1"/>
  <c r="AL35" i="261"/>
  <c r="AL36" i="261" s="1"/>
  <c r="AM33" i="261" s="1"/>
  <c r="AM19" i="261" s="1"/>
  <c r="AL59" i="49"/>
  <c r="AM17" i="295"/>
  <c r="AM32" i="295" s="1"/>
  <c r="AM18" i="295"/>
  <c r="AM44" i="295" s="1"/>
  <c r="AL30" i="49"/>
  <c r="BO15" i="49"/>
  <c r="BO39" i="265" s="1"/>
  <c r="BO40" i="265" s="1"/>
  <c r="BO39" i="283"/>
  <c r="BO32" i="283"/>
  <c r="BO16" i="283"/>
  <c r="BO18" i="283" s="1"/>
  <c r="BO37" i="260" s="1"/>
  <c r="BO38" i="260" s="1"/>
  <c r="BO40" i="260" s="1"/>
  <c r="BO42" i="260" s="1"/>
  <c r="BO45" i="260" s="1"/>
  <c r="BO46" i="260" s="1"/>
  <c r="BO9" i="283"/>
  <c r="AL66" i="261" l="1"/>
  <c r="AL67" i="261" s="1"/>
  <c r="AL73" i="261" s="1"/>
  <c r="AL75" i="261" s="1"/>
  <c r="AL84" i="261"/>
  <c r="BO41" i="265"/>
  <c r="BO17" i="49" s="1"/>
  <c r="BO18" i="49" s="1"/>
  <c r="BO92" i="261" s="1"/>
  <c r="BO47" i="265"/>
  <c r="BO49" i="265" s="1"/>
  <c r="BP46" i="265" s="1"/>
  <c r="BO55" i="260"/>
  <c r="BO57" i="260" s="1"/>
  <c r="BO60" i="260" s="1"/>
  <c r="BO62" i="260" s="1"/>
  <c r="BO63" i="260" s="1"/>
  <c r="BO46" i="49" s="1"/>
  <c r="BO47" i="49" s="1"/>
  <c r="BO50" i="260"/>
  <c r="BO51" i="260" s="1"/>
  <c r="BO52" i="260" s="1"/>
  <c r="BO37" i="252" s="1"/>
  <c r="BO70" i="261" l="1"/>
  <c r="AL85" i="261"/>
  <c r="AL86" i="261" s="1"/>
  <c r="AL13" i="277"/>
  <c r="AL14" i="277" s="1"/>
  <c r="AL93" i="261"/>
  <c r="AL94" i="261" s="1"/>
  <c r="BO29" i="49"/>
  <c r="BO21" i="295"/>
  <c r="BO78" i="260"/>
  <c r="BO79" i="260" s="1"/>
  <c r="BO73" i="260"/>
  <c r="BO74" i="260" s="1"/>
  <c r="BP71" i="260" s="1"/>
  <c r="BP29" i="260" s="1"/>
  <c r="BP30" i="260" s="1"/>
  <c r="AL57" i="277" l="1"/>
  <c r="AL59" i="277" s="1"/>
  <c r="AL21" i="277"/>
  <c r="AM83" i="261"/>
  <c r="AL25" i="49"/>
  <c r="AL26" i="49" s="1"/>
  <c r="AL32" i="49"/>
  <c r="AL33" i="49" s="1"/>
  <c r="AM91" i="261"/>
  <c r="AM69" i="261" s="1"/>
  <c r="AM71" i="261" s="1"/>
  <c r="AM74" i="261" s="1"/>
  <c r="BO10" i="283"/>
  <c r="BO8" i="295"/>
  <c r="BO28" i="49"/>
  <c r="BO33" i="283"/>
  <c r="BO40" i="283"/>
  <c r="BO21" i="283"/>
  <c r="BP27" i="265"/>
  <c r="BP28" i="265" s="1"/>
  <c r="BP31" i="265" s="1"/>
  <c r="BP32" i="265" s="1"/>
  <c r="BP41" i="260"/>
  <c r="BP31" i="260"/>
  <c r="BP77" i="260"/>
  <c r="AM20" i="295" l="1"/>
  <c r="AM22" i="295" s="1"/>
  <c r="AM24" i="295" s="1"/>
  <c r="AM65" i="261"/>
  <c r="AM14" i="261"/>
  <c r="AL35" i="49"/>
  <c r="BN10" i="295"/>
  <c r="BN12" i="295" s="1"/>
  <c r="BP13" i="49"/>
  <c r="BP45" i="49"/>
  <c r="BP33" i="265"/>
  <c r="BP41" i="49" s="1"/>
  <c r="BP43" i="49" s="1"/>
  <c r="BP48" i="265"/>
  <c r="AM25" i="295" l="1"/>
  <c r="AM31" i="295" s="1"/>
  <c r="AM33" i="295" s="1"/>
  <c r="AM26" i="295"/>
  <c r="AM40" i="295" s="1"/>
  <c r="AM41" i="295" s="1"/>
  <c r="BP15" i="49"/>
  <c r="BP39" i="265" s="1"/>
  <c r="BP40" i="265" s="1"/>
  <c r="BP9" i="283"/>
  <c r="BP32" i="283"/>
  <c r="BP16" i="283"/>
  <c r="BP18" i="283" s="1"/>
  <c r="BP37" i="260" s="1"/>
  <c r="BP38" i="260" s="1"/>
  <c r="BP40" i="260" s="1"/>
  <c r="BP42" i="260" s="1"/>
  <c r="BP45" i="260" s="1"/>
  <c r="BP46" i="260" s="1"/>
  <c r="BP39" i="283"/>
  <c r="AM48" i="295" l="1"/>
  <c r="AM50" i="49" s="1"/>
  <c r="AM43" i="295"/>
  <c r="AM45" i="295" s="1"/>
  <c r="AM34" i="295"/>
  <c r="AM49" i="49" s="1"/>
  <c r="AM58" i="295"/>
  <c r="BP47" i="265"/>
  <c r="BP49" i="265" s="1"/>
  <c r="BP29" i="49" s="1"/>
  <c r="BP41" i="265"/>
  <c r="BP17" i="49" s="1"/>
  <c r="BP18" i="49" s="1"/>
  <c r="BP92" i="261" s="1"/>
  <c r="BP55" i="260"/>
  <c r="BP57" i="260" s="1"/>
  <c r="BP60" i="260" s="1"/>
  <c r="BP62" i="260" s="1"/>
  <c r="BP78" i="260" s="1"/>
  <c r="BP79" i="260" s="1"/>
  <c r="BP8" i="295" s="1"/>
  <c r="BP50" i="260"/>
  <c r="BP51" i="260" s="1"/>
  <c r="BP52" i="260" s="1"/>
  <c r="BP37" i="252" s="1"/>
  <c r="AM47" i="295" l="1"/>
  <c r="AM49" i="295" s="1"/>
  <c r="AM51" i="49" s="1"/>
  <c r="AM52" i="49" s="1"/>
  <c r="AM30" i="277" s="1"/>
  <c r="AM59" i="295"/>
  <c r="AM60" i="295" s="1"/>
  <c r="BQ46" i="265"/>
  <c r="BP70" i="261"/>
  <c r="BO10" i="295"/>
  <c r="BO12" i="295" s="1"/>
  <c r="BP63" i="260"/>
  <c r="BP46" i="49" s="1"/>
  <c r="BP47" i="49" s="1"/>
  <c r="BP73" i="260"/>
  <c r="BP74" i="260" s="1"/>
  <c r="BQ71" i="260" s="1"/>
  <c r="BQ29" i="260" s="1"/>
  <c r="BQ30" i="260" s="1"/>
  <c r="BP40" i="283"/>
  <c r="BP21" i="283"/>
  <c r="BP33" i="283"/>
  <c r="BP10" i="283"/>
  <c r="AM15" i="261" l="1"/>
  <c r="AN57" i="295"/>
  <c r="AM24" i="49"/>
  <c r="BP21" i="295"/>
  <c r="BP28" i="49"/>
  <c r="BQ77" i="260"/>
  <c r="BQ31" i="260"/>
  <c r="BQ41" i="260"/>
  <c r="BQ27" i="265"/>
  <c r="BQ28" i="265" s="1"/>
  <c r="BQ31" i="265" s="1"/>
  <c r="BQ32" i="265" s="1"/>
  <c r="AM16" i="261" l="1"/>
  <c r="AM18" i="261" s="1"/>
  <c r="AM20" i="261" s="1"/>
  <c r="AN13" i="295"/>
  <c r="AN14" i="295" s="1"/>
  <c r="AN16" i="295" s="1"/>
  <c r="AN39" i="295"/>
  <c r="BQ13" i="49"/>
  <c r="BQ45" i="49"/>
  <c r="BQ48" i="265"/>
  <c r="BQ33" i="265"/>
  <c r="BQ41" i="49" s="1"/>
  <c r="BQ43" i="49" s="1"/>
  <c r="AM11" i="277" l="1"/>
  <c r="AM35" i="261"/>
  <c r="AM36" i="261" s="1"/>
  <c r="AN33" i="261" s="1"/>
  <c r="AN19" i="261" s="1"/>
  <c r="AM21" i="261"/>
  <c r="AM55" i="49" s="1"/>
  <c r="AM56" i="49" s="1"/>
  <c r="AM59" i="49" s="1"/>
  <c r="AN18" i="295"/>
  <c r="AN44" i="295" s="1"/>
  <c r="AN17" i="295"/>
  <c r="AN32" i="295" s="1"/>
  <c r="BQ15" i="49"/>
  <c r="BQ39" i="265" s="1"/>
  <c r="BQ40" i="265" s="1"/>
  <c r="BQ32" i="283"/>
  <c r="BQ16" i="283"/>
  <c r="BQ18" i="283" s="1"/>
  <c r="BQ37" i="260" s="1"/>
  <c r="BQ38" i="260" s="1"/>
  <c r="BQ40" i="260" s="1"/>
  <c r="BQ42" i="260" s="1"/>
  <c r="BQ45" i="260" s="1"/>
  <c r="BQ46" i="260" s="1"/>
  <c r="BQ9" i="283"/>
  <c r="BQ39" i="283"/>
  <c r="AM30" i="49" l="1"/>
  <c r="AM66" i="261"/>
  <c r="AM67" i="261" s="1"/>
  <c r="AM73" i="261" s="1"/>
  <c r="AM75" i="261" s="1"/>
  <c r="AM84" i="261"/>
  <c r="BQ41" i="265"/>
  <c r="BQ17" i="49" s="1"/>
  <c r="BQ18" i="49" s="1"/>
  <c r="BQ70" i="261" s="1"/>
  <c r="BQ47" i="265"/>
  <c r="BQ49" i="265" s="1"/>
  <c r="BQ29" i="49" s="1"/>
  <c r="BQ55" i="260"/>
  <c r="BQ57" i="260" s="1"/>
  <c r="BQ60" i="260" s="1"/>
  <c r="BQ62" i="260" s="1"/>
  <c r="BQ78" i="260" s="1"/>
  <c r="BQ79" i="260" s="1"/>
  <c r="BQ8" i="295" s="1"/>
  <c r="BQ50" i="260"/>
  <c r="BQ51" i="260" s="1"/>
  <c r="BQ52" i="260" s="1"/>
  <c r="BQ37" i="252" s="1"/>
  <c r="BR46" i="265" l="1"/>
  <c r="AM13" i="277"/>
  <c r="AM14" i="277" s="1"/>
  <c r="AM93" i="261"/>
  <c r="AM94" i="261" s="1"/>
  <c r="AM85" i="261"/>
  <c r="AM86" i="261" s="1"/>
  <c r="BQ92" i="261"/>
  <c r="BP10" i="295"/>
  <c r="BP12" i="295" s="1"/>
  <c r="BQ63" i="260"/>
  <c r="BQ46" i="49" s="1"/>
  <c r="BQ47" i="49" s="1"/>
  <c r="BQ73" i="260"/>
  <c r="BQ74" i="260" s="1"/>
  <c r="BR71" i="260" s="1"/>
  <c r="BR29" i="260" s="1"/>
  <c r="BR30" i="260" s="1"/>
  <c r="BQ10" i="283"/>
  <c r="BQ40" i="283"/>
  <c r="BQ21" i="283"/>
  <c r="BQ33" i="283"/>
  <c r="AN83" i="261" l="1"/>
  <c r="AM25" i="49"/>
  <c r="AM26" i="49" s="1"/>
  <c r="AM32" i="49"/>
  <c r="AM33" i="49" s="1"/>
  <c r="AN91" i="261"/>
  <c r="AN69" i="261" s="1"/>
  <c r="AN71" i="261" s="1"/>
  <c r="AN74" i="261" s="1"/>
  <c r="AM57" i="277"/>
  <c r="AM59" i="277" s="1"/>
  <c r="AM21" i="277"/>
  <c r="BQ21" i="295"/>
  <c r="BQ28" i="49"/>
  <c r="BR77" i="260"/>
  <c r="BR41" i="260"/>
  <c r="BR31" i="260"/>
  <c r="BR27" i="265"/>
  <c r="BR28" i="265" s="1"/>
  <c r="BR31" i="265" s="1"/>
  <c r="BR32" i="265" s="1"/>
  <c r="AM35" i="49" l="1"/>
  <c r="AN20" i="295"/>
  <c r="AN22" i="295" s="1"/>
  <c r="AN24" i="295" s="1"/>
  <c r="AN14" i="261"/>
  <c r="AN65" i="261"/>
  <c r="BR48" i="265"/>
  <c r="BR33" i="265"/>
  <c r="BR41" i="49" s="1"/>
  <c r="BR43" i="49" s="1"/>
  <c r="BR13" i="49"/>
  <c r="BR45" i="49"/>
  <c r="AN26" i="295" l="1"/>
  <c r="AN40" i="295" s="1"/>
  <c r="AN41" i="295" s="1"/>
  <c r="AN25" i="295"/>
  <c r="AN31" i="295" s="1"/>
  <c r="AN33" i="295" s="1"/>
  <c r="BR15" i="49"/>
  <c r="BR39" i="265" s="1"/>
  <c r="BR40" i="265" s="1"/>
  <c r="BR9" i="283"/>
  <c r="BR39" i="283"/>
  <c r="BR32" i="283"/>
  <c r="BR16" i="283"/>
  <c r="BR18" i="283" s="1"/>
  <c r="BR37" i="260" s="1"/>
  <c r="BR38" i="260" s="1"/>
  <c r="BR40" i="260" s="1"/>
  <c r="BR42" i="260" s="1"/>
  <c r="BR45" i="260" s="1"/>
  <c r="BR46" i="260" s="1"/>
  <c r="AN58" i="295" l="1"/>
  <c r="AN34" i="295"/>
  <c r="AN49" i="49" s="1"/>
  <c r="AN48" i="295"/>
  <c r="AN50" i="49" s="1"/>
  <c r="AN43" i="295"/>
  <c r="AN45" i="295" s="1"/>
  <c r="BR47" i="265"/>
  <c r="BR49" i="265" s="1"/>
  <c r="BS46" i="265" s="1"/>
  <c r="BR41" i="265"/>
  <c r="BR17" i="49" s="1"/>
  <c r="BR18" i="49" s="1"/>
  <c r="BR92" i="261" s="1"/>
  <c r="BR55" i="260"/>
  <c r="BR57" i="260" s="1"/>
  <c r="BR60" i="260" s="1"/>
  <c r="BR62" i="260" s="1"/>
  <c r="BR63" i="260" s="1"/>
  <c r="BR46" i="49" s="1"/>
  <c r="BR47" i="49" s="1"/>
  <c r="BR50" i="260"/>
  <c r="BR51" i="260" s="1"/>
  <c r="BR52" i="260" s="1"/>
  <c r="BR37" i="252" s="1"/>
  <c r="BR29" i="49" l="1"/>
  <c r="AN59" i="295"/>
  <c r="AN60" i="295" s="1"/>
  <c r="AN47" i="295"/>
  <c r="AN49" i="295" s="1"/>
  <c r="AN51" i="49" s="1"/>
  <c r="AN52" i="49" s="1"/>
  <c r="AN30" i="277" s="1"/>
  <c r="BR70" i="261"/>
  <c r="BR21" i="295"/>
  <c r="BR78" i="260"/>
  <c r="BR79" i="260" s="1"/>
  <c r="BR73" i="260"/>
  <c r="BR74" i="260" s="1"/>
  <c r="BS71" i="260" s="1"/>
  <c r="BS29" i="260" s="1"/>
  <c r="BS30" i="260" s="1"/>
  <c r="AN15" i="261" l="1"/>
  <c r="AN24" i="49"/>
  <c r="AO57" i="295"/>
  <c r="BR10" i="283"/>
  <c r="BR8" i="295"/>
  <c r="BR33" i="283"/>
  <c r="BR40" i="283"/>
  <c r="BR21" i="283"/>
  <c r="BR28" i="49"/>
  <c r="BS31" i="260"/>
  <c r="BS27" i="265"/>
  <c r="BS28" i="265" s="1"/>
  <c r="BS31" i="265" s="1"/>
  <c r="BS32" i="265" s="1"/>
  <c r="BS77" i="260"/>
  <c r="BS41" i="260"/>
  <c r="AN16" i="261" l="1"/>
  <c r="AN18" i="261" s="1"/>
  <c r="AN20" i="261" s="1"/>
  <c r="AO39" i="295"/>
  <c r="AO13" i="295"/>
  <c r="AO14" i="295" s="1"/>
  <c r="AO16" i="295" s="1"/>
  <c r="BQ10" i="295"/>
  <c r="BQ12" i="295" s="1"/>
  <c r="BS48" i="265"/>
  <c r="BS33" i="265"/>
  <c r="BS41" i="49" s="1"/>
  <c r="BS43" i="49" s="1"/>
  <c r="BS13" i="49"/>
  <c r="BS45" i="49"/>
  <c r="AN11" i="277" l="1"/>
  <c r="AN35" i="261"/>
  <c r="AN36" i="261" s="1"/>
  <c r="AN21" i="261"/>
  <c r="AN55" i="49" s="1"/>
  <c r="AN56" i="49" s="1"/>
  <c r="AO18" i="295"/>
  <c r="AO44" i="295" s="1"/>
  <c r="AO17" i="295"/>
  <c r="AO32" i="295" s="1"/>
  <c r="AN59" i="49"/>
  <c r="AO33" i="261"/>
  <c r="AO19" i="261" s="1"/>
  <c r="AN30" i="49"/>
  <c r="BS15" i="49"/>
  <c r="BS39" i="265" s="1"/>
  <c r="BS40" i="265" s="1"/>
  <c r="BS9" i="283"/>
  <c r="BS39" i="283"/>
  <c r="BS32" i="283"/>
  <c r="BS16" i="283"/>
  <c r="BS18" i="283" s="1"/>
  <c r="BS37" i="260" s="1"/>
  <c r="BS38" i="260" s="1"/>
  <c r="BS40" i="260" s="1"/>
  <c r="BS42" i="260" s="1"/>
  <c r="BS45" i="260" s="1"/>
  <c r="BS46" i="260" s="1"/>
  <c r="AN66" i="261" l="1"/>
  <c r="AN67" i="261" s="1"/>
  <c r="AN73" i="261" s="1"/>
  <c r="AN75" i="261" s="1"/>
  <c r="AN84" i="261"/>
  <c r="BS47" i="265"/>
  <c r="BS49" i="265" s="1"/>
  <c r="BT46" i="265" s="1"/>
  <c r="BS41" i="265"/>
  <c r="BS17" i="49" s="1"/>
  <c r="BS18" i="49" s="1"/>
  <c r="BS92" i="261" s="1"/>
  <c r="BS55" i="260"/>
  <c r="BS57" i="260" s="1"/>
  <c r="BS60" i="260" s="1"/>
  <c r="BS62" i="260" s="1"/>
  <c r="BS78" i="260" s="1"/>
  <c r="BS79" i="260" s="1"/>
  <c r="BS8" i="295" s="1"/>
  <c r="BS50" i="260"/>
  <c r="BS51" i="260" s="1"/>
  <c r="BS52" i="260" s="1"/>
  <c r="BS37" i="252" s="1"/>
  <c r="AN13" i="277" l="1"/>
  <c r="AN14" i="277" s="1"/>
  <c r="AN85" i="261"/>
  <c r="AN86" i="261" s="1"/>
  <c r="AN93" i="261"/>
  <c r="AN94" i="261" s="1"/>
  <c r="BS29" i="49"/>
  <c r="BS70" i="261"/>
  <c r="BR10" i="295"/>
  <c r="BR12" i="295" s="1"/>
  <c r="BS73" i="260"/>
  <c r="BS74" i="260" s="1"/>
  <c r="BT71" i="260" s="1"/>
  <c r="BT29" i="260" s="1"/>
  <c r="BT30" i="260" s="1"/>
  <c r="BS63" i="260"/>
  <c r="BS46" i="49" s="1"/>
  <c r="BS47" i="49" s="1"/>
  <c r="BS40" i="283"/>
  <c r="BS10" i="283"/>
  <c r="BS21" i="283"/>
  <c r="BS33" i="283"/>
  <c r="AO91" i="261" l="1"/>
  <c r="AO69" i="261" s="1"/>
  <c r="AO71" i="261" s="1"/>
  <c r="AO74" i="261" s="1"/>
  <c r="AN32" i="49"/>
  <c r="AN33" i="49" s="1"/>
  <c r="AN25" i="49"/>
  <c r="AN26" i="49" s="1"/>
  <c r="AO83" i="261"/>
  <c r="AN57" i="277"/>
  <c r="AN59" i="277" s="1"/>
  <c r="AN21" i="277"/>
  <c r="BS21" i="295"/>
  <c r="BS28" i="49"/>
  <c r="BT41" i="260"/>
  <c r="BT27" i="265"/>
  <c r="BT28" i="265" s="1"/>
  <c r="BT31" i="265" s="1"/>
  <c r="BT32" i="265" s="1"/>
  <c r="BT31" i="260"/>
  <c r="BT77" i="260"/>
  <c r="AN35" i="49" l="1"/>
  <c r="AO20" i="295"/>
  <c r="AO22" i="295" s="1"/>
  <c r="AO24" i="295" s="1"/>
  <c r="AO14" i="261"/>
  <c r="AO65" i="261"/>
  <c r="BT13" i="49"/>
  <c r="BT45" i="49"/>
  <c r="BT33" i="265"/>
  <c r="BT41" i="49" s="1"/>
  <c r="BT43" i="49" s="1"/>
  <c r="BT48" i="265"/>
  <c r="AO26" i="295" l="1"/>
  <c r="AO40" i="295" s="1"/>
  <c r="AO41" i="295" s="1"/>
  <c r="AO25" i="295"/>
  <c r="AO31" i="295" s="1"/>
  <c r="AO33" i="295" s="1"/>
  <c r="BT15" i="49"/>
  <c r="BT39" i="265" s="1"/>
  <c r="BT40" i="265" s="1"/>
  <c r="BT16" i="283"/>
  <c r="BT18" i="283" s="1"/>
  <c r="BT37" i="260" s="1"/>
  <c r="BT38" i="260" s="1"/>
  <c r="BT40" i="260" s="1"/>
  <c r="BT42" i="260" s="1"/>
  <c r="BT45" i="260" s="1"/>
  <c r="BT46" i="260" s="1"/>
  <c r="BT32" i="283"/>
  <c r="BT39" i="283"/>
  <c r="BT9" i="283"/>
  <c r="AO34" i="295" l="1"/>
  <c r="AO49" i="49" s="1"/>
  <c r="AO58" i="295"/>
  <c r="AO43" i="295"/>
  <c r="AO45" i="295" s="1"/>
  <c r="AO48" i="295"/>
  <c r="AO50" i="49" s="1"/>
  <c r="BT41" i="265"/>
  <c r="BT17" i="49" s="1"/>
  <c r="BT18" i="49" s="1"/>
  <c r="BT70" i="261" s="1"/>
  <c r="BT47" i="265"/>
  <c r="BT49" i="265" s="1"/>
  <c r="BU46" i="265" s="1"/>
  <c r="BT55" i="260"/>
  <c r="BT57" i="260" s="1"/>
  <c r="BT60" i="260" s="1"/>
  <c r="BT62" i="260" s="1"/>
  <c r="BT78" i="260" s="1"/>
  <c r="BT79" i="260" s="1"/>
  <c r="BT8" i="295" s="1"/>
  <c r="BT50" i="260"/>
  <c r="BT51" i="260" s="1"/>
  <c r="BT52" i="260" s="1"/>
  <c r="BT37" i="252" s="1"/>
  <c r="AO59" i="295" l="1"/>
  <c r="AO60" i="295" s="1"/>
  <c r="AO47" i="295"/>
  <c r="AO49" i="295" s="1"/>
  <c r="AO51" i="49" s="1"/>
  <c r="AO52" i="49" s="1"/>
  <c r="AO30" i="277" s="1"/>
  <c r="BT92" i="261"/>
  <c r="BT29" i="49"/>
  <c r="BS10" i="295"/>
  <c r="BS12" i="295" s="1"/>
  <c r="BT73" i="260"/>
  <c r="BT74" i="260" s="1"/>
  <c r="BU71" i="260" s="1"/>
  <c r="BU29" i="260" s="1"/>
  <c r="BU30" i="260" s="1"/>
  <c r="BT63" i="260"/>
  <c r="BT46" i="49" s="1"/>
  <c r="BT47" i="49" s="1"/>
  <c r="BT33" i="283"/>
  <c r="BT40" i="283"/>
  <c r="BT21" i="283"/>
  <c r="BT10" i="283"/>
  <c r="AO15" i="261" l="1"/>
  <c r="AP57" i="295"/>
  <c r="AO24" i="49"/>
  <c r="BT21" i="295"/>
  <c r="BT28" i="49"/>
  <c r="BU31" i="260"/>
  <c r="BU27" i="265"/>
  <c r="BU28" i="265" s="1"/>
  <c r="BU31" i="265" s="1"/>
  <c r="BU32" i="265" s="1"/>
  <c r="BU77" i="260"/>
  <c r="BU41" i="260"/>
  <c r="AO16" i="261" l="1"/>
  <c r="AO18" i="261" s="1"/>
  <c r="AO20" i="261" s="1"/>
  <c r="AP13" i="295"/>
  <c r="AP14" i="295" s="1"/>
  <c r="AP16" i="295" s="1"/>
  <c r="AP39" i="295"/>
  <c r="BU48" i="265"/>
  <c r="BU33" i="265"/>
  <c r="BU41" i="49" s="1"/>
  <c r="BU43" i="49" s="1"/>
  <c r="BU13" i="49"/>
  <c r="BU45" i="49"/>
  <c r="AO11" i="277" l="1"/>
  <c r="AO21" i="261"/>
  <c r="AO55" i="49" s="1"/>
  <c r="AO56" i="49" s="1"/>
  <c r="AO35" i="261"/>
  <c r="AO36" i="261" s="1"/>
  <c r="AP33" i="261" s="1"/>
  <c r="AP19" i="261" s="1"/>
  <c r="AO59" i="49"/>
  <c r="AO30" i="49"/>
  <c r="AP17" i="295"/>
  <c r="AP32" i="295" s="1"/>
  <c r="AP18" i="295"/>
  <c r="AP44" i="295" s="1"/>
  <c r="BU15" i="49"/>
  <c r="BU39" i="265" s="1"/>
  <c r="BU40" i="265" s="1"/>
  <c r="BU9" i="283"/>
  <c r="BU39" i="283"/>
  <c r="BU16" i="283"/>
  <c r="BU18" i="283" s="1"/>
  <c r="BU37" i="260" s="1"/>
  <c r="BU38" i="260" s="1"/>
  <c r="BU40" i="260" s="1"/>
  <c r="BU42" i="260" s="1"/>
  <c r="BU45" i="260" s="1"/>
  <c r="BU46" i="260" s="1"/>
  <c r="BU32" i="283"/>
  <c r="AO84" i="261" l="1"/>
  <c r="AO66" i="261"/>
  <c r="AO67" i="261" s="1"/>
  <c r="AO73" i="261" s="1"/>
  <c r="AO75" i="261" s="1"/>
  <c r="BU41" i="265"/>
  <c r="BU17" i="49" s="1"/>
  <c r="BU18" i="49" s="1"/>
  <c r="BU70" i="261" s="1"/>
  <c r="BU47" i="265"/>
  <c r="BU49" i="265" s="1"/>
  <c r="BU29" i="49" s="1"/>
  <c r="BU55" i="260"/>
  <c r="BU57" i="260" s="1"/>
  <c r="BU60" i="260" s="1"/>
  <c r="BU62" i="260" s="1"/>
  <c r="BU63" i="260" s="1"/>
  <c r="BU46" i="49" s="1"/>
  <c r="BU47" i="49" s="1"/>
  <c r="BU50" i="260"/>
  <c r="BU51" i="260" s="1"/>
  <c r="BU52" i="260" s="1"/>
  <c r="BU37" i="252" s="1"/>
  <c r="AO13" i="277" l="1"/>
  <c r="AO14" i="277" s="1"/>
  <c r="AO93" i="261"/>
  <c r="AO94" i="261" s="1"/>
  <c r="AO85" i="261"/>
  <c r="AO86" i="261" s="1"/>
  <c r="BU92" i="261"/>
  <c r="BV46" i="265"/>
  <c r="BU21" i="295"/>
  <c r="BU78" i="260"/>
  <c r="BU79" i="260" s="1"/>
  <c r="BU73" i="260"/>
  <c r="BU74" i="260" s="1"/>
  <c r="BV71" i="260" s="1"/>
  <c r="BV29" i="260" s="1"/>
  <c r="BV30" i="260" s="1"/>
  <c r="AP83" i="261" l="1"/>
  <c r="AO25" i="49"/>
  <c r="AO26" i="49" s="1"/>
  <c r="AP91" i="261"/>
  <c r="AP69" i="261" s="1"/>
  <c r="AP71" i="261" s="1"/>
  <c r="AP74" i="261" s="1"/>
  <c r="AO32" i="49"/>
  <c r="AO33" i="49" s="1"/>
  <c r="AO57" i="277"/>
  <c r="AO59" i="277" s="1"/>
  <c r="AO21" i="277"/>
  <c r="BU21" i="283"/>
  <c r="BU8" i="295"/>
  <c r="BU28" i="49"/>
  <c r="BU40" i="283"/>
  <c r="BU33" i="283"/>
  <c r="BU10" i="283"/>
  <c r="BV27" i="265"/>
  <c r="BV28" i="265" s="1"/>
  <c r="BV31" i="265" s="1"/>
  <c r="BV32" i="265" s="1"/>
  <c r="BV77" i="260"/>
  <c r="BV41" i="260"/>
  <c r="BV31" i="260"/>
  <c r="AO35" i="49" l="1"/>
  <c r="AP14" i="261"/>
  <c r="AP20" i="295"/>
  <c r="AP22" i="295" s="1"/>
  <c r="AP24" i="295" s="1"/>
  <c r="AP65" i="261"/>
  <c r="BT10" i="295"/>
  <c r="BT12" i="295" s="1"/>
  <c r="BV33" i="265"/>
  <c r="BV41" i="49" s="1"/>
  <c r="BV43" i="49" s="1"/>
  <c r="BV48" i="265"/>
  <c r="BV45" i="49"/>
  <c r="BV13" i="49"/>
  <c r="AP26" i="295" l="1"/>
  <c r="AP40" i="295" s="1"/>
  <c r="AP41" i="295" s="1"/>
  <c r="AP25" i="295"/>
  <c r="AP31" i="295" s="1"/>
  <c r="AP33" i="295" s="1"/>
  <c r="BV15" i="49"/>
  <c r="BV39" i="265" s="1"/>
  <c r="BV40" i="265" s="1"/>
  <c r="BV32" i="283"/>
  <c r="BV9" i="283"/>
  <c r="BV39" i="283"/>
  <c r="BV16" i="283"/>
  <c r="BV18" i="283" s="1"/>
  <c r="BV37" i="260" s="1"/>
  <c r="BV38" i="260" s="1"/>
  <c r="BV40" i="260" s="1"/>
  <c r="BV42" i="260" s="1"/>
  <c r="BV45" i="260" s="1"/>
  <c r="BV46" i="260" s="1"/>
  <c r="AP58" i="295" l="1"/>
  <c r="AP34" i="295"/>
  <c r="AP49" i="49" s="1"/>
  <c r="AP43" i="295"/>
  <c r="AP45" i="295" s="1"/>
  <c r="AP48" i="295"/>
  <c r="AP50" i="49" s="1"/>
  <c r="BV47" i="265"/>
  <c r="BV49" i="265" s="1"/>
  <c r="BW46" i="265" s="1"/>
  <c r="BV41" i="265"/>
  <c r="BV17" i="49" s="1"/>
  <c r="BV18" i="49" s="1"/>
  <c r="BV70" i="261" s="1"/>
  <c r="BV55" i="260"/>
  <c r="BV57" i="260" s="1"/>
  <c r="BV60" i="260" s="1"/>
  <c r="BV62" i="260" s="1"/>
  <c r="BV73" i="260" s="1"/>
  <c r="BV74" i="260" s="1"/>
  <c r="BV50" i="260"/>
  <c r="BV51" i="260" s="1"/>
  <c r="BV52" i="260" s="1"/>
  <c r="BV37" i="252" s="1"/>
  <c r="BV92" i="261" l="1"/>
  <c r="AP47" i="295"/>
  <c r="AP49" i="295" s="1"/>
  <c r="AP51" i="49" s="1"/>
  <c r="AP52" i="49" s="1"/>
  <c r="AP30" i="277" s="1"/>
  <c r="AP59" i="295"/>
  <c r="AP60" i="295" s="1"/>
  <c r="BV29" i="49"/>
  <c r="BV78" i="260"/>
  <c r="BV79" i="260" s="1"/>
  <c r="BV63" i="260"/>
  <c r="BV46" i="49" s="1"/>
  <c r="BV47" i="49" s="1"/>
  <c r="BW71" i="260"/>
  <c r="BW29" i="260" s="1"/>
  <c r="BW30" i="260" s="1"/>
  <c r="BV28" i="49"/>
  <c r="AP24" i="49" l="1"/>
  <c r="AQ57" i="295"/>
  <c r="AP15" i="261"/>
  <c r="BV21" i="283"/>
  <c r="BV8" i="295"/>
  <c r="BV21" i="295"/>
  <c r="BV40" i="283"/>
  <c r="BV33" i="283"/>
  <c r="BV10" i="283"/>
  <c r="BW31" i="260"/>
  <c r="BW77" i="260"/>
  <c r="BW41" i="260"/>
  <c r="BW27" i="265"/>
  <c r="BW28" i="265" s="1"/>
  <c r="BW31" i="265" s="1"/>
  <c r="BW32" i="265" s="1"/>
  <c r="AP16" i="261" l="1"/>
  <c r="AP18" i="261" s="1"/>
  <c r="AP20" i="261" s="1"/>
  <c r="AQ39" i="295"/>
  <c r="AQ13" i="295"/>
  <c r="AQ14" i="295" s="1"/>
  <c r="AQ16" i="295" s="1"/>
  <c r="BU10" i="295"/>
  <c r="BU12" i="295" s="1"/>
  <c r="BW33" i="265"/>
  <c r="BW41" i="49" s="1"/>
  <c r="BW43" i="49" s="1"/>
  <c r="BW48" i="265"/>
  <c r="BW45" i="49"/>
  <c r="BW13" i="49"/>
  <c r="AP11" i="277" l="1"/>
  <c r="AP35" i="261"/>
  <c r="AP36" i="261" s="1"/>
  <c r="AQ33" i="261" s="1"/>
  <c r="AQ19" i="261" s="1"/>
  <c r="AP21" i="261"/>
  <c r="AP55" i="49" s="1"/>
  <c r="AP56" i="49" s="1"/>
  <c r="AP30" i="49"/>
  <c r="AQ18" i="295"/>
  <c r="AQ44" i="295" s="1"/>
  <c r="AQ17" i="295"/>
  <c r="AQ32" i="295" s="1"/>
  <c r="AP59" i="49"/>
  <c r="BW15" i="49"/>
  <c r="BW39" i="265" s="1"/>
  <c r="BW40" i="265" s="1"/>
  <c r="BW16" i="283"/>
  <c r="BW18" i="283" s="1"/>
  <c r="BW37" i="260" s="1"/>
  <c r="BW38" i="260" s="1"/>
  <c r="BW40" i="260" s="1"/>
  <c r="BW42" i="260" s="1"/>
  <c r="BW45" i="260" s="1"/>
  <c r="BW46" i="260" s="1"/>
  <c r="BW32" i="283"/>
  <c r="BW9" i="283"/>
  <c r="BW39" i="283"/>
  <c r="AP66" i="261" l="1"/>
  <c r="AP67" i="261" s="1"/>
  <c r="AP73" i="261" s="1"/>
  <c r="AP75" i="261" s="1"/>
  <c r="AP84" i="261"/>
  <c r="BW47" i="265"/>
  <c r="BW49" i="265" s="1"/>
  <c r="BX46" i="265" s="1"/>
  <c r="BW41" i="265"/>
  <c r="BW17" i="49" s="1"/>
  <c r="BW18" i="49" s="1"/>
  <c r="BW92" i="261" s="1"/>
  <c r="BW55" i="260"/>
  <c r="BW57" i="260" s="1"/>
  <c r="BW60" i="260" s="1"/>
  <c r="BW62" i="260" s="1"/>
  <c r="BW78" i="260" s="1"/>
  <c r="BW79" i="260" s="1"/>
  <c r="BW8" i="295" s="1"/>
  <c r="BW50" i="260"/>
  <c r="BW51" i="260" s="1"/>
  <c r="BW52" i="260" s="1"/>
  <c r="BW37" i="252" s="1"/>
  <c r="BW70" i="261" l="1"/>
  <c r="BW29" i="49"/>
  <c r="AP13" i="277"/>
  <c r="AP14" i="277" s="1"/>
  <c r="AP93" i="261"/>
  <c r="AP94" i="261" s="1"/>
  <c r="AP85" i="261"/>
  <c r="AP86" i="261" s="1"/>
  <c r="BV10" i="295"/>
  <c r="BV12" i="295" s="1"/>
  <c r="BW73" i="260"/>
  <c r="BW74" i="260" s="1"/>
  <c r="BX71" i="260" s="1"/>
  <c r="BX29" i="260" s="1"/>
  <c r="BX30" i="260" s="1"/>
  <c r="BW63" i="260"/>
  <c r="BW46" i="49" s="1"/>
  <c r="BW47" i="49" s="1"/>
  <c r="BW21" i="283"/>
  <c r="BW33" i="283"/>
  <c r="BW10" i="283"/>
  <c r="BW40" i="283"/>
  <c r="AQ83" i="261" l="1"/>
  <c r="AP25" i="49"/>
  <c r="AP26" i="49" s="1"/>
  <c r="AP32" i="49"/>
  <c r="AP33" i="49" s="1"/>
  <c r="AQ91" i="261"/>
  <c r="AQ69" i="261" s="1"/>
  <c r="AQ71" i="261" s="1"/>
  <c r="AQ74" i="261" s="1"/>
  <c r="AP57" i="277"/>
  <c r="AP59" i="277" s="1"/>
  <c r="AP21" i="277"/>
  <c r="BW21" i="295"/>
  <c r="BW28" i="49"/>
  <c r="BX41" i="260"/>
  <c r="BX77" i="260"/>
  <c r="BX31" i="260"/>
  <c r="BX27" i="265"/>
  <c r="BX28" i="265" s="1"/>
  <c r="BX31" i="265" s="1"/>
  <c r="BX32" i="265" s="1"/>
  <c r="AP35" i="49" l="1"/>
  <c r="AQ65" i="261"/>
  <c r="AQ14" i="261"/>
  <c r="AQ20" i="295"/>
  <c r="AQ22" i="295" s="1"/>
  <c r="AQ24" i="295" s="1"/>
  <c r="BX45" i="49"/>
  <c r="BX13" i="49"/>
  <c r="BX33" i="265"/>
  <c r="BX41" i="49" s="1"/>
  <c r="BX43" i="49" s="1"/>
  <c r="BX48" i="265"/>
  <c r="AQ26" i="295" l="1"/>
  <c r="AQ40" i="295" s="1"/>
  <c r="AQ41" i="295" s="1"/>
  <c r="AQ25" i="295"/>
  <c r="AQ31" i="295" s="1"/>
  <c r="AQ33" i="295" s="1"/>
  <c r="BX15" i="49"/>
  <c r="BX39" i="265" s="1"/>
  <c r="BX40" i="265" s="1"/>
  <c r="BX9" i="283"/>
  <c r="BX32" i="283"/>
  <c r="BX16" i="283"/>
  <c r="BX18" i="283" s="1"/>
  <c r="BX37" i="260" s="1"/>
  <c r="BX38" i="260" s="1"/>
  <c r="BX40" i="260" s="1"/>
  <c r="BX42" i="260" s="1"/>
  <c r="BX45" i="260" s="1"/>
  <c r="BX46" i="260" s="1"/>
  <c r="BX39" i="283"/>
  <c r="AQ58" i="295" l="1"/>
  <c r="AQ34" i="295"/>
  <c r="AQ49" i="49" s="1"/>
  <c r="AQ43" i="295"/>
  <c r="AQ45" i="295" s="1"/>
  <c r="AQ48" i="295"/>
  <c r="AQ50" i="49" s="1"/>
  <c r="BX41" i="265"/>
  <c r="BX17" i="49" s="1"/>
  <c r="BX18" i="49" s="1"/>
  <c r="BX70" i="261" s="1"/>
  <c r="BX47" i="265"/>
  <c r="BX49" i="265" s="1"/>
  <c r="BY46" i="265" s="1"/>
  <c r="BX55" i="260"/>
  <c r="BX57" i="260" s="1"/>
  <c r="BX60" i="260" s="1"/>
  <c r="BX62" i="260" s="1"/>
  <c r="BX78" i="260" s="1"/>
  <c r="BX79" i="260" s="1"/>
  <c r="BX8" i="295" s="1"/>
  <c r="BX50" i="260"/>
  <c r="BX51" i="260" s="1"/>
  <c r="BX52" i="260" s="1"/>
  <c r="BX37" i="252" s="1"/>
  <c r="AQ47" i="295" l="1"/>
  <c r="AQ49" i="295" s="1"/>
  <c r="AQ51" i="49" s="1"/>
  <c r="AQ52" i="49" s="1"/>
  <c r="AQ30" i="277" s="1"/>
  <c r="AQ59" i="295"/>
  <c r="AQ60" i="295" s="1"/>
  <c r="BX92" i="261"/>
  <c r="BX29" i="49"/>
  <c r="BW10" i="295"/>
  <c r="BW12" i="295" s="1"/>
  <c r="BX73" i="260"/>
  <c r="BX74" i="260" s="1"/>
  <c r="BY71" i="260" s="1"/>
  <c r="BY29" i="260" s="1"/>
  <c r="BY30" i="260" s="1"/>
  <c r="BX63" i="260"/>
  <c r="BX46" i="49" s="1"/>
  <c r="BX47" i="49" s="1"/>
  <c r="BX40" i="283"/>
  <c r="BX33" i="283"/>
  <c r="BX21" i="283"/>
  <c r="BX10" i="283"/>
  <c r="AQ24" i="49" l="1"/>
  <c r="AR57" i="295"/>
  <c r="AQ15" i="261"/>
  <c r="BX21" i="295"/>
  <c r="BX28" i="49"/>
  <c r="BY27" i="265"/>
  <c r="BY28" i="265" s="1"/>
  <c r="BY31" i="265" s="1"/>
  <c r="BY32" i="265" s="1"/>
  <c r="BY41" i="260"/>
  <c r="BY77" i="260"/>
  <c r="BY31" i="260"/>
  <c r="AQ16" i="261" l="1"/>
  <c r="AQ18" i="261" s="1"/>
  <c r="AQ20" i="261" s="1"/>
  <c r="AR39" i="295"/>
  <c r="AR13" i="295"/>
  <c r="AR14" i="295" s="1"/>
  <c r="AR16" i="295" s="1"/>
  <c r="BY13" i="49"/>
  <c r="BY45" i="49"/>
  <c r="BY48" i="265"/>
  <c r="BY33" i="265"/>
  <c r="BY41" i="49" s="1"/>
  <c r="BY43" i="49" s="1"/>
  <c r="AQ11" i="277" l="1"/>
  <c r="AQ35" i="261"/>
  <c r="AQ36" i="261" s="1"/>
  <c r="AQ21" i="261"/>
  <c r="AQ55" i="49" s="1"/>
  <c r="AQ56" i="49" s="1"/>
  <c r="AR17" i="295"/>
  <c r="AR32" i="295" s="1"/>
  <c r="AR18" i="295"/>
  <c r="AR44" i="295" s="1"/>
  <c r="AQ30" i="49"/>
  <c r="AR33" i="261"/>
  <c r="AR19" i="261" s="1"/>
  <c r="AQ59" i="49"/>
  <c r="BY15" i="49"/>
  <c r="BY39" i="265" s="1"/>
  <c r="BY40" i="265" s="1"/>
  <c r="BY32" i="283"/>
  <c r="BY9" i="283"/>
  <c r="BY16" i="283"/>
  <c r="BY18" i="283" s="1"/>
  <c r="BY37" i="260" s="1"/>
  <c r="BY38" i="260" s="1"/>
  <c r="BY40" i="260" s="1"/>
  <c r="BY42" i="260" s="1"/>
  <c r="BY45" i="260" s="1"/>
  <c r="BY46" i="260" s="1"/>
  <c r="BY39" i="283"/>
  <c r="AQ66" i="261" l="1"/>
  <c r="AQ67" i="261" s="1"/>
  <c r="AQ73" i="261" s="1"/>
  <c r="AQ75" i="261" s="1"/>
  <c r="AQ84" i="261"/>
  <c r="BY41" i="265"/>
  <c r="BY17" i="49" s="1"/>
  <c r="BY18" i="49" s="1"/>
  <c r="BY92" i="261" s="1"/>
  <c r="BY47" i="265"/>
  <c r="BY49" i="265" s="1"/>
  <c r="BZ46" i="265" s="1"/>
  <c r="BY55" i="260"/>
  <c r="BY57" i="260" s="1"/>
  <c r="BY60" i="260" s="1"/>
  <c r="BY62" i="260" s="1"/>
  <c r="BY78" i="260" s="1"/>
  <c r="BY79" i="260" s="1"/>
  <c r="BY8" i="295" s="1"/>
  <c r="BY50" i="260"/>
  <c r="BY51" i="260" s="1"/>
  <c r="BY52" i="260" s="1"/>
  <c r="BY37" i="252" s="1"/>
  <c r="BY70" i="261" l="1"/>
  <c r="AQ93" i="261"/>
  <c r="AQ94" i="261" s="1"/>
  <c r="AQ13" i="277"/>
  <c r="AQ14" i="277" s="1"/>
  <c r="AQ85" i="261"/>
  <c r="AQ86" i="261" s="1"/>
  <c r="BY29" i="49"/>
  <c r="BX10" i="295"/>
  <c r="BX12" i="295" s="1"/>
  <c r="BY63" i="260"/>
  <c r="BY46" i="49" s="1"/>
  <c r="BY47" i="49" s="1"/>
  <c r="BY73" i="260"/>
  <c r="BY74" i="260" s="1"/>
  <c r="BZ71" i="260" s="1"/>
  <c r="BZ29" i="260" s="1"/>
  <c r="BZ30" i="260" s="1"/>
  <c r="BY40" i="283"/>
  <c r="BY10" i="283"/>
  <c r="BY33" i="283"/>
  <c r="BY21" i="283"/>
  <c r="AQ21" i="277" l="1"/>
  <c r="AQ57" i="277"/>
  <c r="AQ59" i="277" s="1"/>
  <c r="AR83" i="261"/>
  <c r="AQ25" i="49"/>
  <c r="AQ26" i="49" s="1"/>
  <c r="AR91" i="261"/>
  <c r="AR69" i="261" s="1"/>
  <c r="AR71" i="261" s="1"/>
  <c r="AR74" i="261" s="1"/>
  <c r="AQ32" i="49"/>
  <c r="AQ33" i="49" s="1"/>
  <c r="BY21" i="295"/>
  <c r="BY28" i="49"/>
  <c r="BZ27" i="265"/>
  <c r="BZ28" i="265" s="1"/>
  <c r="BZ31" i="265" s="1"/>
  <c r="BZ32" i="265" s="1"/>
  <c r="BZ77" i="260"/>
  <c r="BZ31" i="260"/>
  <c r="BZ41" i="260"/>
  <c r="AR14" i="261" l="1"/>
  <c r="AR20" i="295"/>
  <c r="AR22" i="295" s="1"/>
  <c r="AR24" i="295" s="1"/>
  <c r="AR65" i="261"/>
  <c r="AQ35" i="49"/>
  <c r="BZ13" i="49"/>
  <c r="BZ45" i="49"/>
  <c r="BZ33" i="265"/>
  <c r="BZ41" i="49" s="1"/>
  <c r="BZ43" i="49" s="1"/>
  <c r="BZ48" i="265"/>
  <c r="AR25" i="295" l="1"/>
  <c r="AR31" i="295" s="1"/>
  <c r="AR33" i="295" s="1"/>
  <c r="AR26" i="295"/>
  <c r="AR40" i="295" s="1"/>
  <c r="AR41" i="295" s="1"/>
  <c r="BZ15" i="49"/>
  <c r="BZ39" i="265" s="1"/>
  <c r="BZ40" i="265" s="1"/>
  <c r="BZ9" i="283"/>
  <c r="BZ16" i="283"/>
  <c r="BZ18" i="283" s="1"/>
  <c r="BZ37" i="260" s="1"/>
  <c r="BZ38" i="260" s="1"/>
  <c r="BZ40" i="260" s="1"/>
  <c r="BZ42" i="260" s="1"/>
  <c r="BZ45" i="260" s="1"/>
  <c r="BZ46" i="260" s="1"/>
  <c r="BZ32" i="283"/>
  <c r="BZ39" i="283"/>
  <c r="AR48" i="295" l="1"/>
  <c r="AR50" i="49" s="1"/>
  <c r="AR43" i="295"/>
  <c r="AR45" i="295" s="1"/>
  <c r="AR58" i="295"/>
  <c r="AR34" i="295"/>
  <c r="AR49" i="49" s="1"/>
  <c r="BZ41" i="265"/>
  <c r="BZ17" i="49" s="1"/>
  <c r="BZ18" i="49" s="1"/>
  <c r="BZ92" i="261" s="1"/>
  <c r="BZ47" i="265"/>
  <c r="BZ49" i="265" s="1"/>
  <c r="CA46" i="265" s="1"/>
  <c r="BZ55" i="260"/>
  <c r="BZ57" i="260" s="1"/>
  <c r="BZ60" i="260" s="1"/>
  <c r="BZ62" i="260" s="1"/>
  <c r="BZ73" i="260" s="1"/>
  <c r="BZ74" i="260" s="1"/>
  <c r="BZ50" i="260"/>
  <c r="BZ51" i="260" s="1"/>
  <c r="BZ52" i="260" s="1"/>
  <c r="BZ37" i="252" s="1"/>
  <c r="BZ70" i="261" l="1"/>
  <c r="AR59" i="295"/>
  <c r="AR60" i="295" s="1"/>
  <c r="AR47" i="295"/>
  <c r="AR49" i="295" s="1"/>
  <c r="AR51" i="49" s="1"/>
  <c r="AR52" i="49" s="1"/>
  <c r="AR30" i="277" s="1"/>
  <c r="BZ29" i="49"/>
  <c r="BZ63" i="260"/>
  <c r="BZ46" i="49" s="1"/>
  <c r="BZ47" i="49" s="1"/>
  <c r="BZ78" i="260"/>
  <c r="BZ79" i="260" s="1"/>
  <c r="CA71" i="260"/>
  <c r="CA29" i="260" s="1"/>
  <c r="CA30" i="260" s="1"/>
  <c r="BZ28" i="49"/>
  <c r="AR15" i="261" l="1"/>
  <c r="AR24" i="49"/>
  <c r="AS57" i="295"/>
  <c r="BZ21" i="295"/>
  <c r="BZ10" i="283"/>
  <c r="BZ8" i="295"/>
  <c r="BZ33" i="283"/>
  <c r="BZ21" i="283"/>
  <c r="BZ40" i="283"/>
  <c r="CA77" i="260"/>
  <c r="CA31" i="260"/>
  <c r="CA41" i="260"/>
  <c r="CA27" i="265"/>
  <c r="CA28" i="265" s="1"/>
  <c r="H30" i="260"/>
  <c r="AR16" i="261" l="1"/>
  <c r="AR18" i="261" s="1"/>
  <c r="AR20" i="261" s="1"/>
  <c r="AS39" i="295"/>
  <c r="AS13" i="295"/>
  <c r="AS14" i="295" s="1"/>
  <c r="AS16" i="295" s="1"/>
  <c r="BY10" i="295"/>
  <c r="BY12" i="295" s="1"/>
  <c r="CA31" i="265"/>
  <c r="CA32" i="265" s="1"/>
  <c r="H28" i="265"/>
  <c r="H31" i="265" s="1"/>
  <c r="CA13" i="49"/>
  <c r="CA15" i="49" s="1"/>
  <c r="CA45" i="49"/>
  <c r="H31" i="260"/>
  <c r="H41" i="260"/>
  <c r="H27" i="265"/>
  <c r="H77" i="260"/>
  <c r="AR11" i="277" l="1"/>
  <c r="AR35" i="261"/>
  <c r="AR36" i="261" s="1"/>
  <c r="AS33" i="261" s="1"/>
  <c r="AS19" i="261" s="1"/>
  <c r="AR21" i="261"/>
  <c r="AR55" i="49" s="1"/>
  <c r="AR56" i="49" s="1"/>
  <c r="AR59" i="49" s="1"/>
  <c r="AR30" i="49"/>
  <c r="AS17" i="295"/>
  <c r="AS32" i="295" s="1"/>
  <c r="AS18" i="295"/>
  <c r="AS44" i="295" s="1"/>
  <c r="CA33" i="265"/>
  <c r="CA48" i="265"/>
  <c r="H32" i="265"/>
  <c r="H48" i="265" s="1"/>
  <c r="H45" i="49"/>
  <c r="H13" i="49"/>
  <c r="CA39" i="265"/>
  <c r="CA40" i="265" s="1"/>
  <c r="H15" i="49"/>
  <c r="H39" i="265" s="1"/>
  <c r="AR84" i="261" l="1"/>
  <c r="AR66" i="261"/>
  <c r="AR67" i="261" s="1"/>
  <c r="AR73" i="261" s="1"/>
  <c r="AR75" i="261" s="1"/>
  <c r="CA41" i="49"/>
  <c r="CA43" i="49" s="1"/>
  <c r="H33" i="265"/>
  <c r="H41" i="49" s="1"/>
  <c r="CA47" i="265"/>
  <c r="CA49" i="265" s="1"/>
  <c r="CA29" i="49" s="1"/>
  <c r="CA41" i="265"/>
  <c r="H40" i="265"/>
  <c r="H47" i="265" s="1"/>
  <c r="AR85" i="261" l="1"/>
  <c r="AR86" i="261" s="1"/>
  <c r="AR93" i="261"/>
  <c r="AR94" i="261" s="1"/>
  <c r="AR13" i="277"/>
  <c r="AR14" i="277" s="1"/>
  <c r="CA17" i="49"/>
  <c r="CA18" i="49" s="1"/>
  <c r="H41" i="265"/>
  <c r="H17" i="49" s="1"/>
  <c r="CA39" i="283"/>
  <c r="CA32" i="283"/>
  <c r="CA9" i="283"/>
  <c r="CA16" i="283"/>
  <c r="CA18" i="283" s="1"/>
  <c r="H43" i="49"/>
  <c r="AR21" i="277" l="1"/>
  <c r="AR57" i="277"/>
  <c r="AR59" i="277" s="1"/>
  <c r="AS91" i="261"/>
  <c r="AS69" i="261" s="1"/>
  <c r="AS71" i="261" s="1"/>
  <c r="AS74" i="261" s="1"/>
  <c r="AR32" i="49"/>
  <c r="AR33" i="49" s="1"/>
  <c r="AS83" i="261"/>
  <c r="AR25" i="49"/>
  <c r="AR26" i="49" s="1"/>
  <c r="H39" i="283"/>
  <c r="H16" i="283"/>
  <c r="H9" i="283"/>
  <c r="H32" i="283"/>
  <c r="CA37" i="260"/>
  <c r="CA38" i="260" s="1"/>
  <c r="F19" i="283"/>
  <c r="F24" i="283" s="1"/>
  <c r="H18" i="283"/>
  <c r="H37" i="260" s="1"/>
  <c r="CA70" i="261"/>
  <c r="CA92" i="261"/>
  <c r="H18" i="49"/>
  <c r="AR35" i="49" l="1"/>
  <c r="AS14" i="261"/>
  <c r="AS65" i="261"/>
  <c r="AS20" i="295"/>
  <c r="AS22" i="295" s="1"/>
  <c r="AS24" i="295" s="1"/>
  <c r="CA40" i="260"/>
  <c r="CA42" i="260" s="1"/>
  <c r="H38" i="260"/>
  <c r="H40" i="260" s="1"/>
  <c r="H92" i="261"/>
  <c r="H70" i="261"/>
  <c r="AS25" i="295" l="1"/>
  <c r="AS31" i="295" s="1"/>
  <c r="AS33" i="295" s="1"/>
  <c r="AS26" i="295"/>
  <c r="AS40" i="295" s="1"/>
  <c r="AS41" i="295" s="1"/>
  <c r="CA45" i="260"/>
  <c r="CA46" i="260" s="1"/>
  <c r="H42" i="260"/>
  <c r="H45" i="260" s="1"/>
  <c r="AS43" i="295" l="1"/>
  <c r="AS45" i="295" s="1"/>
  <c r="AS48" i="295"/>
  <c r="AS50" i="49" s="1"/>
  <c r="AS58" i="295"/>
  <c r="AS34" i="295"/>
  <c r="AS49" i="49" s="1"/>
  <c r="F47" i="260"/>
  <c r="CA50" i="260"/>
  <c r="CA51" i="260" s="1"/>
  <c r="CA55" i="260"/>
  <c r="CA57" i="260" s="1"/>
  <c r="H46" i="260"/>
  <c r="AS59" i="295" l="1"/>
  <c r="AS60" i="295" s="1"/>
  <c r="AS47" i="295"/>
  <c r="AS49" i="295" s="1"/>
  <c r="AS51" i="49" s="1"/>
  <c r="AS52" i="49" s="1"/>
  <c r="AS30" i="277" s="1"/>
  <c r="CA52" i="260"/>
  <c r="H51" i="260"/>
  <c r="H55" i="260"/>
  <c r="H50" i="260"/>
  <c r="CA60" i="260"/>
  <c r="CA62" i="260" s="1"/>
  <c r="H57" i="260"/>
  <c r="H60" i="260" s="1"/>
  <c r="AS15" i="261" l="1"/>
  <c r="AT57" i="295"/>
  <c r="AS24" i="49"/>
  <c r="CA37" i="252"/>
  <c r="H52" i="260"/>
  <c r="H37" i="252" s="1"/>
  <c r="CA73" i="260"/>
  <c r="CA74" i="260" s="1"/>
  <c r="CA28" i="49" s="1"/>
  <c r="CA78" i="260"/>
  <c r="CA79" i="260" s="1"/>
  <c r="CA8" i="295" s="1"/>
  <c r="CA63" i="260"/>
  <c r="H62" i="260"/>
  <c r="AS16" i="261" l="1"/>
  <c r="AS18" i="261" s="1"/>
  <c r="AS20" i="261" s="1"/>
  <c r="AT13" i="295"/>
  <c r="AT14" i="295" s="1"/>
  <c r="AT16" i="295" s="1"/>
  <c r="AT39" i="295"/>
  <c r="BZ10" i="295"/>
  <c r="BZ12" i="295" s="1"/>
  <c r="CA46" i="49"/>
  <c r="CA47" i="49" s="1"/>
  <c r="H63" i="260"/>
  <c r="H46" i="49" s="1"/>
  <c r="H78" i="260"/>
  <c r="H73" i="260"/>
  <c r="H79" i="260"/>
  <c r="H8" i="295" s="1"/>
  <c r="CA33" i="283"/>
  <c r="CA21" i="283"/>
  <c r="F22" i="283" s="1"/>
  <c r="F25" i="283" s="1"/>
  <c r="F26" i="283" s="1"/>
  <c r="CA10" i="283"/>
  <c r="CA40" i="283"/>
  <c r="AS11" i="277" l="1"/>
  <c r="AS21" i="261"/>
  <c r="AS55" i="49" s="1"/>
  <c r="AS56" i="49" s="1"/>
  <c r="AS59" i="49" s="1"/>
  <c r="AS35" i="261"/>
  <c r="AS36" i="261" s="1"/>
  <c r="AT33" i="261"/>
  <c r="AT19" i="261" s="1"/>
  <c r="AS30" i="49"/>
  <c r="AT18" i="295"/>
  <c r="AT44" i="295" s="1"/>
  <c r="AT17" i="295"/>
  <c r="AT32" i="295" s="1"/>
  <c r="CA21" i="295"/>
  <c r="H33" i="283"/>
  <c r="H40" i="283"/>
  <c r="H10" i="283"/>
  <c r="H21" i="283"/>
  <c r="H47" i="49"/>
  <c r="H21" i="295" s="1"/>
  <c r="AS84" i="261" l="1"/>
  <c r="AS66" i="261"/>
  <c r="AS67" i="261" s="1"/>
  <c r="AS73" i="261" s="1"/>
  <c r="AS75" i="261" s="1"/>
  <c r="AS85" i="261" l="1"/>
  <c r="AS86" i="261" s="1"/>
  <c r="AS93" i="261"/>
  <c r="AS94" i="261" s="1"/>
  <c r="AS13" i="277"/>
  <c r="AS14" i="277" s="1"/>
  <c r="AS21" i="277" l="1"/>
  <c r="AS57" i="277"/>
  <c r="AS59" i="277" s="1"/>
  <c r="AS32" i="49"/>
  <c r="AS33" i="49" s="1"/>
  <c r="AT91" i="261"/>
  <c r="AT69" i="261" s="1"/>
  <c r="AT71" i="261" s="1"/>
  <c r="AT74" i="261" s="1"/>
  <c r="AS25" i="49"/>
  <c r="AS26" i="49" s="1"/>
  <c r="AS35" i="49" s="1"/>
  <c r="AT83" i="261"/>
  <c r="AT65" i="261" l="1"/>
  <c r="AT20" i="295"/>
  <c r="AT22" i="295" s="1"/>
  <c r="AT24" i="295" s="1"/>
  <c r="AT14" i="261"/>
  <c r="AT25" i="295" l="1"/>
  <c r="AT31" i="295" s="1"/>
  <c r="AT33" i="295" s="1"/>
  <c r="AT26" i="295"/>
  <c r="AT40" i="295" s="1"/>
  <c r="AT41" i="295" s="1"/>
  <c r="AT43" i="295" l="1"/>
  <c r="AT45" i="295" s="1"/>
  <c r="AT48" i="295"/>
  <c r="AT50" i="49" s="1"/>
  <c r="AT58" i="295"/>
  <c r="AT34" i="295"/>
  <c r="AT49" i="49" s="1"/>
  <c r="AT47" i="295" l="1"/>
  <c r="AT49" i="295" s="1"/>
  <c r="AT51" i="49" s="1"/>
  <c r="AT52" i="49" s="1"/>
  <c r="AT30" i="277" s="1"/>
  <c r="AT59" i="295"/>
  <c r="AT60" i="295" s="1"/>
  <c r="AU57" i="295" l="1"/>
  <c r="AT24" i="49"/>
  <c r="AT15" i="261"/>
  <c r="AT16" i="261" l="1"/>
  <c r="AT18" i="261" s="1"/>
  <c r="AT20" i="261" s="1"/>
  <c r="AU39" i="295"/>
  <c r="AU13" i="295"/>
  <c r="AU14" i="295" s="1"/>
  <c r="AU16" i="295" s="1"/>
  <c r="AT11" i="277" l="1"/>
  <c r="AT35" i="261"/>
  <c r="AT36" i="261" s="1"/>
  <c r="AU33" i="261" s="1"/>
  <c r="AU19" i="261" s="1"/>
  <c r="AT21" i="261"/>
  <c r="AT55" i="49" s="1"/>
  <c r="AT56" i="49" s="1"/>
  <c r="AT59" i="49"/>
  <c r="AU17" i="295"/>
  <c r="AU32" i="295" s="1"/>
  <c r="AU18" i="295"/>
  <c r="AU44" i="295" s="1"/>
  <c r="AT30" i="49"/>
  <c r="AT66" i="261" l="1"/>
  <c r="AT67" i="261" s="1"/>
  <c r="AT73" i="261" s="1"/>
  <c r="AT75" i="261" s="1"/>
  <c r="AT84" i="261"/>
  <c r="AT85" i="261" l="1"/>
  <c r="AT86" i="261" s="1"/>
  <c r="AT93" i="261"/>
  <c r="AT94" i="261" s="1"/>
  <c r="AT13" i="277"/>
  <c r="AT14" i="277" s="1"/>
  <c r="AT57" i="277" l="1"/>
  <c r="AT59" i="277" s="1"/>
  <c r="AT21" i="277"/>
  <c r="AU91" i="261"/>
  <c r="AU69" i="261" s="1"/>
  <c r="AU71" i="261" s="1"/>
  <c r="AU74" i="261" s="1"/>
  <c r="AT32" i="49"/>
  <c r="AT33" i="49" s="1"/>
  <c r="AT25" i="49"/>
  <c r="AT26" i="49" s="1"/>
  <c r="AU83" i="261"/>
  <c r="AT35" i="49" l="1"/>
  <c r="AU20" i="295"/>
  <c r="AU22" i="295" s="1"/>
  <c r="AU24" i="295" s="1"/>
  <c r="AU14" i="261"/>
  <c r="AU65" i="261"/>
  <c r="AU25" i="295" l="1"/>
  <c r="AU31" i="295" s="1"/>
  <c r="AU33" i="295" s="1"/>
  <c r="AU26" i="295"/>
  <c r="AU40" i="295" s="1"/>
  <c r="AU41" i="295" s="1"/>
  <c r="AU43" i="295" l="1"/>
  <c r="AU45" i="295" s="1"/>
  <c r="AU48" i="295"/>
  <c r="AU50" i="49" s="1"/>
  <c r="AU58" i="295"/>
  <c r="AU34" i="295"/>
  <c r="AU49" i="49" s="1"/>
  <c r="AU47" i="295" l="1"/>
  <c r="AU49" i="295" s="1"/>
  <c r="AU51" i="49" s="1"/>
  <c r="AU52" i="49" s="1"/>
  <c r="AU30" i="277" s="1"/>
  <c r="AU59" i="295"/>
  <c r="AU60" i="295" s="1"/>
  <c r="AU15" i="261" l="1"/>
  <c r="AU24" i="49"/>
  <c r="AV57" i="295"/>
  <c r="AU16" i="261" l="1"/>
  <c r="AU18" i="261" s="1"/>
  <c r="AU20" i="261" s="1"/>
  <c r="AV39" i="295"/>
  <c r="AV13" i="295"/>
  <c r="AV14" i="295" s="1"/>
  <c r="AV16" i="295" s="1"/>
  <c r="AU11" i="277" l="1"/>
  <c r="AU21" i="261"/>
  <c r="AU55" i="49" s="1"/>
  <c r="AU56" i="49" s="1"/>
  <c r="AU35" i="261"/>
  <c r="AU36" i="261" s="1"/>
  <c r="AV33" i="261" s="1"/>
  <c r="AV19" i="261" s="1"/>
  <c r="AV18" i="295"/>
  <c r="AV44" i="295" s="1"/>
  <c r="AV17" i="295"/>
  <c r="AV32" i="295" s="1"/>
  <c r="AU59" i="49"/>
  <c r="AU30" i="49" l="1"/>
  <c r="AU66" i="261"/>
  <c r="AU67" i="261" s="1"/>
  <c r="AU73" i="261" s="1"/>
  <c r="AU75" i="261" s="1"/>
  <c r="AU84" i="261"/>
  <c r="AU93" i="261" l="1"/>
  <c r="AU94" i="261" s="1"/>
  <c r="AU13" i="277"/>
  <c r="AU14" i="277" s="1"/>
  <c r="AU85" i="261"/>
  <c r="AU86" i="261" s="1"/>
  <c r="AV83" i="261" l="1"/>
  <c r="AU25" i="49"/>
  <c r="AU26" i="49" s="1"/>
  <c r="AU57" i="277"/>
  <c r="AU59" i="277" s="1"/>
  <c r="AU21" i="277"/>
  <c r="AV91" i="261"/>
  <c r="AV69" i="261" s="1"/>
  <c r="AV71" i="261" s="1"/>
  <c r="AV74" i="261" s="1"/>
  <c r="AU32" i="49"/>
  <c r="AU33" i="49" s="1"/>
  <c r="AU35" i="49" l="1"/>
  <c r="AV65" i="261"/>
  <c r="AV14" i="261"/>
  <c r="AV20" i="295"/>
  <c r="AV22" i="295" s="1"/>
  <c r="AV24" i="295" s="1"/>
  <c r="AV26" i="295" l="1"/>
  <c r="AV40" i="295" s="1"/>
  <c r="AV41" i="295" s="1"/>
  <c r="AV25" i="295"/>
  <c r="AV31" i="295" s="1"/>
  <c r="AV33" i="295" s="1"/>
  <c r="AV34" i="295" l="1"/>
  <c r="AV49" i="49" s="1"/>
  <c r="AV58" i="295"/>
  <c r="AV43" i="295"/>
  <c r="AV45" i="295" s="1"/>
  <c r="AV48" i="295"/>
  <c r="AV50" i="49" s="1"/>
  <c r="AV59" i="295" l="1"/>
  <c r="AV60" i="295" s="1"/>
  <c r="AV47" i="295"/>
  <c r="AV49" i="295" s="1"/>
  <c r="AV51" i="49" s="1"/>
  <c r="AV52" i="49" s="1"/>
  <c r="AV30" i="277" s="1"/>
  <c r="AV15" i="261" l="1"/>
  <c r="AW57" i="295"/>
  <c r="AV24" i="49"/>
  <c r="AV16" i="261" l="1"/>
  <c r="AV18" i="261" s="1"/>
  <c r="AV20" i="261" s="1"/>
  <c r="AW39" i="295"/>
  <c r="AW13" i="295"/>
  <c r="AW14" i="295" s="1"/>
  <c r="AW16" i="295" s="1"/>
  <c r="AV11" i="277" l="1"/>
  <c r="AV35" i="261"/>
  <c r="AV36" i="261" s="1"/>
  <c r="AV21" i="261"/>
  <c r="AV55" i="49" s="1"/>
  <c r="AV56" i="49" s="1"/>
  <c r="AV59" i="49" s="1"/>
  <c r="AV30" i="49"/>
  <c r="AW33" i="261"/>
  <c r="AW19" i="261" s="1"/>
  <c r="AW18" i="295"/>
  <c r="AW44" i="295" s="1"/>
  <c r="AW17" i="295"/>
  <c r="AW32" i="295" s="1"/>
  <c r="AV84" i="261" l="1"/>
  <c r="AV66" i="261"/>
  <c r="AV67" i="261" s="1"/>
  <c r="AV73" i="261" s="1"/>
  <c r="AV75" i="261" s="1"/>
  <c r="AV85" i="261" l="1"/>
  <c r="AV86" i="261" s="1"/>
  <c r="AV13" i="277"/>
  <c r="AV14" i="277" s="1"/>
  <c r="AV93" i="261"/>
  <c r="AV94" i="261" s="1"/>
  <c r="AV57" i="277" l="1"/>
  <c r="AV59" i="277" s="1"/>
  <c r="AV21" i="277"/>
  <c r="AW91" i="261"/>
  <c r="AW69" i="261" s="1"/>
  <c r="AW71" i="261" s="1"/>
  <c r="AW74" i="261" s="1"/>
  <c r="AV32" i="49"/>
  <c r="AV33" i="49" s="1"/>
  <c r="AW83" i="261"/>
  <c r="AV25" i="49"/>
  <c r="AV26" i="49" s="1"/>
  <c r="AV35" i="49" l="1"/>
  <c r="AW65" i="261"/>
  <c r="AW20" i="295"/>
  <c r="AW22" i="295" s="1"/>
  <c r="AW24" i="295" s="1"/>
  <c r="AW14" i="261"/>
  <c r="AW25" i="295" l="1"/>
  <c r="AW31" i="295" s="1"/>
  <c r="AW33" i="295" s="1"/>
  <c r="AW26" i="295"/>
  <c r="AW40" i="295" s="1"/>
  <c r="AW41" i="295" s="1"/>
  <c r="AW48" i="295" l="1"/>
  <c r="AW50" i="49" s="1"/>
  <c r="AW43" i="295"/>
  <c r="AW45" i="295" s="1"/>
  <c r="AW58" i="295"/>
  <c r="AW34" i="295"/>
  <c r="AW49" i="49" s="1"/>
  <c r="AW59" i="295" l="1"/>
  <c r="AW60" i="295" s="1"/>
  <c r="AW47" i="295"/>
  <c r="AW49" i="295" s="1"/>
  <c r="AW51" i="49" s="1"/>
  <c r="AW52" i="49" s="1"/>
  <c r="AW30" i="277" s="1"/>
  <c r="AW15" i="261" l="1"/>
  <c r="AX57" i="295"/>
  <c r="AW24" i="49"/>
  <c r="AW16" i="261" l="1"/>
  <c r="AW18" i="261" s="1"/>
  <c r="AW20" i="261" s="1"/>
  <c r="AX13" i="295"/>
  <c r="AX14" i="295" s="1"/>
  <c r="AX16" i="295" s="1"/>
  <c r="AX39" i="295"/>
  <c r="AW11" i="277" l="1"/>
  <c r="AW21" i="261"/>
  <c r="AW55" i="49" s="1"/>
  <c r="AW56" i="49" s="1"/>
  <c r="AW35" i="261"/>
  <c r="AW36" i="261" s="1"/>
  <c r="AX33" i="261" s="1"/>
  <c r="AX19" i="261" s="1"/>
  <c r="AX18" i="295"/>
  <c r="AX44" i="295" s="1"/>
  <c r="AX17" i="295"/>
  <c r="AX32" i="295" s="1"/>
  <c r="AW30" i="49"/>
  <c r="AW59" i="49"/>
  <c r="AW66" i="261" l="1"/>
  <c r="AW67" i="261" s="1"/>
  <c r="AW73" i="261" s="1"/>
  <c r="AW75" i="261" s="1"/>
  <c r="AW84" i="261"/>
  <c r="AW93" i="261" l="1"/>
  <c r="AW94" i="261" s="1"/>
  <c r="AW85" i="261"/>
  <c r="AW86" i="261" s="1"/>
  <c r="AW13" i="277"/>
  <c r="AW14" i="277" s="1"/>
  <c r="AX83" i="261" l="1"/>
  <c r="AW25" i="49"/>
  <c r="AW26" i="49" s="1"/>
  <c r="AW57" i="277"/>
  <c r="AW59" i="277" s="1"/>
  <c r="AW21" i="277"/>
  <c r="AW32" i="49"/>
  <c r="AW33" i="49" s="1"/>
  <c r="AX91" i="261"/>
  <c r="AX69" i="261" s="1"/>
  <c r="AX71" i="261" s="1"/>
  <c r="AX74" i="261" s="1"/>
  <c r="AW35" i="49" l="1"/>
  <c r="AX14" i="261"/>
  <c r="AX65" i="261"/>
  <c r="AX20" i="295"/>
  <c r="AX22" i="295" s="1"/>
  <c r="AX24" i="295" s="1"/>
  <c r="AX25" i="295" l="1"/>
  <c r="AX31" i="295" s="1"/>
  <c r="AX33" i="295" s="1"/>
  <c r="AX26" i="295"/>
  <c r="AX40" i="295" s="1"/>
  <c r="AX41" i="295" s="1"/>
  <c r="AX48" i="295" l="1"/>
  <c r="AX50" i="49" s="1"/>
  <c r="AX43" i="295"/>
  <c r="AX45" i="295" s="1"/>
  <c r="AX34" i="295"/>
  <c r="AX49" i="49" s="1"/>
  <c r="AX58" i="295"/>
  <c r="AX59" i="295" l="1"/>
  <c r="AX60" i="295" s="1"/>
  <c r="AX47" i="295"/>
  <c r="AX49" i="295" s="1"/>
  <c r="AX51" i="49" s="1"/>
  <c r="AX52" i="49" s="1"/>
  <c r="AX30" i="277" s="1"/>
  <c r="AX15" i="261" l="1"/>
  <c r="AX24" i="49"/>
  <c r="AY57" i="295"/>
  <c r="AX16" i="261" l="1"/>
  <c r="AX18" i="261" s="1"/>
  <c r="AX20" i="261" s="1"/>
  <c r="AY39" i="295"/>
  <c r="AY13" i="295"/>
  <c r="AY14" i="295" s="1"/>
  <c r="AY16" i="295" s="1"/>
  <c r="AX11" i="277" l="1"/>
  <c r="AX35" i="261"/>
  <c r="AX36" i="261" s="1"/>
  <c r="AY33" i="261" s="1"/>
  <c r="AY19" i="261" s="1"/>
  <c r="AX21" i="261"/>
  <c r="AX55" i="49" s="1"/>
  <c r="AX56" i="49" s="1"/>
  <c r="AX59" i="49" s="1"/>
  <c r="AX30" i="49"/>
  <c r="AY18" i="295"/>
  <c r="AY44" i="295" s="1"/>
  <c r="AY17" i="295"/>
  <c r="AY32" i="295" s="1"/>
  <c r="AX66" i="261" l="1"/>
  <c r="AX67" i="261" s="1"/>
  <c r="AX73" i="261" s="1"/>
  <c r="AX75" i="261" s="1"/>
  <c r="AX84" i="261"/>
  <c r="AX85" i="261" l="1"/>
  <c r="AX86" i="261" s="1"/>
  <c r="AX93" i="261"/>
  <c r="AX94" i="261" s="1"/>
  <c r="AX13" i="277"/>
  <c r="AX14" i="277" s="1"/>
  <c r="AX32" i="49" l="1"/>
  <c r="AX33" i="49" s="1"/>
  <c r="AY91" i="261"/>
  <c r="AY69" i="261" s="1"/>
  <c r="AY71" i="261" s="1"/>
  <c r="AY74" i="261" s="1"/>
  <c r="AX21" i="277"/>
  <c r="AX57" i="277"/>
  <c r="AX59" i="277" s="1"/>
  <c r="AX25" i="49"/>
  <c r="AX26" i="49" s="1"/>
  <c r="AY83" i="261"/>
  <c r="AX35" i="49" l="1"/>
  <c r="AY20" i="295"/>
  <c r="AY22" i="295" s="1"/>
  <c r="AY24" i="295" s="1"/>
  <c r="AY65" i="261"/>
  <c r="AY14" i="261"/>
  <c r="AY26" i="295" l="1"/>
  <c r="AY40" i="295" s="1"/>
  <c r="AY41" i="295" s="1"/>
  <c r="AY25" i="295"/>
  <c r="AY31" i="295" s="1"/>
  <c r="AY33" i="295" s="1"/>
  <c r="AY58" i="295" l="1"/>
  <c r="AY34" i="295"/>
  <c r="AY49" i="49" s="1"/>
  <c r="AY48" i="295"/>
  <c r="AY50" i="49" s="1"/>
  <c r="AY43" i="295"/>
  <c r="AY45" i="295" s="1"/>
  <c r="AY59" i="295" l="1"/>
  <c r="AY60" i="295" s="1"/>
  <c r="AY47" i="295"/>
  <c r="AY49" i="295" s="1"/>
  <c r="AY51" i="49" s="1"/>
  <c r="AY52" i="49" s="1"/>
  <c r="AY30" i="277" s="1"/>
  <c r="AY15" i="261" l="1"/>
  <c r="AZ57" i="295"/>
  <c r="AY24" i="49"/>
  <c r="AY16" i="261" l="1"/>
  <c r="AY18" i="261" s="1"/>
  <c r="AY20" i="261" s="1"/>
  <c r="AZ39" i="295"/>
  <c r="AZ13" i="295"/>
  <c r="AZ14" i="295" s="1"/>
  <c r="AZ16" i="295" s="1"/>
  <c r="AY11" i="277" l="1"/>
  <c r="AY35" i="261"/>
  <c r="AY36" i="261" s="1"/>
  <c r="AZ33" i="261" s="1"/>
  <c r="AZ19" i="261" s="1"/>
  <c r="AY21" i="261"/>
  <c r="AY55" i="49" s="1"/>
  <c r="AY56" i="49" s="1"/>
  <c r="AY59" i="49" s="1"/>
  <c r="AZ17" i="295"/>
  <c r="AZ32" i="295" s="1"/>
  <c r="AZ18" i="295"/>
  <c r="AZ44" i="295" s="1"/>
  <c r="AY30" i="49" l="1"/>
  <c r="AY84" i="261"/>
  <c r="AY66" i="261"/>
  <c r="AY67" i="261" s="1"/>
  <c r="AY73" i="261" s="1"/>
  <c r="AY75" i="261" s="1"/>
  <c r="AY93" i="261" l="1"/>
  <c r="AY94" i="261" s="1"/>
  <c r="AY13" i="277"/>
  <c r="AY14" i="277" s="1"/>
  <c r="AY85" i="261"/>
  <c r="AY86" i="261" s="1"/>
  <c r="AY25" i="49" l="1"/>
  <c r="AY26" i="49" s="1"/>
  <c r="AZ83" i="261"/>
  <c r="AY57" i="277"/>
  <c r="AY59" i="277" s="1"/>
  <c r="AY21" i="277"/>
  <c r="AY32" i="49"/>
  <c r="AY33" i="49" s="1"/>
  <c r="AZ91" i="261"/>
  <c r="AZ69" i="261" s="1"/>
  <c r="AZ71" i="261" s="1"/>
  <c r="AZ74" i="261" s="1"/>
  <c r="AZ14" i="261" l="1"/>
  <c r="AZ65" i="261"/>
  <c r="AZ20" i="295"/>
  <c r="AZ22" i="295" s="1"/>
  <c r="AZ24" i="295" s="1"/>
  <c r="AY35" i="49"/>
  <c r="AZ25" i="295" l="1"/>
  <c r="AZ31" i="295" s="1"/>
  <c r="AZ33" i="295" s="1"/>
  <c r="AZ26" i="295"/>
  <c r="AZ40" i="295" s="1"/>
  <c r="AZ41" i="295" s="1"/>
  <c r="AZ43" i="295" l="1"/>
  <c r="AZ45" i="295" s="1"/>
  <c r="AZ48" i="295"/>
  <c r="AZ50" i="49" s="1"/>
  <c r="AZ58" i="295"/>
  <c r="AZ34" i="295"/>
  <c r="AZ49" i="49" s="1"/>
  <c r="AZ59" i="295" l="1"/>
  <c r="AZ60" i="295" s="1"/>
  <c r="AZ47" i="295"/>
  <c r="AZ49" i="295" s="1"/>
  <c r="AZ51" i="49" s="1"/>
  <c r="AZ52" i="49" s="1"/>
  <c r="AZ30" i="277" s="1"/>
  <c r="AZ15" i="261" l="1"/>
  <c r="AZ24" i="49"/>
  <c r="BA57" i="295"/>
  <c r="AZ16" i="261" l="1"/>
  <c r="AZ18" i="261" s="1"/>
  <c r="AZ20" i="261" s="1"/>
  <c r="BA39" i="295"/>
  <c r="BA13" i="295"/>
  <c r="BA14" i="295" s="1"/>
  <c r="BA16" i="295" s="1"/>
  <c r="AZ11" i="277" l="1"/>
  <c r="AZ21" i="261"/>
  <c r="AZ55" i="49" s="1"/>
  <c r="AZ56" i="49" s="1"/>
  <c r="AZ59" i="49" s="1"/>
  <c r="AZ35" i="261"/>
  <c r="AZ36" i="261" s="1"/>
  <c r="BA33" i="261" s="1"/>
  <c r="BA19" i="261" s="1"/>
  <c r="BA18" i="295"/>
  <c r="BA44" i="295" s="1"/>
  <c r="BA17" i="295"/>
  <c r="BA32" i="295" s="1"/>
  <c r="AZ30" i="49" l="1"/>
  <c r="AZ66" i="261"/>
  <c r="AZ67" i="261" s="1"/>
  <c r="AZ73" i="261" s="1"/>
  <c r="AZ75" i="261" s="1"/>
  <c r="AZ84" i="261"/>
  <c r="AZ13" i="277" l="1"/>
  <c r="AZ14" i="277" s="1"/>
  <c r="AZ93" i="261"/>
  <c r="AZ94" i="261" s="1"/>
  <c r="AZ85" i="261"/>
  <c r="AZ86" i="261" s="1"/>
  <c r="BA91" i="261" l="1"/>
  <c r="BA69" i="261" s="1"/>
  <c r="BA71" i="261" s="1"/>
  <c r="BA74" i="261" s="1"/>
  <c r="AZ32" i="49"/>
  <c r="AZ33" i="49" s="1"/>
  <c r="BA83" i="261"/>
  <c r="AZ25" i="49"/>
  <c r="AZ26" i="49" s="1"/>
  <c r="AZ21" i="277"/>
  <c r="AZ57" i="277"/>
  <c r="AZ59" i="277" s="1"/>
  <c r="AZ35" i="49" l="1"/>
  <c r="BA65" i="261"/>
  <c r="BA14" i="261"/>
  <c r="BA20" i="295"/>
  <c r="BA22" i="295" s="1"/>
  <c r="BA24" i="295" s="1"/>
  <c r="BA25" i="295" l="1"/>
  <c r="BA31" i="295" s="1"/>
  <c r="BA33" i="295" s="1"/>
  <c r="BA26" i="295"/>
  <c r="BA40" i="295" s="1"/>
  <c r="BA41" i="295" s="1"/>
  <c r="BA48" i="295" l="1"/>
  <c r="BA50" i="49" s="1"/>
  <c r="BA43" i="295"/>
  <c r="BA45" i="295" s="1"/>
  <c r="BA58" i="295"/>
  <c r="BA34" i="295"/>
  <c r="BA49" i="49" s="1"/>
  <c r="BA47" i="295" l="1"/>
  <c r="BA49" i="295" s="1"/>
  <c r="BA51" i="49" s="1"/>
  <c r="BA52" i="49" s="1"/>
  <c r="BA30" i="277" s="1"/>
  <c r="BA59" i="295"/>
  <c r="BA60" i="295" s="1"/>
  <c r="BB57" i="295" l="1"/>
  <c r="BA24" i="49"/>
  <c r="BA15" i="261"/>
  <c r="BA16" i="261" l="1"/>
  <c r="BA18" i="261" s="1"/>
  <c r="BA20" i="261" s="1"/>
  <c r="BA11" i="277" s="1"/>
  <c r="BB13" i="295"/>
  <c r="BB14" i="295" s="1"/>
  <c r="BB16" i="295" s="1"/>
  <c r="BB39" i="295"/>
  <c r="BA35" i="261" l="1"/>
  <c r="BA36" i="261" s="1"/>
  <c r="BA21" i="261"/>
  <c r="BA55" i="49" s="1"/>
  <c r="BA56" i="49" s="1"/>
  <c r="BB18" i="295"/>
  <c r="BB44" i="295" s="1"/>
  <c r="BB17" i="295"/>
  <c r="BB32" i="295" s="1"/>
  <c r="BB33" i="261"/>
  <c r="BB19" i="261" s="1"/>
  <c r="BA30" i="49"/>
  <c r="BA59" i="49"/>
  <c r="BA84" i="261" l="1"/>
  <c r="BA66" i="261"/>
  <c r="BA67" i="261" s="1"/>
  <c r="BA73" i="261" s="1"/>
  <c r="BA75" i="261" s="1"/>
  <c r="BA13" i="277" l="1"/>
  <c r="BA14" i="277" s="1"/>
  <c r="BA93" i="261"/>
  <c r="BA94" i="261" s="1"/>
  <c r="BA85" i="261"/>
  <c r="BA86" i="261" s="1"/>
  <c r="BA25" i="49" l="1"/>
  <c r="BA26" i="49" s="1"/>
  <c r="BB83" i="261"/>
  <c r="BB91" i="261"/>
  <c r="BB69" i="261" s="1"/>
  <c r="BB71" i="261" s="1"/>
  <c r="BB74" i="261" s="1"/>
  <c r="BA32" i="49"/>
  <c r="BA33" i="49" s="1"/>
  <c r="BA21" i="277"/>
  <c r="BA57" i="277"/>
  <c r="BA59" i="277" s="1"/>
  <c r="BB14" i="261" l="1"/>
  <c r="BB20" i="295"/>
  <c r="BB22" i="295" s="1"/>
  <c r="BB24" i="295" s="1"/>
  <c r="BB65" i="261"/>
  <c r="BA35" i="49"/>
  <c r="BB25" i="295" l="1"/>
  <c r="BB31" i="295" s="1"/>
  <c r="BB33" i="295" s="1"/>
  <c r="BB26" i="295"/>
  <c r="BB40" i="295" s="1"/>
  <c r="BB41" i="295" s="1"/>
  <c r="BB43" i="295" l="1"/>
  <c r="BB45" i="295" s="1"/>
  <c r="BB48" i="295"/>
  <c r="BB50" i="49" s="1"/>
  <c r="BB58" i="295"/>
  <c r="BB34" i="295"/>
  <c r="BB49" i="49" s="1"/>
  <c r="BB47" i="295" l="1"/>
  <c r="BB49" i="295" s="1"/>
  <c r="BB51" i="49" s="1"/>
  <c r="BB52" i="49" s="1"/>
  <c r="BB30" i="277" s="1"/>
  <c r="BB59" i="295"/>
  <c r="BB60" i="295" s="1"/>
  <c r="BB15" i="261" l="1"/>
  <c r="BC57" i="295"/>
  <c r="BB24" i="49"/>
  <c r="BB16" i="261" l="1"/>
  <c r="BB18" i="261" s="1"/>
  <c r="BB20" i="261" s="1"/>
  <c r="BB11" i="277" s="1"/>
  <c r="BC13" i="295"/>
  <c r="BC14" i="295" s="1"/>
  <c r="BC16" i="295" s="1"/>
  <c r="BC39" i="295"/>
  <c r="BB35" i="261" l="1"/>
  <c r="BB36" i="261" s="1"/>
  <c r="BC33" i="261" s="1"/>
  <c r="BC19" i="261" s="1"/>
  <c r="BB21" i="261"/>
  <c r="BB55" i="49" s="1"/>
  <c r="BB56" i="49" s="1"/>
  <c r="BB59" i="49" s="1"/>
  <c r="BB30" i="49"/>
  <c r="BC17" i="295"/>
  <c r="BC32" i="295" s="1"/>
  <c r="BC18" i="295"/>
  <c r="BC44" i="295" s="1"/>
  <c r="BB84" i="261" l="1"/>
  <c r="BB66" i="261"/>
  <c r="BB67" i="261" s="1"/>
  <c r="BB73" i="261" s="1"/>
  <c r="BB75" i="261" s="1"/>
  <c r="BB13" i="277" l="1"/>
  <c r="BB14" i="277" s="1"/>
  <c r="BB85" i="261"/>
  <c r="BB86" i="261" s="1"/>
  <c r="BB93" i="261"/>
  <c r="BB94" i="261" s="1"/>
  <c r="BB25" i="49" l="1"/>
  <c r="BB26" i="49" s="1"/>
  <c r="BC83" i="261"/>
  <c r="BC91" i="261"/>
  <c r="BC69" i="261" s="1"/>
  <c r="BC71" i="261" s="1"/>
  <c r="BC74" i="261" s="1"/>
  <c r="BB32" i="49"/>
  <c r="BB33" i="49" s="1"/>
  <c r="BB57" i="277"/>
  <c r="BB59" i="277" s="1"/>
  <c r="BB21" i="277"/>
  <c r="BC65" i="261" l="1"/>
  <c r="BC20" i="295"/>
  <c r="BC22" i="295" s="1"/>
  <c r="BC24" i="295" s="1"/>
  <c r="BC14" i="261"/>
  <c r="BB35" i="49"/>
  <c r="BC26" i="295" l="1"/>
  <c r="BC40" i="295" s="1"/>
  <c r="BC41" i="295" s="1"/>
  <c r="BC25" i="295"/>
  <c r="BC31" i="295" s="1"/>
  <c r="BC33" i="295" s="1"/>
  <c r="BC58" i="295" l="1"/>
  <c r="BC34" i="295"/>
  <c r="BC49" i="49" s="1"/>
  <c r="BC43" i="295"/>
  <c r="BC45" i="295" s="1"/>
  <c r="BC48" i="295"/>
  <c r="BC50" i="49" s="1"/>
  <c r="BC47" i="295" l="1"/>
  <c r="BC49" i="295" s="1"/>
  <c r="BC51" i="49" s="1"/>
  <c r="BC52" i="49" s="1"/>
  <c r="BC30" i="277" s="1"/>
  <c r="BC59" i="295"/>
  <c r="BC60" i="295" s="1"/>
  <c r="BC24" i="49" l="1"/>
  <c r="BD57" i="295"/>
  <c r="BC15" i="261"/>
  <c r="BC16" i="261" l="1"/>
  <c r="BC18" i="261" s="1"/>
  <c r="BC20" i="261" s="1"/>
  <c r="BD13" i="295"/>
  <c r="BD14" i="295" s="1"/>
  <c r="BD16" i="295" s="1"/>
  <c r="BD39" i="295"/>
  <c r="BC11" i="277" l="1"/>
  <c r="BC35" i="261"/>
  <c r="BC36" i="261" s="1"/>
  <c r="BC21" i="261"/>
  <c r="BC55" i="49" s="1"/>
  <c r="BC56" i="49" s="1"/>
  <c r="BD18" i="295"/>
  <c r="BD44" i="295" s="1"/>
  <c r="BD17" i="295"/>
  <c r="BD32" i="295" s="1"/>
  <c r="BC30" i="49"/>
  <c r="BD33" i="261"/>
  <c r="BD19" i="261" s="1"/>
  <c r="BC59" i="49"/>
  <c r="BC84" i="261" l="1"/>
  <c r="BC66" i="261"/>
  <c r="BC67" i="261" s="1"/>
  <c r="BC73" i="261" s="1"/>
  <c r="BC75" i="261" s="1"/>
  <c r="BC93" i="261" l="1"/>
  <c r="BC94" i="261" s="1"/>
  <c r="BC85" i="261"/>
  <c r="BC86" i="261" s="1"/>
  <c r="BC13" i="277"/>
  <c r="BC14" i="277" s="1"/>
  <c r="BD83" i="261" l="1"/>
  <c r="BC25" i="49"/>
  <c r="BC26" i="49" s="1"/>
  <c r="BC21" i="277"/>
  <c r="BC57" i="277"/>
  <c r="BC59" i="277" s="1"/>
  <c r="BC32" i="49"/>
  <c r="BC33" i="49" s="1"/>
  <c r="BD91" i="261"/>
  <c r="BD69" i="261" s="1"/>
  <c r="BD71" i="261" s="1"/>
  <c r="BD74" i="261" s="1"/>
  <c r="BC35" i="49" l="1"/>
  <c r="BD20" i="295"/>
  <c r="BD22" i="295" s="1"/>
  <c r="BD24" i="295" s="1"/>
  <c r="BD65" i="261"/>
  <c r="BD14" i="261"/>
  <c r="BD26" i="295" l="1"/>
  <c r="BD40" i="295" s="1"/>
  <c r="BD41" i="295" s="1"/>
  <c r="BD25" i="295"/>
  <c r="BD31" i="295" s="1"/>
  <c r="BD33" i="295" s="1"/>
  <c r="BD58" i="295" l="1"/>
  <c r="BD34" i="295"/>
  <c r="BD49" i="49" s="1"/>
  <c r="BD48" i="295"/>
  <c r="BD50" i="49" s="1"/>
  <c r="BD43" i="295"/>
  <c r="BD45" i="295" s="1"/>
  <c r="BD47" i="295" l="1"/>
  <c r="BD49" i="295" s="1"/>
  <c r="BD51" i="49" s="1"/>
  <c r="BD52" i="49" s="1"/>
  <c r="BD30" i="277" s="1"/>
  <c r="BD59" i="295"/>
  <c r="BD60" i="295" s="1"/>
  <c r="BE57" i="295" l="1"/>
  <c r="BD24" i="49"/>
  <c r="BD15" i="261"/>
  <c r="BD16" i="261" l="1"/>
  <c r="BD18" i="261" s="1"/>
  <c r="BD20" i="261" s="1"/>
  <c r="BE13" i="295"/>
  <c r="BE14" i="295" s="1"/>
  <c r="BE16" i="295" s="1"/>
  <c r="BE39" i="295"/>
  <c r="BD11" i="277" l="1"/>
  <c r="BD21" i="261"/>
  <c r="BD55" i="49" s="1"/>
  <c r="BD56" i="49" s="1"/>
  <c r="BD35" i="261"/>
  <c r="BD36" i="261" s="1"/>
  <c r="BE33" i="261" s="1"/>
  <c r="BE19" i="261" s="1"/>
  <c r="BE18" i="295"/>
  <c r="BE44" i="295" s="1"/>
  <c r="BE17" i="295"/>
  <c r="BE32" i="295" s="1"/>
  <c r="BD30" i="49"/>
  <c r="BD59" i="49"/>
  <c r="BD66" i="261" l="1"/>
  <c r="BD67" i="261" s="1"/>
  <c r="BD73" i="261" s="1"/>
  <c r="BD75" i="261" s="1"/>
  <c r="BD84" i="261"/>
  <c r="BD85" i="261" l="1"/>
  <c r="BD86" i="261" s="1"/>
  <c r="BD13" i="277"/>
  <c r="BD14" i="277" s="1"/>
  <c r="BD93" i="261"/>
  <c r="BD94" i="261" s="1"/>
  <c r="BE91" i="261" l="1"/>
  <c r="BE69" i="261" s="1"/>
  <c r="BE71" i="261" s="1"/>
  <c r="BE74" i="261" s="1"/>
  <c r="BD32" i="49"/>
  <c r="BD33" i="49" s="1"/>
  <c r="BD21" i="277"/>
  <c r="BD57" i="277"/>
  <c r="BD59" i="277" s="1"/>
  <c r="BE83" i="261"/>
  <c r="BD25" i="49"/>
  <c r="BD26" i="49" s="1"/>
  <c r="BD35" i="49" l="1"/>
  <c r="BE65" i="261"/>
  <c r="BE20" i="295"/>
  <c r="BE22" i="295" s="1"/>
  <c r="BE24" i="295" s="1"/>
  <c r="BE14" i="261"/>
  <c r="BE26" i="295" l="1"/>
  <c r="BE40" i="295" s="1"/>
  <c r="BE41" i="295" s="1"/>
  <c r="BE25" i="295"/>
  <c r="BE31" i="295" s="1"/>
  <c r="BE33" i="295" s="1"/>
  <c r="BE58" i="295" l="1"/>
  <c r="BE34" i="295"/>
  <c r="BE49" i="49" s="1"/>
  <c r="BE43" i="295"/>
  <c r="BE45" i="295" s="1"/>
  <c r="BE48" i="295"/>
  <c r="BE50" i="49" s="1"/>
  <c r="BE47" i="295" l="1"/>
  <c r="BE49" i="295" s="1"/>
  <c r="BE51" i="49" s="1"/>
  <c r="BE52" i="49" s="1"/>
  <c r="BE30" i="277" s="1"/>
  <c r="BE59" i="295"/>
  <c r="BE60" i="295" s="1"/>
  <c r="BF57" i="295" l="1"/>
  <c r="BE24" i="49"/>
  <c r="BE15" i="261"/>
  <c r="BE16" i="261" l="1"/>
  <c r="BE18" i="261" s="1"/>
  <c r="BE20" i="261" s="1"/>
  <c r="BF39" i="295"/>
  <c r="BF13" i="295"/>
  <c r="BF14" i="295" s="1"/>
  <c r="BF16" i="295" s="1"/>
  <c r="BE11" i="277" l="1"/>
  <c r="BE35" i="261"/>
  <c r="BE36" i="261" s="1"/>
  <c r="BE21" i="261"/>
  <c r="BE55" i="49" s="1"/>
  <c r="BE56" i="49" s="1"/>
  <c r="BE59" i="49" s="1"/>
  <c r="BF18" i="295"/>
  <c r="BF44" i="295" s="1"/>
  <c r="BF17" i="295"/>
  <c r="BF32" i="295" s="1"/>
  <c r="BE30" i="49"/>
  <c r="BF33" i="261"/>
  <c r="BF19" i="261" s="1"/>
  <c r="BE84" i="261" l="1"/>
  <c r="BE66" i="261"/>
  <c r="BE67" i="261" s="1"/>
  <c r="BE73" i="261" s="1"/>
  <c r="BE75" i="261" s="1"/>
  <c r="BE85" i="261" l="1"/>
  <c r="BE86" i="261" s="1"/>
  <c r="BE13" i="277"/>
  <c r="BE14" i="277" s="1"/>
  <c r="BE93" i="261"/>
  <c r="BE94" i="261" s="1"/>
  <c r="BE57" i="277" l="1"/>
  <c r="BE59" i="277" s="1"/>
  <c r="BE21" i="277"/>
  <c r="BE32" i="49"/>
  <c r="BE33" i="49" s="1"/>
  <c r="BF91" i="261"/>
  <c r="BF69" i="261" s="1"/>
  <c r="BF71" i="261" s="1"/>
  <c r="BF74" i="261" s="1"/>
  <c r="BE25" i="49"/>
  <c r="BE26" i="49" s="1"/>
  <c r="BE35" i="49" s="1"/>
  <c r="BF83" i="261"/>
  <c r="BF65" i="261" l="1"/>
  <c r="BF20" i="295"/>
  <c r="BF22" i="295" s="1"/>
  <c r="BF24" i="295" s="1"/>
  <c r="BF14" i="261"/>
  <c r="BF25" i="295" l="1"/>
  <c r="BF31" i="295" s="1"/>
  <c r="BF33" i="295" s="1"/>
  <c r="BF26" i="295"/>
  <c r="BF40" i="295" s="1"/>
  <c r="BF41" i="295" s="1"/>
  <c r="BF43" i="295" l="1"/>
  <c r="BF45" i="295" s="1"/>
  <c r="BF48" i="295"/>
  <c r="BF50" i="49" s="1"/>
  <c r="BF34" i="295"/>
  <c r="BF49" i="49" s="1"/>
  <c r="BF58" i="295"/>
  <c r="BF47" i="295" l="1"/>
  <c r="BF49" i="295" s="1"/>
  <c r="BF51" i="49" s="1"/>
  <c r="BF52" i="49" s="1"/>
  <c r="BF30" i="277" s="1"/>
  <c r="BF59" i="295"/>
  <c r="BF60" i="295" s="1"/>
  <c r="BG57" i="295" l="1"/>
  <c r="BF24" i="49"/>
  <c r="BF15" i="261"/>
  <c r="BF16" i="261" l="1"/>
  <c r="BF18" i="261" s="1"/>
  <c r="BF20" i="261" s="1"/>
  <c r="BG13" i="295"/>
  <c r="BG14" i="295" s="1"/>
  <c r="BG16" i="295" s="1"/>
  <c r="BG39" i="295"/>
  <c r="BF11" i="277" l="1"/>
  <c r="BF35" i="261"/>
  <c r="BF36" i="261" s="1"/>
  <c r="BG33" i="261" s="1"/>
  <c r="BG19" i="261" s="1"/>
  <c r="BF21" i="261"/>
  <c r="BF55" i="49" s="1"/>
  <c r="BF56" i="49" s="1"/>
  <c r="BF59" i="49" s="1"/>
  <c r="BG17" i="295"/>
  <c r="BG32" i="295" s="1"/>
  <c r="BG18" i="295"/>
  <c r="BG44" i="295" s="1"/>
  <c r="BF30" i="49"/>
  <c r="BF84" i="261" l="1"/>
  <c r="BF66" i="261"/>
  <c r="BF67" i="261" s="1"/>
  <c r="BF73" i="261" s="1"/>
  <c r="BF75" i="261" s="1"/>
  <c r="BF85" i="261" l="1"/>
  <c r="BF86" i="261" s="1"/>
  <c r="BF13" i="277"/>
  <c r="BF14" i="277" s="1"/>
  <c r="BF93" i="261"/>
  <c r="BF94" i="261" s="1"/>
  <c r="BF21" i="277" l="1"/>
  <c r="BF57" i="277"/>
  <c r="BF59" i="277" s="1"/>
  <c r="BF32" i="49"/>
  <c r="BF33" i="49" s="1"/>
  <c r="BG91" i="261"/>
  <c r="BG69" i="261" s="1"/>
  <c r="BG71" i="261" s="1"/>
  <c r="BG74" i="261" s="1"/>
  <c r="BG83" i="261"/>
  <c r="BF25" i="49"/>
  <c r="BF26" i="49" s="1"/>
  <c r="BF35" i="49" l="1"/>
  <c r="BG20" i="295"/>
  <c r="BG22" i="295" s="1"/>
  <c r="BG24" i="295" s="1"/>
  <c r="BG65" i="261"/>
  <c r="BG14" i="261"/>
  <c r="BG26" i="295" l="1"/>
  <c r="BG40" i="295" s="1"/>
  <c r="BG41" i="295" s="1"/>
  <c r="BG25" i="295"/>
  <c r="BG31" i="295" s="1"/>
  <c r="BG33" i="295" s="1"/>
  <c r="BG58" i="295" l="1"/>
  <c r="BG34" i="295"/>
  <c r="BG49" i="49" s="1"/>
  <c r="BG43" i="295"/>
  <c r="BG45" i="295" s="1"/>
  <c r="BG48" i="295"/>
  <c r="BG50" i="49" s="1"/>
  <c r="BG59" i="295" l="1"/>
  <c r="BG60" i="295" s="1"/>
  <c r="BG47" i="295"/>
  <c r="BG49" i="295" s="1"/>
  <c r="BG51" i="49" s="1"/>
  <c r="BG52" i="49" s="1"/>
  <c r="BG30" i="277" s="1"/>
  <c r="BG15" i="261" l="1"/>
  <c r="BG24" i="49"/>
  <c r="BH57" i="295"/>
  <c r="BG16" i="261" l="1"/>
  <c r="BG18" i="261" s="1"/>
  <c r="BG20" i="261" s="1"/>
  <c r="BH39" i="295"/>
  <c r="BH13" i="295"/>
  <c r="BH14" i="295" s="1"/>
  <c r="BH16" i="295" s="1"/>
  <c r="BG11" i="277" l="1"/>
  <c r="BG21" i="261"/>
  <c r="BG55" i="49" s="1"/>
  <c r="BG56" i="49" s="1"/>
  <c r="BG35" i="261"/>
  <c r="BG36" i="261" s="1"/>
  <c r="BH33" i="261" s="1"/>
  <c r="BH19" i="261" s="1"/>
  <c r="BH17" i="295"/>
  <c r="BH32" i="295" s="1"/>
  <c r="BH18" i="295"/>
  <c r="BH44" i="295" s="1"/>
  <c r="BG59" i="49"/>
  <c r="BG30" i="49" l="1"/>
  <c r="BG84" i="261"/>
  <c r="BG66" i="261"/>
  <c r="BG67" i="261" s="1"/>
  <c r="BG73" i="261" s="1"/>
  <c r="BG75" i="261" s="1"/>
  <c r="BG93" i="261" l="1"/>
  <c r="BG94" i="261" s="1"/>
  <c r="BG13" i="277"/>
  <c r="BG14" i="277" s="1"/>
  <c r="BG85" i="261"/>
  <c r="BG86" i="261" s="1"/>
  <c r="BG21" i="277" l="1"/>
  <c r="BG57" i="277"/>
  <c r="BG59" i="277" s="1"/>
  <c r="BH83" i="261"/>
  <c r="BG25" i="49"/>
  <c r="BG26" i="49" s="1"/>
  <c r="BH91" i="261"/>
  <c r="BH69" i="261" s="1"/>
  <c r="BH71" i="261" s="1"/>
  <c r="BH74" i="261" s="1"/>
  <c r="BG32" i="49"/>
  <c r="BG33" i="49" s="1"/>
  <c r="BG35" i="49" l="1"/>
  <c r="BH65" i="261"/>
  <c r="BH14" i="261"/>
  <c r="BH20" i="295"/>
  <c r="BH22" i="295" s="1"/>
  <c r="BH24" i="295" s="1"/>
  <c r="BH25" i="295" l="1"/>
  <c r="BH31" i="295" s="1"/>
  <c r="BH33" i="295" s="1"/>
  <c r="BH26" i="295"/>
  <c r="BH40" i="295" s="1"/>
  <c r="BH41" i="295" s="1"/>
  <c r="BH48" i="295" l="1"/>
  <c r="BH50" i="49" s="1"/>
  <c r="BH43" i="295"/>
  <c r="BH45" i="295" s="1"/>
  <c r="BH58" i="295"/>
  <c r="BH34" i="295"/>
  <c r="BH49" i="49" s="1"/>
  <c r="BH59" i="295" l="1"/>
  <c r="BH60" i="295" s="1"/>
  <c r="BH47" i="295"/>
  <c r="BH49" i="295" s="1"/>
  <c r="BH51" i="49" s="1"/>
  <c r="BH52" i="49" s="1"/>
  <c r="BH30" i="277" s="1"/>
  <c r="BH15" i="261" l="1"/>
  <c r="BH24" i="49"/>
  <c r="BI57" i="295"/>
  <c r="BH16" i="261" l="1"/>
  <c r="BH18" i="261" s="1"/>
  <c r="BH20" i="261" s="1"/>
  <c r="BI13" i="295"/>
  <c r="BI14" i="295" s="1"/>
  <c r="BI16" i="295" s="1"/>
  <c r="BI39" i="295"/>
  <c r="BH11" i="277" l="1"/>
  <c r="BH35" i="261"/>
  <c r="BH36" i="261" s="1"/>
  <c r="BI33" i="261" s="1"/>
  <c r="BI19" i="261" s="1"/>
  <c r="BH21" i="261"/>
  <c r="BH55" i="49" s="1"/>
  <c r="BH56" i="49" s="1"/>
  <c r="BI18" i="295"/>
  <c r="BI44" i="295" s="1"/>
  <c r="BI17" i="295"/>
  <c r="BI32" i="295" s="1"/>
  <c r="BH30" i="49"/>
  <c r="BH59" i="49"/>
  <c r="BH66" i="261" l="1"/>
  <c r="BH67" i="261" s="1"/>
  <c r="BH73" i="261" s="1"/>
  <c r="BH75" i="261" s="1"/>
  <c r="BH84" i="261"/>
  <c r="BH93" i="261" l="1"/>
  <c r="BH94" i="261" s="1"/>
  <c r="BH85" i="261"/>
  <c r="BH86" i="261" s="1"/>
  <c r="BH13" i="277"/>
  <c r="BH14" i="277" s="1"/>
  <c r="BI83" i="261" l="1"/>
  <c r="BH25" i="49"/>
  <c r="BH26" i="49" s="1"/>
  <c r="BH21" i="277"/>
  <c r="BH57" i="277"/>
  <c r="BH59" i="277" s="1"/>
  <c r="BH32" i="49"/>
  <c r="BH33" i="49" s="1"/>
  <c r="BI91" i="261"/>
  <c r="BI69" i="261" s="1"/>
  <c r="BI71" i="261" s="1"/>
  <c r="BI74" i="261" s="1"/>
  <c r="BH35" i="49" l="1"/>
  <c r="BI65" i="261"/>
  <c r="BI14" i="261"/>
  <c r="BI20" i="295"/>
  <c r="BI22" i="295" s="1"/>
  <c r="BI24" i="295" s="1"/>
  <c r="BI26" i="295" l="1"/>
  <c r="BI40" i="295" s="1"/>
  <c r="BI41" i="295" s="1"/>
  <c r="BI25" i="295"/>
  <c r="BI31" i="295" s="1"/>
  <c r="BI33" i="295" s="1"/>
  <c r="BI58" i="295" l="1"/>
  <c r="BI34" i="295"/>
  <c r="BI49" i="49" s="1"/>
  <c r="BI43" i="295"/>
  <c r="BI45" i="295" s="1"/>
  <c r="BI48" i="295"/>
  <c r="BI50" i="49" s="1"/>
  <c r="BI59" i="295" l="1"/>
  <c r="BI60" i="295" s="1"/>
  <c r="BI47" i="295"/>
  <c r="BI49" i="295" s="1"/>
  <c r="BI51" i="49" s="1"/>
  <c r="BI52" i="49" s="1"/>
  <c r="BI30" i="277" s="1"/>
  <c r="BI15" i="261" l="1"/>
  <c r="BJ57" i="295"/>
  <c r="BI24" i="49"/>
  <c r="BI16" i="261" l="1"/>
  <c r="BI18" i="261" s="1"/>
  <c r="BI20" i="261" s="1"/>
  <c r="BJ13" i="295"/>
  <c r="BJ14" i="295" s="1"/>
  <c r="BJ16" i="295" s="1"/>
  <c r="BJ39" i="295"/>
  <c r="BI11" i="277" l="1"/>
  <c r="BI21" i="261"/>
  <c r="BI55" i="49" s="1"/>
  <c r="BI56" i="49" s="1"/>
  <c r="BI35" i="261"/>
  <c r="BI36" i="261" s="1"/>
  <c r="BJ33" i="261" s="1"/>
  <c r="BJ19" i="261" s="1"/>
  <c r="BI59" i="49"/>
  <c r="BJ17" i="295"/>
  <c r="BJ32" i="295" s="1"/>
  <c r="BJ18" i="295"/>
  <c r="BJ44" i="295" s="1"/>
  <c r="BI30" i="49" l="1"/>
  <c r="BI66" i="261"/>
  <c r="BI67" i="261" s="1"/>
  <c r="BI73" i="261" s="1"/>
  <c r="BI75" i="261" s="1"/>
  <c r="BI84" i="261"/>
  <c r="BI13" i="277" l="1"/>
  <c r="BI14" i="277" s="1"/>
  <c r="BI85" i="261"/>
  <c r="BI86" i="261" s="1"/>
  <c r="BI93" i="261"/>
  <c r="BI94" i="261" s="1"/>
  <c r="BJ83" i="261" l="1"/>
  <c r="BI25" i="49"/>
  <c r="BI26" i="49" s="1"/>
  <c r="BI32" i="49"/>
  <c r="BI33" i="49" s="1"/>
  <c r="BJ91" i="261"/>
  <c r="BJ69" i="261" s="1"/>
  <c r="BJ71" i="261" s="1"/>
  <c r="BJ74" i="261" s="1"/>
  <c r="BI21" i="277"/>
  <c r="BI57" i="277"/>
  <c r="BI59" i="277" s="1"/>
  <c r="BI35" i="49" l="1"/>
  <c r="BJ20" i="295"/>
  <c r="BJ22" i="295" s="1"/>
  <c r="BJ24" i="295" s="1"/>
  <c r="BJ14" i="261"/>
  <c r="BJ65" i="261"/>
  <c r="BJ26" i="295" l="1"/>
  <c r="BJ40" i="295" s="1"/>
  <c r="BJ41" i="295" s="1"/>
  <c r="BJ25" i="295"/>
  <c r="BJ31" i="295" s="1"/>
  <c r="BJ33" i="295" s="1"/>
  <c r="BJ58" i="295" l="1"/>
  <c r="BJ34" i="295"/>
  <c r="BJ49" i="49" s="1"/>
  <c r="BJ48" i="295"/>
  <c r="BJ50" i="49" s="1"/>
  <c r="BJ43" i="295"/>
  <c r="BJ45" i="295" s="1"/>
  <c r="BJ59" i="295" l="1"/>
  <c r="BJ60" i="295" s="1"/>
  <c r="BJ47" i="295"/>
  <c r="BJ49" i="295" s="1"/>
  <c r="BJ51" i="49" s="1"/>
  <c r="BJ52" i="49" s="1"/>
  <c r="BJ30" i="277" s="1"/>
  <c r="BJ15" i="261" l="1"/>
  <c r="BJ24" i="49"/>
  <c r="BK57" i="295"/>
  <c r="BJ16" i="261" l="1"/>
  <c r="BJ18" i="261" s="1"/>
  <c r="BJ20" i="261" s="1"/>
  <c r="BK39" i="295"/>
  <c r="BK13" i="295"/>
  <c r="BK14" i="295" s="1"/>
  <c r="BK16" i="295" s="1"/>
  <c r="BJ11" i="277" l="1"/>
  <c r="BJ21" i="261"/>
  <c r="BJ55" i="49" s="1"/>
  <c r="BJ56" i="49" s="1"/>
  <c r="BJ35" i="261"/>
  <c r="BJ36" i="261" s="1"/>
  <c r="BK33" i="261" s="1"/>
  <c r="BK19" i="261" s="1"/>
  <c r="BJ59" i="49"/>
  <c r="BK18" i="295"/>
  <c r="BK44" i="295" s="1"/>
  <c r="BK17" i="295"/>
  <c r="BK32" i="295" s="1"/>
  <c r="BJ30" i="49"/>
  <c r="BJ84" i="261" l="1"/>
  <c r="BJ66" i="261"/>
  <c r="BJ67" i="261" s="1"/>
  <c r="BJ73" i="261" s="1"/>
  <c r="BJ75" i="261" s="1"/>
  <c r="BJ93" i="261" l="1"/>
  <c r="BJ94" i="261" s="1"/>
  <c r="BJ85" i="261"/>
  <c r="BJ86" i="261" s="1"/>
  <c r="BJ13" i="277"/>
  <c r="BJ14" i="277" s="1"/>
  <c r="BJ57" i="277" l="1"/>
  <c r="BJ59" i="277" s="1"/>
  <c r="BJ21" i="277"/>
  <c r="BK83" i="261"/>
  <c r="BJ25" i="49"/>
  <c r="BJ26" i="49" s="1"/>
  <c r="BK91" i="261"/>
  <c r="BK69" i="261" s="1"/>
  <c r="BK71" i="261" s="1"/>
  <c r="BK74" i="261" s="1"/>
  <c r="BJ32" i="49"/>
  <c r="BJ33" i="49" s="1"/>
  <c r="BK20" i="295" l="1"/>
  <c r="BK22" i="295" s="1"/>
  <c r="BK24" i="295" s="1"/>
  <c r="BK14" i="261"/>
  <c r="BK65" i="261"/>
  <c r="BJ35" i="49"/>
  <c r="BK25" i="295" l="1"/>
  <c r="BK31" i="295" s="1"/>
  <c r="BK33" i="295" s="1"/>
  <c r="BK26" i="295"/>
  <c r="BK40" i="295" s="1"/>
  <c r="BK41" i="295" s="1"/>
  <c r="BK43" i="295" l="1"/>
  <c r="BK45" i="295" s="1"/>
  <c r="BK48" i="295"/>
  <c r="BK50" i="49" s="1"/>
  <c r="BK58" i="295"/>
  <c r="BK34" i="295"/>
  <c r="BK49" i="49" s="1"/>
  <c r="BK59" i="295" l="1"/>
  <c r="BK60" i="295" s="1"/>
  <c r="BK47" i="295"/>
  <c r="BK49" i="295" s="1"/>
  <c r="BK51" i="49" s="1"/>
  <c r="BK52" i="49" s="1"/>
  <c r="BK30" i="277" s="1"/>
  <c r="BK15" i="261" l="1"/>
  <c r="BK24" i="49"/>
  <c r="BL57" i="295"/>
  <c r="BK16" i="261" l="1"/>
  <c r="BK18" i="261" s="1"/>
  <c r="BK20" i="261" s="1"/>
  <c r="BL13" i="295"/>
  <c r="BL14" i="295" s="1"/>
  <c r="BL16" i="295" s="1"/>
  <c r="BL39" i="295"/>
  <c r="BK11" i="277" l="1"/>
  <c r="BK35" i="261"/>
  <c r="BK36" i="261" s="1"/>
  <c r="BL33" i="261" s="1"/>
  <c r="BL19" i="261" s="1"/>
  <c r="BK21" i="261"/>
  <c r="BK55" i="49" s="1"/>
  <c r="BK56" i="49" s="1"/>
  <c r="BK59" i="49" s="1"/>
  <c r="BK30" i="49"/>
  <c r="BL17" i="295"/>
  <c r="BL32" i="295" s="1"/>
  <c r="BL18" i="295"/>
  <c r="BL44" i="295" s="1"/>
  <c r="BK66" i="261" l="1"/>
  <c r="BK67" i="261" s="1"/>
  <c r="BK73" i="261" s="1"/>
  <c r="BK75" i="261" s="1"/>
  <c r="BK84" i="261"/>
  <c r="BK85" i="261" l="1"/>
  <c r="BK86" i="261" s="1"/>
  <c r="BK93" i="261"/>
  <c r="BK94" i="261" s="1"/>
  <c r="BK13" i="277"/>
  <c r="BK14" i="277" s="1"/>
  <c r="BK32" i="49" l="1"/>
  <c r="BK33" i="49" s="1"/>
  <c r="BL91" i="261"/>
  <c r="BL69" i="261" s="1"/>
  <c r="BL71" i="261" s="1"/>
  <c r="BL74" i="261" s="1"/>
  <c r="BK57" i="277"/>
  <c r="BK59" i="277" s="1"/>
  <c r="BK21" i="277"/>
  <c r="BL83" i="261"/>
  <c r="BK25" i="49"/>
  <c r="BK26" i="49" s="1"/>
  <c r="BK35" i="49" l="1"/>
  <c r="BL65" i="261"/>
  <c r="BL14" i="261"/>
  <c r="BL20" i="295"/>
  <c r="BL22" i="295" s="1"/>
  <c r="BL24" i="295" s="1"/>
  <c r="BL26" i="295" l="1"/>
  <c r="BL40" i="295" s="1"/>
  <c r="BL41" i="295" s="1"/>
  <c r="BL25" i="295"/>
  <c r="BL31" i="295" s="1"/>
  <c r="BL33" i="295" s="1"/>
  <c r="BL58" i="295" l="1"/>
  <c r="BL34" i="295"/>
  <c r="BL49" i="49" s="1"/>
  <c r="BL43" i="295"/>
  <c r="BL45" i="295" s="1"/>
  <c r="BL48" i="295"/>
  <c r="BL50" i="49" s="1"/>
  <c r="BL59" i="295" l="1"/>
  <c r="BL60" i="295" s="1"/>
  <c r="BL47" i="295"/>
  <c r="BL49" i="295" s="1"/>
  <c r="BL51" i="49" s="1"/>
  <c r="BL52" i="49" s="1"/>
  <c r="BL30" i="277" s="1"/>
  <c r="BL15" i="261" l="1"/>
  <c r="BL24" i="49"/>
  <c r="BM57" i="295"/>
  <c r="BL16" i="261" l="1"/>
  <c r="BL18" i="261" s="1"/>
  <c r="BL20" i="261" s="1"/>
  <c r="BL11" i="277" s="1"/>
  <c r="BM39" i="295"/>
  <c r="BM13" i="295"/>
  <c r="BM14" i="295" s="1"/>
  <c r="BM16" i="295" s="1"/>
  <c r="BL21" i="261" l="1"/>
  <c r="BL55" i="49" s="1"/>
  <c r="BL56" i="49" s="1"/>
  <c r="BL35" i="261"/>
  <c r="BL36" i="261" s="1"/>
  <c r="BM33" i="261" s="1"/>
  <c r="BM19" i="261" s="1"/>
  <c r="BM17" i="295"/>
  <c r="BM32" i="295" s="1"/>
  <c r="BM18" i="295"/>
  <c r="BM44" i="295" s="1"/>
  <c r="BL59" i="49"/>
  <c r="BL30" i="49" l="1"/>
  <c r="BL66" i="261"/>
  <c r="BL67" i="261" s="1"/>
  <c r="BL73" i="261" s="1"/>
  <c r="BL75" i="261" s="1"/>
  <c r="BL84" i="261"/>
  <c r="BL93" i="261" l="1"/>
  <c r="BL94" i="261" s="1"/>
  <c r="BL85" i="261"/>
  <c r="BL86" i="261" s="1"/>
  <c r="BL13" i="277"/>
  <c r="BL14" i="277" s="1"/>
  <c r="BL25" i="49" l="1"/>
  <c r="BL26" i="49" s="1"/>
  <c r="BM83" i="261"/>
  <c r="BL21" i="277"/>
  <c r="BL57" i="277"/>
  <c r="BL59" i="277" s="1"/>
  <c r="BL32" i="49"/>
  <c r="BL33" i="49" s="1"/>
  <c r="BM91" i="261"/>
  <c r="BM69" i="261" s="1"/>
  <c r="BM71" i="261" s="1"/>
  <c r="BM74" i="261" s="1"/>
  <c r="BM14" i="261" l="1"/>
  <c r="BM65" i="261"/>
  <c r="BM20" i="295"/>
  <c r="BM22" i="295" s="1"/>
  <c r="BM24" i="295" s="1"/>
  <c r="BL35" i="49"/>
  <c r="BM26" i="295" l="1"/>
  <c r="BM40" i="295" s="1"/>
  <c r="BM41" i="295" s="1"/>
  <c r="BM25" i="295"/>
  <c r="BM31" i="295" s="1"/>
  <c r="BM33" i="295" s="1"/>
  <c r="BM58" i="295" l="1"/>
  <c r="BM34" i="295"/>
  <c r="BM49" i="49" s="1"/>
  <c r="BM43" i="295"/>
  <c r="BM45" i="295" s="1"/>
  <c r="BM48" i="295"/>
  <c r="BM50" i="49" s="1"/>
  <c r="BM47" i="295" l="1"/>
  <c r="BM49" i="295" s="1"/>
  <c r="BM51" i="49" s="1"/>
  <c r="BM52" i="49" s="1"/>
  <c r="BM30" i="277" s="1"/>
  <c r="BM59" i="295"/>
  <c r="BM60" i="295" s="1"/>
  <c r="BM24" i="49" l="1"/>
  <c r="BN57" i="295"/>
  <c r="BM15" i="261"/>
  <c r="BM16" i="261" l="1"/>
  <c r="BM18" i="261" s="1"/>
  <c r="BM20" i="261" s="1"/>
  <c r="BM11" i="277" s="1"/>
  <c r="BN13" i="295"/>
  <c r="BN14" i="295" s="1"/>
  <c r="BN16" i="295" s="1"/>
  <c r="BN39" i="295"/>
  <c r="BM21" i="261" l="1"/>
  <c r="BM55" i="49" s="1"/>
  <c r="BM56" i="49" s="1"/>
  <c r="BM35" i="261"/>
  <c r="BM36" i="261" s="1"/>
  <c r="BN33" i="261" s="1"/>
  <c r="BN19" i="261" s="1"/>
  <c r="BN18" i="295"/>
  <c r="BN44" i="295" s="1"/>
  <c r="BN17" i="295"/>
  <c r="BN32" i="295" s="1"/>
  <c r="BM59" i="49"/>
  <c r="BM30" i="49"/>
  <c r="BM66" i="261" l="1"/>
  <c r="BM67" i="261" s="1"/>
  <c r="BM73" i="261" s="1"/>
  <c r="BM75" i="261" s="1"/>
  <c r="BM84" i="261"/>
  <c r="BM13" i="277" l="1"/>
  <c r="BM14" i="277" s="1"/>
  <c r="BM85" i="261"/>
  <c r="BM86" i="261" s="1"/>
  <c r="BM93" i="261"/>
  <c r="BM94" i="261" s="1"/>
  <c r="BN91" i="261" l="1"/>
  <c r="BN69" i="261" s="1"/>
  <c r="BN71" i="261" s="1"/>
  <c r="BN74" i="261" s="1"/>
  <c r="BM32" i="49"/>
  <c r="BM33" i="49" s="1"/>
  <c r="BM25" i="49"/>
  <c r="BM26" i="49" s="1"/>
  <c r="BN83" i="261"/>
  <c r="BM21" i="277"/>
  <c r="BM57" i="277"/>
  <c r="BM59" i="277" s="1"/>
  <c r="BM35" i="49" l="1"/>
  <c r="BN20" i="295"/>
  <c r="BN22" i="295" s="1"/>
  <c r="BN24" i="295" s="1"/>
  <c r="BN65" i="261"/>
  <c r="BN14" i="261"/>
  <c r="BN25" i="295" l="1"/>
  <c r="BN31" i="295" s="1"/>
  <c r="BN33" i="295" s="1"/>
  <c r="BN26" i="295"/>
  <c r="BN40" i="295" s="1"/>
  <c r="BN41" i="295" s="1"/>
  <c r="BN48" i="295" l="1"/>
  <c r="BN50" i="49" s="1"/>
  <c r="BN43" i="295"/>
  <c r="BN45" i="295" s="1"/>
  <c r="BN58" i="295"/>
  <c r="BN34" i="295"/>
  <c r="BN49" i="49" s="1"/>
  <c r="BN47" i="295" l="1"/>
  <c r="BN49" i="295" s="1"/>
  <c r="BN51" i="49" s="1"/>
  <c r="BN59" i="295"/>
  <c r="BN60" i="295" s="1"/>
  <c r="BN52" i="49"/>
  <c r="BN30" i="277" s="1"/>
  <c r="BO57" i="295" l="1"/>
  <c r="BN24" i="49"/>
  <c r="BN15" i="261"/>
  <c r="BN16" i="261" l="1"/>
  <c r="BN18" i="261" s="1"/>
  <c r="BN20" i="261" s="1"/>
  <c r="BN11" i="277" s="1"/>
  <c r="BO13" i="295"/>
  <c r="BO14" i="295" s="1"/>
  <c r="BO16" i="295" s="1"/>
  <c r="BO39" i="295"/>
  <c r="BN35" i="261" l="1"/>
  <c r="BN36" i="261" s="1"/>
  <c r="BO33" i="261" s="1"/>
  <c r="BO19" i="261" s="1"/>
  <c r="BN21" i="261"/>
  <c r="BN55" i="49" s="1"/>
  <c r="BN56" i="49" s="1"/>
  <c r="BO18" i="295"/>
  <c r="BO44" i="295" s="1"/>
  <c r="BO17" i="295"/>
  <c r="BO32" i="295" s="1"/>
  <c r="BN59" i="49"/>
  <c r="BN30" i="49"/>
  <c r="BN66" i="261" l="1"/>
  <c r="BN67" i="261" s="1"/>
  <c r="BN73" i="261" s="1"/>
  <c r="BN75" i="261" s="1"/>
  <c r="BN84" i="261"/>
  <c r="BN93" i="261" l="1"/>
  <c r="BN94" i="261" s="1"/>
  <c r="BN85" i="261"/>
  <c r="BN86" i="261" s="1"/>
  <c r="BN13" i="277"/>
  <c r="BN14" i="277" s="1"/>
  <c r="BO83" i="261" l="1"/>
  <c r="BN25" i="49"/>
  <c r="BN26" i="49" s="1"/>
  <c r="BN21" i="277"/>
  <c r="BN57" i="277"/>
  <c r="BN59" i="277" s="1"/>
  <c r="BN32" i="49"/>
  <c r="BN33" i="49" s="1"/>
  <c r="BO91" i="261"/>
  <c r="BO69" i="261" s="1"/>
  <c r="BO71" i="261" s="1"/>
  <c r="BO74" i="261" s="1"/>
  <c r="BN35" i="49" l="1"/>
  <c r="BO14" i="261"/>
  <c r="BO65" i="261"/>
  <c r="BO20" i="295"/>
  <c r="BO22" i="295" s="1"/>
  <c r="BO24" i="295" s="1"/>
  <c r="BO25" i="295" l="1"/>
  <c r="BO31" i="295" s="1"/>
  <c r="BO33" i="295" s="1"/>
  <c r="BO26" i="295"/>
  <c r="BO40" i="295" s="1"/>
  <c r="BO41" i="295" s="1"/>
  <c r="BO43" i="295" l="1"/>
  <c r="BO45" i="295" s="1"/>
  <c r="BO48" i="295"/>
  <c r="BO50" i="49" s="1"/>
  <c r="BO34" i="295"/>
  <c r="BO49" i="49" s="1"/>
  <c r="BO58" i="295"/>
  <c r="BO59" i="295" l="1"/>
  <c r="BO60" i="295" s="1"/>
  <c r="BO47" i="295"/>
  <c r="BO49" i="295" s="1"/>
  <c r="BO51" i="49" s="1"/>
  <c r="BO52" i="49" s="1"/>
  <c r="BO30" i="277" s="1"/>
  <c r="BO15" i="261" l="1"/>
  <c r="BO24" i="49"/>
  <c r="BP57" i="295"/>
  <c r="BO16" i="261" l="1"/>
  <c r="BO18" i="261" s="1"/>
  <c r="BO20" i="261" s="1"/>
  <c r="BP39" i="295"/>
  <c r="BP13" i="295"/>
  <c r="BP14" i="295" s="1"/>
  <c r="BP16" i="295" s="1"/>
  <c r="BO11" i="277" l="1"/>
  <c r="BO35" i="261"/>
  <c r="BO36" i="261" s="1"/>
  <c r="BP33" i="261" s="1"/>
  <c r="BP19" i="261" s="1"/>
  <c r="BO21" i="261"/>
  <c r="BO55" i="49" s="1"/>
  <c r="BO56" i="49" s="1"/>
  <c r="BO30" i="49"/>
  <c r="BO59" i="49"/>
  <c r="BP18" i="295"/>
  <c r="BP44" i="295" s="1"/>
  <c r="BP17" i="295"/>
  <c r="BP32" i="295" s="1"/>
  <c r="BO84" i="261" l="1"/>
  <c r="BO66" i="261"/>
  <c r="BO67" i="261" s="1"/>
  <c r="BO73" i="261" s="1"/>
  <c r="BO75" i="261" s="1"/>
  <c r="BO85" i="261" l="1"/>
  <c r="BO86" i="261" s="1"/>
  <c r="BO13" i="277"/>
  <c r="BO14" i="277" s="1"/>
  <c r="BO93" i="261"/>
  <c r="BO94" i="261" s="1"/>
  <c r="BO57" i="277" l="1"/>
  <c r="BO59" i="277" s="1"/>
  <c r="BO21" i="277"/>
  <c r="BO32" i="49"/>
  <c r="BO33" i="49" s="1"/>
  <c r="BP91" i="261"/>
  <c r="BP69" i="261" s="1"/>
  <c r="BP71" i="261" s="1"/>
  <c r="BP74" i="261" s="1"/>
  <c r="BP83" i="261"/>
  <c r="BO25" i="49"/>
  <c r="BO26" i="49" s="1"/>
  <c r="BO35" i="49" l="1"/>
  <c r="BP20" i="295"/>
  <c r="BP22" i="295" s="1"/>
  <c r="BP24" i="295" s="1"/>
  <c r="BP65" i="261"/>
  <c r="BP14" i="261"/>
  <c r="BP25" i="295" l="1"/>
  <c r="BP31" i="295" s="1"/>
  <c r="BP33" i="295" s="1"/>
  <c r="BP26" i="295"/>
  <c r="BP40" i="295" s="1"/>
  <c r="BP41" i="295" s="1"/>
  <c r="BP48" i="295" l="1"/>
  <c r="BP50" i="49" s="1"/>
  <c r="BP43" i="295"/>
  <c r="BP45" i="295" s="1"/>
  <c r="BP58" i="295"/>
  <c r="BP34" i="295"/>
  <c r="BP49" i="49" s="1"/>
  <c r="BP59" i="295" l="1"/>
  <c r="BP60" i="295" s="1"/>
  <c r="BP47" i="295"/>
  <c r="BP49" i="295" s="1"/>
  <c r="BP51" i="49" s="1"/>
  <c r="BP52" i="49" s="1"/>
  <c r="BP30" i="277" s="1"/>
  <c r="BP15" i="261" l="1"/>
  <c r="BP24" i="49"/>
  <c r="BQ57" i="295"/>
  <c r="BP16" i="261" l="1"/>
  <c r="BP18" i="261" s="1"/>
  <c r="BP20" i="261" s="1"/>
  <c r="BP11" i="277" s="1"/>
  <c r="BQ13" i="295"/>
  <c r="BQ14" i="295" s="1"/>
  <c r="BQ16" i="295" s="1"/>
  <c r="BQ39" i="295"/>
  <c r="BP21" i="261" l="1"/>
  <c r="BP55" i="49" s="1"/>
  <c r="BP56" i="49" s="1"/>
  <c r="BP35" i="261"/>
  <c r="BP36" i="261" s="1"/>
  <c r="BQ33" i="261" s="1"/>
  <c r="BQ19" i="261" s="1"/>
  <c r="BP59" i="49"/>
  <c r="BP30" i="49"/>
  <c r="BQ18" i="295"/>
  <c r="BQ44" i="295" s="1"/>
  <c r="BQ17" i="295"/>
  <c r="BQ32" i="295" s="1"/>
  <c r="BP84" i="261" l="1"/>
  <c r="BP66" i="261"/>
  <c r="BP67" i="261" s="1"/>
  <c r="BP73" i="261" s="1"/>
  <c r="BP75" i="261" s="1"/>
  <c r="BP85" i="261" l="1"/>
  <c r="BP86" i="261" s="1"/>
  <c r="BP13" i="277"/>
  <c r="BP14" i="277" s="1"/>
  <c r="BP93" i="261"/>
  <c r="BP94" i="261" s="1"/>
  <c r="BP21" i="277" l="1"/>
  <c r="BP57" i="277"/>
  <c r="BP59" i="277" s="1"/>
  <c r="BQ91" i="261"/>
  <c r="BQ69" i="261" s="1"/>
  <c r="BQ71" i="261" s="1"/>
  <c r="BQ74" i="261" s="1"/>
  <c r="BP32" i="49"/>
  <c r="BP33" i="49" s="1"/>
  <c r="BP25" i="49"/>
  <c r="BP26" i="49" s="1"/>
  <c r="BQ83" i="261"/>
  <c r="BP35" i="49" l="1"/>
  <c r="BQ65" i="261"/>
  <c r="BQ20" i="295"/>
  <c r="BQ22" i="295" s="1"/>
  <c r="BQ24" i="295" s="1"/>
  <c r="BQ14" i="261"/>
  <c r="BQ26" i="295" l="1"/>
  <c r="BQ40" i="295" s="1"/>
  <c r="BQ41" i="295" s="1"/>
  <c r="BQ25" i="295"/>
  <c r="BQ31" i="295" s="1"/>
  <c r="BQ33" i="295" s="1"/>
  <c r="BQ58" i="295" l="1"/>
  <c r="BQ34" i="295"/>
  <c r="BQ49" i="49" s="1"/>
  <c r="BQ43" i="295"/>
  <c r="BQ45" i="295" s="1"/>
  <c r="BQ48" i="295"/>
  <c r="BQ50" i="49" s="1"/>
  <c r="BQ47" i="295" l="1"/>
  <c r="BQ49" i="295" s="1"/>
  <c r="BQ51" i="49" s="1"/>
  <c r="BQ52" i="49" s="1"/>
  <c r="BQ30" i="277" s="1"/>
  <c r="BQ59" i="295"/>
  <c r="BQ60" i="295" s="1"/>
  <c r="BR57" i="295" l="1"/>
  <c r="BQ24" i="49"/>
  <c r="BQ15" i="261"/>
  <c r="BQ16" i="261" l="1"/>
  <c r="BQ18" i="261" s="1"/>
  <c r="BQ20" i="261" s="1"/>
  <c r="BQ11" i="277" s="1"/>
  <c r="BR39" i="295"/>
  <c r="BR13" i="295"/>
  <c r="BR14" i="295" s="1"/>
  <c r="BR16" i="295" s="1"/>
  <c r="BQ35" i="261" l="1"/>
  <c r="BQ36" i="261" s="1"/>
  <c r="BR33" i="261" s="1"/>
  <c r="BR19" i="261" s="1"/>
  <c r="BQ21" i="261"/>
  <c r="BQ55" i="49" s="1"/>
  <c r="BQ56" i="49" s="1"/>
  <c r="BQ59" i="49" s="1"/>
  <c r="BR18" i="295"/>
  <c r="BR44" i="295" s="1"/>
  <c r="BR17" i="295"/>
  <c r="BR32" i="295" s="1"/>
  <c r="BQ30" i="49" l="1"/>
  <c r="BQ66" i="261"/>
  <c r="BQ67" i="261" s="1"/>
  <c r="BQ73" i="261" s="1"/>
  <c r="BQ75" i="261" s="1"/>
  <c r="BQ84" i="261"/>
  <c r="BQ85" i="261" l="1"/>
  <c r="BQ86" i="261" s="1"/>
  <c r="BQ13" i="277"/>
  <c r="BQ14" i="277" s="1"/>
  <c r="BQ93" i="261"/>
  <c r="BQ94" i="261" s="1"/>
  <c r="BQ21" i="277" l="1"/>
  <c r="BQ57" i="277"/>
  <c r="BQ59" i="277" s="1"/>
  <c r="BQ32" i="49"/>
  <c r="BQ33" i="49" s="1"/>
  <c r="BR91" i="261"/>
  <c r="BR69" i="261" s="1"/>
  <c r="BR71" i="261" s="1"/>
  <c r="BR74" i="261" s="1"/>
  <c r="BQ25" i="49"/>
  <c r="BQ26" i="49" s="1"/>
  <c r="BQ35" i="49" s="1"/>
  <c r="BR83" i="261"/>
  <c r="BR20" i="295" l="1"/>
  <c r="BR22" i="295" s="1"/>
  <c r="BR24" i="295" s="1"/>
  <c r="BR65" i="261"/>
  <c r="BR14" i="261"/>
  <c r="BR25" i="295" l="1"/>
  <c r="BR31" i="295" s="1"/>
  <c r="BR33" i="295" s="1"/>
  <c r="BR26" i="295"/>
  <c r="BR40" i="295" s="1"/>
  <c r="BR41" i="295" s="1"/>
  <c r="BR43" i="295" l="1"/>
  <c r="BR45" i="295" s="1"/>
  <c r="BR48" i="295"/>
  <c r="BR50" i="49" s="1"/>
  <c r="BR58" i="295"/>
  <c r="BR34" i="295"/>
  <c r="BR49" i="49" s="1"/>
  <c r="BR59" i="295" l="1"/>
  <c r="BR60" i="295" s="1"/>
  <c r="BR47" i="295"/>
  <c r="BR49" i="295" s="1"/>
  <c r="BR51" i="49" s="1"/>
  <c r="BR52" i="49" s="1"/>
  <c r="BR30" i="277" s="1"/>
  <c r="BR15" i="261" l="1"/>
  <c r="BS57" i="295"/>
  <c r="BR24" i="49"/>
  <c r="BR16" i="261" l="1"/>
  <c r="BR18" i="261" s="1"/>
  <c r="BR20" i="261" s="1"/>
  <c r="BS13" i="295"/>
  <c r="BS14" i="295" s="1"/>
  <c r="BS16" i="295" s="1"/>
  <c r="BS39" i="295"/>
  <c r="BR11" i="277" l="1"/>
  <c r="BR21" i="261"/>
  <c r="BR55" i="49" s="1"/>
  <c r="BR56" i="49" s="1"/>
  <c r="BR59" i="49" s="1"/>
  <c r="BR35" i="261"/>
  <c r="BR36" i="261" s="1"/>
  <c r="BS33" i="261" s="1"/>
  <c r="BS19" i="261" s="1"/>
  <c r="BR30" i="49"/>
  <c r="BS17" i="295"/>
  <c r="BS32" i="295" s="1"/>
  <c r="BS18" i="295"/>
  <c r="BS44" i="295" s="1"/>
  <c r="BR66" i="261" l="1"/>
  <c r="BR67" i="261" s="1"/>
  <c r="BR73" i="261" s="1"/>
  <c r="BR75" i="261" s="1"/>
  <c r="BR84" i="261"/>
  <c r="BR13" i="277" l="1"/>
  <c r="BR14" i="277" s="1"/>
  <c r="BR93" i="261"/>
  <c r="BR94" i="261" s="1"/>
  <c r="BR85" i="261"/>
  <c r="BR86" i="261" s="1"/>
  <c r="BR25" i="49" l="1"/>
  <c r="BR26" i="49" s="1"/>
  <c r="BS83" i="261"/>
  <c r="BR57" i="277"/>
  <c r="BR59" i="277" s="1"/>
  <c r="BR21" i="277"/>
  <c r="BS91" i="261"/>
  <c r="BS69" i="261" s="1"/>
  <c r="BS71" i="261" s="1"/>
  <c r="BS74" i="261" s="1"/>
  <c r="BR32" i="49"/>
  <c r="BR33" i="49" s="1"/>
  <c r="BS65" i="261" l="1"/>
  <c r="BS14" i="261"/>
  <c r="BS20" i="295"/>
  <c r="BS22" i="295" s="1"/>
  <c r="BS24" i="295" s="1"/>
  <c r="BR35" i="49"/>
  <c r="BS26" i="295" l="1"/>
  <c r="BS40" i="295" s="1"/>
  <c r="BS41" i="295" s="1"/>
  <c r="BS25" i="295"/>
  <c r="BS31" i="295" s="1"/>
  <c r="BS33" i="295" s="1"/>
  <c r="BS34" i="295" l="1"/>
  <c r="BS49" i="49" s="1"/>
  <c r="BS58" i="295"/>
  <c r="BS43" i="295"/>
  <c r="BS45" i="295" s="1"/>
  <c r="BS48" i="295"/>
  <c r="BS50" i="49" s="1"/>
  <c r="BS47" i="295" l="1"/>
  <c r="BS49" i="295" s="1"/>
  <c r="BS51" i="49" s="1"/>
  <c r="BS52" i="49" s="1"/>
  <c r="BS30" i="277" s="1"/>
  <c r="BS59" i="295"/>
  <c r="BS60" i="295" s="1"/>
  <c r="BT57" i="295" l="1"/>
  <c r="BS24" i="49"/>
  <c r="BS15" i="261"/>
  <c r="BS16" i="261" l="1"/>
  <c r="BS18" i="261" s="1"/>
  <c r="BS20" i="261" s="1"/>
  <c r="BS11" i="277" s="1"/>
  <c r="BT39" i="295"/>
  <c r="BT13" i="295"/>
  <c r="BT14" i="295" s="1"/>
  <c r="BT16" i="295" s="1"/>
  <c r="BS21" i="261" l="1"/>
  <c r="BS55" i="49" s="1"/>
  <c r="BS56" i="49" s="1"/>
  <c r="BS59" i="49" s="1"/>
  <c r="BS35" i="261"/>
  <c r="BS36" i="261" s="1"/>
  <c r="BT33" i="261" s="1"/>
  <c r="BT19" i="261" s="1"/>
  <c r="BT18" i="295"/>
  <c r="BT44" i="295" s="1"/>
  <c r="BT17" i="295"/>
  <c r="BT32" i="295" s="1"/>
  <c r="BS30" i="49" l="1"/>
  <c r="BS84" i="261"/>
  <c r="BS66" i="261"/>
  <c r="BS67" i="261" s="1"/>
  <c r="BS73" i="261" s="1"/>
  <c r="BS75" i="261" s="1"/>
  <c r="BS13" i="277" l="1"/>
  <c r="BS14" i="277" s="1"/>
  <c r="BS93" i="261"/>
  <c r="BS94" i="261" s="1"/>
  <c r="BS85" i="261"/>
  <c r="BS86" i="261" s="1"/>
  <c r="BS25" i="49" l="1"/>
  <c r="BS26" i="49" s="1"/>
  <c r="BT83" i="261"/>
  <c r="BS32" i="49"/>
  <c r="BS33" i="49" s="1"/>
  <c r="BT91" i="261"/>
  <c r="BT69" i="261" s="1"/>
  <c r="BT71" i="261" s="1"/>
  <c r="BT74" i="261" s="1"/>
  <c r="BS21" i="277"/>
  <c r="BS57" i="277"/>
  <c r="BS59" i="277" s="1"/>
  <c r="BT65" i="261" l="1"/>
  <c r="BT20" i="295"/>
  <c r="BT22" i="295" s="1"/>
  <c r="BT24" i="295" s="1"/>
  <c r="BT14" i="261"/>
  <c r="BS35" i="49"/>
  <c r="BT26" i="295" l="1"/>
  <c r="BT40" i="295" s="1"/>
  <c r="BT41" i="295" s="1"/>
  <c r="BT25" i="295"/>
  <c r="BT31" i="295" s="1"/>
  <c r="BT33" i="295" s="1"/>
  <c r="BT34" i="295" l="1"/>
  <c r="BT49" i="49" s="1"/>
  <c r="BT58" i="295"/>
  <c r="BT43" i="295"/>
  <c r="BT45" i="295" s="1"/>
  <c r="BT48" i="295"/>
  <c r="BT50" i="49" s="1"/>
  <c r="BT59" i="295" l="1"/>
  <c r="BT60" i="295" s="1"/>
  <c r="BT47" i="295"/>
  <c r="BT49" i="295" s="1"/>
  <c r="BT51" i="49" s="1"/>
  <c r="BT52" i="49" s="1"/>
  <c r="BT30" i="277" s="1"/>
  <c r="BT15" i="261" l="1"/>
  <c r="BU57" i="295"/>
  <c r="BT24" i="49"/>
  <c r="BT16" i="261" l="1"/>
  <c r="BT18" i="261" s="1"/>
  <c r="BT20" i="261" s="1"/>
  <c r="BT11" i="277" s="1"/>
  <c r="BU13" i="295"/>
  <c r="BU14" i="295" s="1"/>
  <c r="BU16" i="295" s="1"/>
  <c r="BU39" i="295"/>
  <c r="BT35" i="261" l="1"/>
  <c r="BT36" i="261" s="1"/>
  <c r="BU33" i="261" s="1"/>
  <c r="BU19" i="261" s="1"/>
  <c r="BT21" i="261"/>
  <c r="BT55" i="49" s="1"/>
  <c r="BT56" i="49" s="1"/>
  <c r="BT59" i="49" s="1"/>
  <c r="BU18" i="295"/>
  <c r="BU44" i="295" s="1"/>
  <c r="BU17" i="295"/>
  <c r="BU32" i="295" s="1"/>
  <c r="BT30" i="49" l="1"/>
  <c r="BT66" i="261"/>
  <c r="BT67" i="261" s="1"/>
  <c r="BT73" i="261" s="1"/>
  <c r="BT75" i="261" s="1"/>
  <c r="BT84" i="261"/>
  <c r="BT85" i="261" l="1"/>
  <c r="BT86" i="261" s="1"/>
  <c r="BT93" i="261"/>
  <c r="BT94" i="261" s="1"/>
  <c r="BT13" i="277"/>
  <c r="BT14" i="277" s="1"/>
  <c r="BT57" i="277" l="1"/>
  <c r="BT59" i="277" s="1"/>
  <c r="BT21" i="277"/>
  <c r="BT32" i="49"/>
  <c r="BT33" i="49" s="1"/>
  <c r="BU91" i="261"/>
  <c r="BU69" i="261" s="1"/>
  <c r="BU71" i="261" s="1"/>
  <c r="BU74" i="261" s="1"/>
  <c r="BT25" i="49"/>
  <c r="BT26" i="49" s="1"/>
  <c r="BU83" i="261"/>
  <c r="BT35" i="49" l="1"/>
  <c r="BU65" i="261"/>
  <c r="BU14" i="261"/>
  <c r="BU20" i="295"/>
  <c r="BU22" i="295" s="1"/>
  <c r="BU24" i="295" s="1"/>
  <c r="BU26" i="295" l="1"/>
  <c r="BU40" i="295" s="1"/>
  <c r="BU41" i="295" s="1"/>
  <c r="BU25" i="295"/>
  <c r="BU31" i="295" s="1"/>
  <c r="BU33" i="295" s="1"/>
  <c r="BU58" i="295" l="1"/>
  <c r="BU34" i="295"/>
  <c r="BU49" i="49" s="1"/>
  <c r="BU48" i="295"/>
  <c r="BU50" i="49" s="1"/>
  <c r="BU43" i="295"/>
  <c r="BU45" i="295" s="1"/>
  <c r="BU59" i="295" l="1"/>
  <c r="BU60" i="295" s="1"/>
  <c r="BU47" i="295"/>
  <c r="BU49" i="295" s="1"/>
  <c r="BU51" i="49" s="1"/>
  <c r="BU52" i="49" s="1"/>
  <c r="BU30" i="277" s="1"/>
  <c r="BU15" i="261" l="1"/>
  <c r="BU24" i="49"/>
  <c r="BV57" i="295"/>
  <c r="BU16" i="261" l="1"/>
  <c r="BU18" i="261" s="1"/>
  <c r="BU20" i="261" s="1"/>
  <c r="BU11" i="277" s="1"/>
  <c r="BV39" i="295"/>
  <c r="BV13" i="295"/>
  <c r="BV14" i="295" s="1"/>
  <c r="BV16" i="295" s="1"/>
  <c r="BU21" i="261" l="1"/>
  <c r="BU55" i="49" s="1"/>
  <c r="BU56" i="49" s="1"/>
  <c r="BU35" i="261"/>
  <c r="BU36" i="261" s="1"/>
  <c r="BV18" i="295"/>
  <c r="BV17" i="295"/>
  <c r="BU59" i="49"/>
  <c r="BV33" i="261"/>
  <c r="BV19" i="261" s="1"/>
  <c r="BU30" i="49"/>
  <c r="BU84" i="261" l="1"/>
  <c r="BU66" i="261"/>
  <c r="BU67" i="261" s="1"/>
  <c r="BU73" i="261" s="1"/>
  <c r="BU75" i="261" s="1"/>
  <c r="BV32" i="295"/>
  <c r="BV44" i="295"/>
  <c r="BU13" i="277" l="1"/>
  <c r="BU14" i="277" s="1"/>
  <c r="BU93" i="261"/>
  <c r="BU94" i="261" s="1"/>
  <c r="BU85" i="261"/>
  <c r="BU86" i="261" s="1"/>
  <c r="BV91" i="261" l="1"/>
  <c r="BV69" i="261" s="1"/>
  <c r="BV71" i="261" s="1"/>
  <c r="BV74" i="261" s="1"/>
  <c r="BU32" i="49"/>
  <c r="BU33" i="49" s="1"/>
  <c r="BU25" i="49"/>
  <c r="BU26" i="49" s="1"/>
  <c r="BU35" i="49" s="1"/>
  <c r="BV83" i="261"/>
  <c r="BU21" i="277"/>
  <c r="BU57" i="277"/>
  <c r="BU59" i="277" s="1"/>
  <c r="BV14" i="261" l="1"/>
  <c r="BV20" i="295"/>
  <c r="BV22" i="295" s="1"/>
  <c r="BV24" i="295" s="1"/>
  <c r="BV65" i="261"/>
  <c r="BV25" i="295" l="1"/>
  <c r="BV26" i="295"/>
  <c r="BV40" i="295" l="1"/>
  <c r="BV41" i="295" s="1"/>
  <c r="BV31" i="295"/>
  <c r="BV33" i="295" s="1"/>
  <c r="BV58" i="295" l="1"/>
  <c r="BV34" i="295"/>
  <c r="BV48" i="295"/>
  <c r="BV50" i="49" s="1"/>
  <c r="BV43" i="295"/>
  <c r="BV45" i="295" s="1"/>
  <c r="BV47" i="295" l="1"/>
  <c r="BV49" i="295" s="1"/>
  <c r="BV59" i="295"/>
  <c r="BV60" i="295" s="1"/>
  <c r="BV49" i="49"/>
  <c r="BV24" i="49" l="1"/>
  <c r="BW57" i="295"/>
  <c r="BV51" i="49"/>
  <c r="BV52" i="49" s="1"/>
  <c r="BV30" i="277" s="1"/>
  <c r="BW39" i="295" l="1"/>
  <c r="BW13" i="295"/>
  <c r="BW14" i="295" s="1"/>
  <c r="BW16" i="295" s="1"/>
  <c r="BV15" i="261"/>
  <c r="BV16" i="261" l="1"/>
  <c r="BV18" i="261" s="1"/>
  <c r="BV20" i="261" s="1"/>
  <c r="BV11" i="277" s="1"/>
  <c r="BW17" i="295"/>
  <c r="BW18" i="295"/>
  <c r="BV21" i="261" l="1"/>
  <c r="BV55" i="49" s="1"/>
  <c r="BV56" i="49" s="1"/>
  <c r="BV35" i="261"/>
  <c r="BV36" i="261" s="1"/>
  <c r="BW33" i="261" s="1"/>
  <c r="BW19" i="261" s="1"/>
  <c r="BW32" i="295"/>
  <c r="BV59" i="49"/>
  <c r="BW44" i="295"/>
  <c r="BV30" i="49" l="1"/>
  <c r="BV66" i="261"/>
  <c r="BV67" i="261" s="1"/>
  <c r="BV73" i="261" s="1"/>
  <c r="BV75" i="261" s="1"/>
  <c r="BV84" i="261"/>
  <c r="BV93" i="261" l="1"/>
  <c r="BV94" i="261" s="1"/>
  <c r="BV85" i="261"/>
  <c r="BV86" i="261" s="1"/>
  <c r="BV13" i="277"/>
  <c r="BV14" i="277" s="1"/>
  <c r="BW83" i="261" l="1"/>
  <c r="BV25" i="49"/>
  <c r="BV26" i="49" s="1"/>
  <c r="BV21" i="277"/>
  <c r="BV57" i="277"/>
  <c r="BV59" i="277" s="1"/>
  <c r="BV32" i="49"/>
  <c r="BV33" i="49" s="1"/>
  <c r="BW91" i="261"/>
  <c r="BW69" i="261" s="1"/>
  <c r="BW71" i="261" s="1"/>
  <c r="BW74" i="261" s="1"/>
  <c r="BV35" i="49" l="1"/>
  <c r="BW14" i="261"/>
  <c r="BW65" i="261"/>
  <c r="BW20" i="295"/>
  <c r="BW22" i="295" s="1"/>
  <c r="BW24" i="295" s="1"/>
  <c r="BW26" i="295" l="1"/>
  <c r="BW25" i="295"/>
  <c r="BW31" i="295" l="1"/>
  <c r="BW33" i="295" s="1"/>
  <c r="BW40" i="295"/>
  <c r="BW41" i="295" s="1"/>
  <c r="BW48" i="295" l="1"/>
  <c r="BW50" i="49" s="1"/>
  <c r="BW43" i="295"/>
  <c r="BW45" i="295" s="1"/>
  <c r="BW58" i="295"/>
  <c r="BW34" i="295"/>
  <c r="BW49" i="49" l="1"/>
  <c r="BW47" i="295"/>
  <c r="BW49" i="295" s="1"/>
  <c r="BW59" i="295"/>
  <c r="BW60" i="295" s="1"/>
  <c r="BW24" i="49" l="1"/>
  <c r="BX57" i="295"/>
  <c r="BW51" i="49"/>
  <c r="BW52" i="49"/>
  <c r="BW30" i="277" s="1"/>
  <c r="BW15" i="261" l="1"/>
  <c r="BX13" i="295"/>
  <c r="BX14" i="295" s="1"/>
  <c r="BX16" i="295" s="1"/>
  <c r="BX39" i="295"/>
  <c r="BW16" i="261" l="1"/>
  <c r="BW18" i="261" s="1"/>
  <c r="BW20" i="261" s="1"/>
  <c r="BX18" i="295"/>
  <c r="BX17" i="295"/>
  <c r="BW11" i="277" l="1"/>
  <c r="BW35" i="261"/>
  <c r="BW36" i="261" s="1"/>
  <c r="BX33" i="261" s="1"/>
  <c r="BX19" i="261" s="1"/>
  <c r="BW21" i="261"/>
  <c r="BW55" i="49" s="1"/>
  <c r="BW56" i="49" s="1"/>
  <c r="BW59" i="49"/>
  <c r="BX32" i="295"/>
  <c r="BX44" i="295"/>
  <c r="BW30" i="49" l="1"/>
  <c r="BW84" i="261"/>
  <c r="BW66" i="261"/>
  <c r="BW67" i="261" s="1"/>
  <c r="BW73" i="261" s="1"/>
  <c r="BW75" i="261" s="1"/>
  <c r="BW85" i="261" l="1"/>
  <c r="BW86" i="261" s="1"/>
  <c r="BW93" i="261"/>
  <c r="BW94" i="261" s="1"/>
  <c r="BW13" i="277"/>
  <c r="BW14" i="277" s="1"/>
  <c r="BX91" i="261" l="1"/>
  <c r="BX69" i="261" s="1"/>
  <c r="BX71" i="261" s="1"/>
  <c r="BX74" i="261" s="1"/>
  <c r="BW32" i="49"/>
  <c r="BW33" i="49" s="1"/>
  <c r="BW21" i="277"/>
  <c r="BW57" i="277"/>
  <c r="BW59" i="277" s="1"/>
  <c r="BW25" i="49"/>
  <c r="BW26" i="49" s="1"/>
  <c r="BW35" i="49" s="1"/>
  <c r="BX83" i="261"/>
  <c r="BX20" i="295" l="1"/>
  <c r="BX22" i="295" s="1"/>
  <c r="BX24" i="295" s="1"/>
  <c r="BX14" i="261"/>
  <c r="BX65" i="261"/>
  <c r="BX26" i="295" l="1"/>
  <c r="BX25" i="295"/>
  <c r="BX31" i="295" l="1"/>
  <c r="BX33" i="295" s="1"/>
  <c r="BX40" i="295"/>
  <c r="BX41" i="295" s="1"/>
  <c r="BX48" i="295" l="1"/>
  <c r="BX50" i="49" s="1"/>
  <c r="BX43" i="295"/>
  <c r="BX45" i="295" s="1"/>
  <c r="BX34" i="295"/>
  <c r="BX58" i="295"/>
  <c r="BX49" i="49" l="1"/>
  <c r="BX59" i="295"/>
  <c r="BX60" i="295" s="1"/>
  <c r="BX47" i="295"/>
  <c r="BX49" i="295" s="1"/>
  <c r="BY57" i="295" l="1"/>
  <c r="BX24" i="49"/>
  <c r="BX51" i="49"/>
  <c r="BX52" i="49"/>
  <c r="BX30" i="277" s="1"/>
  <c r="BX15" i="261" l="1"/>
  <c r="BY39" i="295"/>
  <c r="BY13" i="295"/>
  <c r="BY14" i="295" s="1"/>
  <c r="BY16" i="295" s="1"/>
  <c r="BX16" i="261" l="1"/>
  <c r="BX18" i="261" s="1"/>
  <c r="BX20" i="261" s="1"/>
  <c r="BX11" i="277" s="1"/>
  <c r="BY18" i="295"/>
  <c r="BY17" i="295"/>
  <c r="BX35" i="261" l="1"/>
  <c r="BX36" i="261" s="1"/>
  <c r="BY33" i="261" s="1"/>
  <c r="BY19" i="261" s="1"/>
  <c r="BX21" i="261"/>
  <c r="BX55" i="49" s="1"/>
  <c r="BX56" i="49" s="1"/>
  <c r="BX30" i="49"/>
  <c r="BY32" i="295"/>
  <c r="BX59" i="49"/>
  <c r="BY44" i="295"/>
  <c r="BX66" i="261" l="1"/>
  <c r="BX67" i="261" s="1"/>
  <c r="BX73" i="261" s="1"/>
  <c r="BX75" i="261" s="1"/>
  <c r="BX84" i="261"/>
  <c r="BX93" i="261" l="1"/>
  <c r="BX94" i="261" s="1"/>
  <c r="BX13" i="277"/>
  <c r="BX14" i="277" s="1"/>
  <c r="BX85" i="261"/>
  <c r="BX86" i="261" s="1"/>
  <c r="BX57" i="277" l="1"/>
  <c r="BX59" i="277" s="1"/>
  <c r="BX21" i="277"/>
  <c r="BY83" i="261"/>
  <c r="BX25" i="49"/>
  <c r="BX26" i="49" s="1"/>
  <c r="BX32" i="49"/>
  <c r="BX33" i="49" s="1"/>
  <c r="BY91" i="261"/>
  <c r="BY69" i="261" s="1"/>
  <c r="BY71" i="261" s="1"/>
  <c r="BY74" i="261" s="1"/>
  <c r="BX35" i="49" l="1"/>
  <c r="BY14" i="261"/>
  <c r="BY65" i="261"/>
  <c r="BY20" i="295"/>
  <c r="BY22" i="295" s="1"/>
  <c r="BY24" i="295" s="1"/>
  <c r="BY26" i="295" l="1"/>
  <c r="BY25" i="295"/>
  <c r="BY31" i="295" l="1"/>
  <c r="BY33" i="295" s="1"/>
  <c r="BY40" i="295"/>
  <c r="BY41" i="295" s="1"/>
  <c r="BY48" i="295" l="1"/>
  <c r="BY50" i="49" s="1"/>
  <c r="BY43" i="295"/>
  <c r="BY45" i="295" s="1"/>
  <c r="BY34" i="295"/>
  <c r="BY58" i="295"/>
  <c r="BY49" i="49" l="1"/>
  <c r="BY59" i="295"/>
  <c r="BY60" i="295" s="1"/>
  <c r="BY47" i="295"/>
  <c r="BY49" i="295" s="1"/>
  <c r="BY51" i="49" l="1"/>
  <c r="BY52" i="49" s="1"/>
  <c r="BY30" i="277" s="1"/>
  <c r="BZ57" i="295"/>
  <c r="BY24" i="49"/>
  <c r="BY15" i="261" l="1"/>
  <c r="BZ13" i="295"/>
  <c r="BZ14" i="295" s="1"/>
  <c r="BZ16" i="295" s="1"/>
  <c r="BZ39" i="295"/>
  <c r="BY16" i="261" l="1"/>
  <c r="BY18" i="261" s="1"/>
  <c r="BY20" i="261" s="1"/>
  <c r="BY11" i="277" s="1"/>
  <c r="BZ18" i="295"/>
  <c r="BZ17" i="295"/>
  <c r="BY35" i="261" l="1"/>
  <c r="BY36" i="261" s="1"/>
  <c r="BZ33" i="261" s="1"/>
  <c r="BZ19" i="261" s="1"/>
  <c r="BY21" i="261"/>
  <c r="BY55" i="49" s="1"/>
  <c r="BY56" i="49" s="1"/>
  <c r="BY59" i="49" s="1"/>
  <c r="BZ32" i="295"/>
  <c r="BZ44" i="295"/>
  <c r="BY30" i="49" l="1"/>
  <c r="BY84" i="261"/>
  <c r="BY66" i="261"/>
  <c r="BY67" i="261" s="1"/>
  <c r="BY73" i="261" s="1"/>
  <c r="BY75" i="261" s="1"/>
  <c r="BY13" i="277" l="1"/>
  <c r="BY14" i="277" s="1"/>
  <c r="BY85" i="261"/>
  <c r="BY86" i="261" s="1"/>
  <c r="BY93" i="261"/>
  <c r="BY94" i="261" s="1"/>
  <c r="BY32" i="49" l="1"/>
  <c r="BY33" i="49" s="1"/>
  <c r="BZ91" i="261"/>
  <c r="BZ69" i="261" s="1"/>
  <c r="BZ71" i="261" s="1"/>
  <c r="BZ74" i="261" s="1"/>
  <c r="BZ83" i="261"/>
  <c r="BY25" i="49"/>
  <c r="BY26" i="49" s="1"/>
  <c r="BY21" i="277"/>
  <c r="BY57" i="277"/>
  <c r="BY59" i="277" s="1"/>
  <c r="BY35" i="49" l="1"/>
  <c r="BZ65" i="261"/>
  <c r="BZ14" i="261"/>
  <c r="BZ20" i="295"/>
  <c r="BZ22" i="295" s="1"/>
  <c r="BZ24" i="295" s="1"/>
  <c r="BZ25" i="295" l="1"/>
  <c r="BZ26" i="295"/>
  <c r="BZ40" i="295" l="1"/>
  <c r="BZ41" i="295" s="1"/>
  <c r="BZ31" i="295"/>
  <c r="BZ33" i="295" s="1"/>
  <c r="BZ34" i="295" l="1"/>
  <c r="BZ58" i="295"/>
  <c r="BZ43" i="295"/>
  <c r="BZ45" i="295" s="1"/>
  <c r="BZ48" i="295"/>
  <c r="BZ50" i="49" s="1"/>
  <c r="BZ59" i="295" l="1"/>
  <c r="BZ60" i="295" s="1"/>
  <c r="BZ47" i="295"/>
  <c r="BZ49" i="295" s="1"/>
  <c r="BZ49" i="49"/>
  <c r="BZ51" i="49" l="1"/>
  <c r="BZ52" i="49" s="1"/>
  <c r="BZ30" i="277" s="1"/>
  <c r="BZ24" i="49"/>
  <c r="CA57" i="295"/>
  <c r="CA13" i="295" l="1"/>
  <c r="CA14" i="295" s="1"/>
  <c r="CA16" i="295" s="1"/>
  <c r="CA39" i="295"/>
  <c r="BZ15" i="261"/>
  <c r="BZ16" i="261" l="1"/>
  <c r="BZ18" i="261" s="1"/>
  <c r="BZ20" i="261" s="1"/>
  <c r="CA17" i="295"/>
  <c r="CA18" i="295"/>
  <c r="BZ11" i="277" l="1"/>
  <c r="BZ21" i="261"/>
  <c r="BZ55" i="49" s="1"/>
  <c r="BZ56" i="49" s="1"/>
  <c r="BZ35" i="261"/>
  <c r="BZ36" i="261" s="1"/>
  <c r="BZ30" i="49" s="1"/>
  <c r="CA44" i="295"/>
  <c r="H18" i="295"/>
  <c r="H44" i="295" s="1"/>
  <c r="CA32" i="295"/>
  <c r="H17" i="295"/>
  <c r="H32" i="295" s="1"/>
  <c r="BZ59" i="49"/>
  <c r="CA33" i="261" l="1"/>
  <c r="CA19" i="261" s="1"/>
  <c r="BZ84" i="261"/>
  <c r="BZ66" i="261"/>
  <c r="BZ67" i="261" s="1"/>
  <c r="BZ73" i="261" s="1"/>
  <c r="BZ75" i="261" s="1"/>
  <c r="BZ85" i="261" l="1"/>
  <c r="BZ86" i="261" s="1"/>
  <c r="BZ93" i="261"/>
  <c r="BZ94" i="261" s="1"/>
  <c r="BZ13" i="277"/>
  <c r="BZ14" i="277" s="1"/>
  <c r="BZ32" i="49" l="1"/>
  <c r="BZ33" i="49" s="1"/>
  <c r="CA91" i="261"/>
  <c r="CA69" i="261" s="1"/>
  <c r="CA71" i="261" s="1"/>
  <c r="CA74" i="261" s="1"/>
  <c r="BZ57" i="277"/>
  <c r="BZ59" i="277" s="1"/>
  <c r="BZ21" i="277"/>
  <c r="CA83" i="261"/>
  <c r="BZ25" i="49"/>
  <c r="BZ26" i="49" s="1"/>
  <c r="CA14" i="261" l="1"/>
  <c r="CA20" i="295"/>
  <c r="CA22" i="295" s="1"/>
  <c r="CA24" i="295" s="1"/>
  <c r="CA65" i="261"/>
  <c r="BZ35" i="49"/>
  <c r="CA26" i="295" l="1"/>
  <c r="CA25" i="295"/>
  <c r="CA31" i="295" l="1"/>
  <c r="CA33" i="295" s="1"/>
  <c r="H25" i="295"/>
  <c r="H31" i="295" s="1"/>
  <c r="CA40" i="295"/>
  <c r="CA41" i="295" s="1"/>
  <c r="H26" i="295"/>
  <c r="H40" i="295" s="1"/>
  <c r="CA48" i="295" l="1"/>
  <c r="CA50" i="49" s="1"/>
  <c r="CA43" i="295"/>
  <c r="CA45" i="295" s="1"/>
  <c r="H41" i="295"/>
  <c r="CA34" i="295"/>
  <c r="CA58" i="295"/>
  <c r="H33" i="295"/>
  <c r="H58" i="295" s="1"/>
  <c r="CA49" i="49" l="1"/>
  <c r="H34" i="295"/>
  <c r="H49" i="49" s="1"/>
  <c r="CA47" i="295"/>
  <c r="CA49" i="295" s="1"/>
  <c r="CA59" i="295"/>
  <c r="CA60" i="295" s="1"/>
  <c r="CA24" i="49" s="1"/>
  <c r="H45" i="295"/>
  <c r="H48" i="295"/>
  <c r="H50" i="49" s="1"/>
  <c r="H43" i="295"/>
  <c r="H59" i="295" l="1"/>
  <c r="H47" i="295"/>
  <c r="CA51" i="49"/>
  <c r="CA52" i="49" s="1"/>
  <c r="CA30" i="277" s="1"/>
  <c r="H49" i="295"/>
  <c r="H51" i="49" s="1"/>
  <c r="CA15" i="261" l="1"/>
  <c r="H52" i="49"/>
  <c r="CA16" i="261" l="1"/>
  <c r="CA18" i="261" s="1"/>
  <c r="CA20" i="261" s="1"/>
  <c r="H15" i="261"/>
  <c r="H30" i="277"/>
  <c r="CA11" i="277" l="1"/>
  <c r="CA35" i="261"/>
  <c r="CA36" i="261" s="1"/>
  <c r="CA30" i="49" s="1"/>
  <c r="CA21" i="261"/>
  <c r="H21" i="261"/>
  <c r="H55" i="49" s="1"/>
  <c r="CA55" i="49"/>
  <c r="CA56" i="49" s="1"/>
  <c r="F32" i="277" l="1"/>
  <c r="CA59" i="49"/>
  <c r="H56" i="49"/>
  <c r="CA66" i="261" l="1"/>
  <c r="CA67" i="261" s="1"/>
  <c r="CA73" i="261" s="1"/>
  <c r="CA75" i="261" s="1"/>
  <c r="CA84" i="261"/>
  <c r="H59" i="49"/>
  <c r="H66" i="261" l="1"/>
  <c r="H84" i="261"/>
  <c r="CA85" i="261"/>
  <c r="CA86" i="261" s="1"/>
  <c r="CA25" i="49" s="1"/>
  <c r="CA26" i="49" s="1"/>
  <c r="CA93" i="261"/>
  <c r="CA94" i="261" s="1"/>
  <c r="CA32" i="49" s="1"/>
  <c r="CA33" i="49" s="1"/>
  <c r="CA13" i="277"/>
  <c r="CA14" i="277" s="1"/>
  <c r="H75" i="261"/>
  <c r="CA21" i="277" l="1"/>
  <c r="F23" i="277" s="1"/>
  <c r="CA57" i="277"/>
  <c r="CA59" i="277" s="1"/>
  <c r="H14" i="277"/>
  <c r="H93" i="261"/>
  <c r="H85" i="261"/>
  <c r="H13" i="277"/>
  <c r="CA35" i="49"/>
  <c r="H35" i="49" s="1"/>
  <c r="H57" i="277" l="1"/>
  <c r="H21" i="277"/>
  <c r="F60" i="277"/>
  <c r="F62" i="277" s="1"/>
  <c r="F64" i="277" s="1"/>
  <c r="H59" i="277"/>
</calcChain>
</file>

<file path=xl/comments1.xml><?xml version="1.0" encoding="utf-8"?>
<comments xmlns="http://schemas.openxmlformats.org/spreadsheetml/2006/main">
  <authors>
    <author>John Richter</author>
  </authors>
  <commentList>
    <comment ref="E32" authorId="0">
      <text>
        <r>
          <rPr>
            <b/>
            <sz val="9"/>
            <color indexed="81"/>
            <rFont val="Tahoma"/>
            <family val="2"/>
          </rPr>
          <t>John Richter:</t>
        </r>
        <r>
          <rPr>
            <sz val="9"/>
            <color indexed="81"/>
            <rFont val="Tahoma"/>
            <family val="2"/>
          </rPr>
          <t xml:space="preserve">
Need to check with tax guys re: whether tax losses need to be carried forward.</t>
        </r>
      </text>
    </comment>
  </commentList>
</comments>
</file>

<file path=xl/comments2.xml><?xml version="1.0" encoding="utf-8"?>
<comments xmlns="http://schemas.openxmlformats.org/spreadsheetml/2006/main">
  <authors>
    <author>John Richter</author>
  </authors>
  <commentList>
    <comment ref="F23" authorId="0">
      <text>
        <r>
          <rPr>
            <b/>
            <sz val="9"/>
            <color indexed="81"/>
            <rFont val="Tahoma"/>
            <family val="2"/>
          </rPr>
          <t>John Richter:</t>
        </r>
        <r>
          <rPr>
            <sz val="9"/>
            <color indexed="81"/>
            <rFont val="Tahoma"/>
            <family val="2"/>
          </rPr>
          <t xml:space="preserve">
Beware code not upgraded to handle zero cash flow at financial close.</t>
        </r>
      </text>
    </comment>
  </commentList>
</comments>
</file>

<file path=xl/sharedStrings.xml><?xml version="1.0" encoding="utf-8"?>
<sst xmlns="http://schemas.openxmlformats.org/spreadsheetml/2006/main" count="543" uniqueCount="353">
  <si>
    <t>[increases in balance]</t>
  </si>
  <si>
    <t>Model column counter</t>
  </si>
  <si>
    <t>First date of time ruler</t>
  </si>
  <si>
    <t>constant</t>
  </si>
  <si>
    <t>unit</t>
  </si>
  <si>
    <t>total</t>
  </si>
  <si>
    <t>Length of forecast period</t>
  </si>
  <si>
    <t>years</t>
  </si>
  <si>
    <t>Last forecast date</t>
  </si>
  <si>
    <t xml:space="preserve"> </t>
  </si>
  <si>
    <t>FLAGS</t>
  </si>
  <si>
    <t>TIME RULER</t>
  </si>
  <si>
    <t>flag</t>
  </si>
  <si>
    <t>date</t>
  </si>
  <si>
    <t>PROFIT AND LOSS</t>
  </si>
  <si>
    <t>Profit before tax</t>
  </si>
  <si>
    <t>Profit after tax</t>
  </si>
  <si>
    <t>BALANCE SHEET</t>
  </si>
  <si>
    <t>Total assets</t>
  </si>
  <si>
    <t>Total liabilities and shareholder funds</t>
  </si>
  <si>
    <t>CASH FLOW PAYMENT CASCADE</t>
  </si>
  <si>
    <t>Cash flow available for debt service</t>
  </si>
  <si>
    <t>Cash flow available for dividends</t>
  </si>
  <si>
    <t>plus:</t>
  </si>
  <si>
    <t>less:</t>
  </si>
  <si>
    <t>BALANCE</t>
  </si>
  <si>
    <t>%</t>
  </si>
  <si>
    <t>€ 000s</t>
  </si>
  <si>
    <t>seats</t>
  </si>
  <si>
    <t>[xxx] - Initial balance</t>
  </si>
  <si>
    <t>[xxx] balance BEG</t>
  </si>
  <si>
    <t>[reductions in balance]</t>
  </si>
  <si>
    <t>[xxx] balance</t>
  </si>
  <si>
    <t>SIGN SWITCH</t>
  </si>
  <si>
    <t>Sign switch line item POS</t>
  </si>
  <si>
    <t>units</t>
  </si>
  <si>
    <t>Balance sheet difference</t>
  </si>
  <si>
    <t>planes</t>
  </si>
  <si>
    <t>Passengers per landing</t>
  </si>
  <si>
    <t>Aircraft capacity - domestic scheduled</t>
  </si>
  <si>
    <t>Aircraft capacity - international chartered</t>
  </si>
  <si>
    <t>Aircraft capacity - international scheduled</t>
  </si>
  <si>
    <t>Operating income / EBITDA</t>
  </si>
  <si>
    <t>Landings - domestic charter</t>
  </si>
  <si>
    <t>lands / plane</t>
  </si>
  <si>
    <t>Routes - domestic charter</t>
  </si>
  <si>
    <t>Landing frequency - domestic charter</t>
  </si>
  <si>
    <t>Routes - domestic scheduled</t>
  </si>
  <si>
    <t>Landing frequency - domestic scheduled</t>
  </si>
  <si>
    <t>Landings - domestic scheduled</t>
  </si>
  <si>
    <t>Routes - international charter</t>
  </si>
  <si>
    <t>Landing frequency - international charter</t>
  </si>
  <si>
    <t>Landings - international charter</t>
  </si>
  <si>
    <t>Routes - international scheduled</t>
  </si>
  <si>
    <t>Landing frequency - international scheduled</t>
  </si>
  <si>
    <t>Landings - international scheduled</t>
  </si>
  <si>
    <t>PASSENGER LANDING TAX</t>
  </si>
  <si>
    <t>SUMMARY</t>
  </si>
  <si>
    <t>GROUND HANDLING</t>
  </si>
  <si>
    <t>O&amp;M CONTRACT</t>
  </si>
  <si>
    <t>Cash flow available to distributions</t>
  </si>
  <si>
    <t>RETAIL REVENUES</t>
  </si>
  <si>
    <t>CAR PARKING</t>
  </si>
  <si>
    <t>PAx per landing - international scheduled</t>
  </si>
  <si>
    <t>PAx per landing - international chartered</t>
  </si>
  <si>
    <t>PAx per landing - domestic scheduled</t>
  </si>
  <si>
    <t>Load factor - domestic scheduled</t>
  </si>
  <si>
    <t>Load factor - international scheduled</t>
  </si>
  <si>
    <t>Load factor - international charter</t>
  </si>
  <si>
    <t>Load factor - domestic charter</t>
  </si>
  <si>
    <t>Aircraft capacity - domestic charter</t>
  </si>
  <si>
    <t>PAx per landing - domestic charter</t>
  </si>
  <si>
    <t>landings</t>
  </si>
  <si>
    <t>Passenger traffic (PAx)</t>
  </si>
  <si>
    <t>Passenger traffic - domestic charter</t>
  </si>
  <si>
    <t>Passenger traffic - domestic scheduled</t>
  </si>
  <si>
    <t>PAx / land</t>
  </si>
  <si>
    <t>PAx</t>
  </si>
  <si>
    <t>Passenger traffic - international charter</t>
  </si>
  <si>
    <t>Passenger traffic - international scheduled</t>
  </si>
  <si>
    <t>Passenger traffic</t>
  </si>
  <si>
    <t>Passenger landing tax revenue</t>
  </si>
  <si>
    <t>Passenger landing tax rate</t>
  </si>
  <si>
    <t>factor</t>
  </si>
  <si>
    <t>[Car parking revenue]</t>
  </si>
  <si>
    <t>Operating revenue</t>
  </si>
  <si>
    <t>Rental revenue sharing percentage</t>
  </si>
  <si>
    <t>of sales</t>
  </si>
  <si>
    <t>Retail revenue</t>
  </si>
  <si>
    <t>Variable ground handling charge rate</t>
  </si>
  <si>
    <t>Variable ground handling costs</t>
  </si>
  <si>
    <t>Landings</t>
  </si>
  <si>
    <t>Total landings</t>
  </si>
  <si>
    <t>Fixed ground handling costs</t>
  </si>
  <si>
    <t>O&amp;M contract costs</t>
  </si>
  <si>
    <t>Operating costs POS</t>
  </si>
  <si>
    <t>[Ongoing capital expenditure]</t>
  </si>
  <si>
    <t>Net fixed assets balance BEG</t>
  </si>
  <si>
    <t>Net fixed assets balance</t>
  </si>
  <si>
    <t>Standard monetary unit</t>
  </si>
  <si>
    <t>Name</t>
  </si>
  <si>
    <t>BOOK DEPRECIATION</t>
  </si>
  <si>
    <t>Useful life input</t>
  </si>
  <si>
    <t>Period amount of depreciation</t>
  </si>
  <si>
    <t>Book depreciation POS</t>
  </si>
  <si>
    <t>MODEL CONTROL INPUTS</t>
  </si>
  <si>
    <t>NET FIXED ASSET BALANCE</t>
  </si>
  <si>
    <t>Accounting useful life period flag</t>
  </si>
  <si>
    <t>Last date of accounting depreciation</t>
  </si>
  <si>
    <t>[Future debt borrowing]</t>
  </si>
  <si>
    <t>Senior principal repayment POS</t>
  </si>
  <si>
    <t>Senior debt repayment - 20-year level</t>
  </si>
  <si>
    <t>Senior debt repayment - 20-year level w/ 3-year grace</t>
  </si>
  <si>
    <t>Active senior debt repayment profile</t>
  </si>
  <si>
    <t>Senior principal repayment selection switch</t>
  </si>
  <si>
    <t>switch</t>
  </si>
  <si>
    <t>PRINCIPAL REPAYMENT</t>
  </si>
  <si>
    <t>INTEREST EXPENSE</t>
  </si>
  <si>
    <t>SENIOR DEBT BALANCE</t>
  </si>
  <si>
    <t>p.a. (semi)</t>
  </si>
  <si>
    <t>Senior debt coupon rate</t>
  </si>
  <si>
    <t>Senior debt interest expense POS</t>
  </si>
  <si>
    <t>SHARE CAPITAL</t>
  </si>
  <si>
    <t>Share capital balance BEG</t>
  </si>
  <si>
    <t>Share capital balance</t>
  </si>
  <si>
    <t>Share capital redemption POS</t>
  </si>
  <si>
    <t>Last forecast period flag</t>
  </si>
  <si>
    <t>[Future equity investment]</t>
  </si>
  <si>
    <t>Aggregate cash available for dividends</t>
  </si>
  <si>
    <t>DIVIDENDS / RETAINED CASH AND EARNINGS</t>
  </si>
  <si>
    <t>Aggregate earnings available for dividends</t>
  </si>
  <si>
    <t>Retained earnings - Initial balance</t>
  </si>
  <si>
    <t>Retained earnings balance BEG</t>
  </si>
  <si>
    <t>Retained earnings balance</t>
  </si>
  <si>
    <t>Dividends declared / paid POS</t>
  </si>
  <si>
    <t>Retained Cash and Earnings Balances</t>
  </si>
  <si>
    <t>Dividends Declared and Paid</t>
  </si>
  <si>
    <t>Taxable income</t>
  </si>
  <si>
    <t>Corporation tax rate</t>
  </si>
  <si>
    <t>of TI</t>
  </si>
  <si>
    <t>ACCOUNTING FOR TAX</t>
  </si>
  <si>
    <t>TAXABLE INCOME / PAYMENTS</t>
  </si>
  <si>
    <t>P&amp;L tax charge POS</t>
  </si>
  <si>
    <t>Deferred tax liability / (asset) balance BEG</t>
  </si>
  <si>
    <t>Deferred tax liability / (asset) balance</t>
  </si>
  <si>
    <t>Remaining tax basis balance BEG</t>
  </si>
  <si>
    <t>Remaining tax basis balance</t>
  </si>
  <si>
    <t>of basis</t>
  </si>
  <si>
    <t>Tax depreciaiton / capital allowances POS</t>
  </si>
  <si>
    <t>Reducing balance rate for tax</t>
  </si>
  <si>
    <t>TAX DEPRECIATION / CAPITAL ALLOWANCES</t>
  </si>
  <si>
    <t>who</t>
  </si>
  <si>
    <t>comments</t>
  </si>
  <si>
    <t>source</t>
  </si>
  <si>
    <t>TIMING</t>
  </si>
  <si>
    <t>ROUTE ASSUMPTIONS</t>
  </si>
  <si>
    <t>Currency unit</t>
  </si>
  <si>
    <t>€</t>
  </si>
  <si>
    <t>of PBT</t>
  </si>
  <si>
    <t>integer</t>
  </si>
  <si>
    <t>DEBT REPAYMENT PROFILES</t>
  </si>
  <si>
    <t>Price and cost basis date - period ending</t>
  </si>
  <si>
    <t>Model period ending</t>
  </si>
  <si>
    <t>Annual CPI inflation rate</t>
  </si>
  <si>
    <t>p.a.</t>
  </si>
  <si>
    <t>Period CPI inflation rate</t>
  </si>
  <si>
    <t>per period</t>
  </si>
  <si>
    <t>CPI esc factor</t>
  </si>
  <si>
    <t>CPI ESCALATION FACTOR</t>
  </si>
  <si>
    <t>OPERATIONS ASSUMPTIONS</t>
  </si>
  <si>
    <t>Passenger retail purchases rate</t>
  </si>
  <si>
    <t>Airport terminal O&amp;M contract costs</t>
  </si>
  <si>
    <t>FINANCE, TAX, AND ACCOUNTING</t>
  </si>
  <si>
    <t>Presumption that over-life allowances for tax are equivalent to accounting expenses, so effective P&amp;L tax rate should be equivalent to cash tax rate.  Need to confirm with client and/or accounting advisor.</t>
  </si>
  <si>
    <t>[Effective P&amp;L tax rate]</t>
  </si>
  <si>
    <t>Construction period counter</t>
  </si>
  <si>
    <t>Construction period month no.</t>
  </si>
  <si>
    <t>Financial close date</t>
  </si>
  <si>
    <t>EOM</t>
  </si>
  <si>
    <t>EPC contract price</t>
  </si>
  <si>
    <t>EPC contract costs</t>
  </si>
  <si>
    <t>EPC milestone payment schedule</t>
  </si>
  <si>
    <t>Development cost</t>
  </si>
  <si>
    <t>Development cost reimbursement</t>
  </si>
  <si>
    <t>Financial close date flag</t>
  </si>
  <si>
    <t>O&amp;M mobilization costs</t>
  </si>
  <si>
    <t>O&amp;M mobilization costs input</t>
  </si>
  <si>
    <t>Owners G&amp;A costs DC</t>
  </si>
  <si>
    <t>Owners G&amp;A costs DC input</t>
  </si>
  <si>
    <t>Construction cost contingency</t>
  </si>
  <si>
    <t>of BCC</t>
  </si>
  <si>
    <t>Base construction costs</t>
  </si>
  <si>
    <t>Construction costs</t>
  </si>
  <si>
    <t>CONSTRUCTION COSTS</t>
  </si>
  <si>
    <t>Operating period flag</t>
  </si>
  <si>
    <t>Initial operations date flag</t>
  </si>
  <si>
    <t>[Retained cash - Initial balance]</t>
  </si>
  <si>
    <t>[Deferred tax liability / (asset) - Initial balance]</t>
  </si>
  <si>
    <t>Shareholder distributions</t>
  </si>
  <si>
    <t>p.a. (365)</t>
  </si>
  <si>
    <t>[Pre-tax unleveraged IRR]</t>
  </si>
  <si>
    <t>Length of construction period</t>
  </si>
  <si>
    <t>months</t>
  </si>
  <si>
    <t>Construction period month ending</t>
  </si>
  <si>
    <t>Level construction period payment schedule</t>
  </si>
  <si>
    <t>BASIC TIMING COMPONENTS</t>
  </si>
  <si>
    <t>Sources / Uses of cash</t>
  </si>
  <si>
    <t>Construction debt draws</t>
  </si>
  <si>
    <t>Leverage input</t>
  </si>
  <si>
    <t>of QCR</t>
  </si>
  <si>
    <t>Construction debt balance BEG</t>
  </si>
  <si>
    <t>Construction period end / conversion date flag</t>
  </si>
  <si>
    <t>Construction / availability period flag</t>
  </si>
  <si>
    <t>CONSTRUCTION DEBT BALANCE</t>
  </si>
  <si>
    <t>EQUITY INVESTMENT</t>
  </si>
  <si>
    <t>Equity investment</t>
  </si>
  <si>
    <t>FINANCE COSTS DC</t>
  </si>
  <si>
    <t>Finance costs DC</t>
  </si>
  <si>
    <t>Arrangement fee rate</t>
  </si>
  <si>
    <t>of comm</t>
  </si>
  <si>
    <t>Commitment amount</t>
  </si>
  <si>
    <t>Arrangement fees</t>
  </si>
  <si>
    <t>Finance cost summary</t>
  </si>
  <si>
    <t>Agent bank fees DC</t>
  </si>
  <si>
    <t>Agent bank fee monthly rate</t>
  </si>
  <si>
    <t>[Indexation factor DC]</t>
  </si>
  <si>
    <t>Interest during construction</t>
  </si>
  <si>
    <t>Commitment fees</t>
  </si>
  <si>
    <t>Interest during construction (IDC)</t>
  </si>
  <si>
    <t>p.a. (360-day)</t>
  </si>
  <si>
    <t>Construction debt margin</t>
  </si>
  <si>
    <t>Nominal annual interest rate DC</t>
  </si>
  <si>
    <t>LIBOR + MLA debt base rate</t>
  </si>
  <si>
    <t>[Swap counter-party risk premium]</t>
  </si>
  <si>
    <t>few basis point</t>
  </si>
  <si>
    <t>[Contingency for interest rate movements]</t>
  </si>
  <si>
    <t>50 bps?</t>
  </si>
  <si>
    <t>per day</t>
  </si>
  <si>
    <t>days</t>
  </si>
  <si>
    <t>Days in LIBOR year</t>
  </si>
  <si>
    <t>Construction debt daily interest rate</t>
  </si>
  <si>
    <t>Number of days in period DC</t>
  </si>
  <si>
    <t>Difference</t>
  </si>
  <si>
    <t>Interest during construction PASTE before FC hook-up</t>
  </si>
  <si>
    <t>Commitement fees</t>
  </si>
  <si>
    <t>Commitment fee rate</t>
  </si>
  <si>
    <t>Undrawn construction debt commitment balance</t>
  </si>
  <si>
    <t>Senior term debt balance</t>
  </si>
  <si>
    <t>Senior term debt balance BEG</t>
  </si>
  <si>
    <t>Construction debt converted to term</t>
  </si>
  <si>
    <t>ADDITIONS TO FIXED ASSETS DC</t>
  </si>
  <si>
    <t>Additions to fixed assets DC</t>
  </si>
  <si>
    <t>Senior debt coupon base rate</t>
  </si>
  <si>
    <t>Senior term debt risk margin</t>
  </si>
  <si>
    <t>Senior debt risk margin - Period 1</t>
  </si>
  <si>
    <t>Senior debt risk margin - Period 2</t>
  </si>
  <si>
    <t>Senior debt risk margin - remaining term</t>
  </si>
  <si>
    <t>Senior debt margin remaining term period</t>
  </si>
  <si>
    <t>[Senior debt margin period 1 flag]</t>
  </si>
  <si>
    <t>[Senior debt margin period 2 flag]</t>
  </si>
  <si>
    <t>Construction period end / conversion date</t>
  </si>
  <si>
    <t>[Last senior debt repayment date]</t>
  </si>
  <si>
    <t>Senior debt repayment - 2.0% / 3.0%</t>
  </si>
  <si>
    <t>[Tax payments POS]</t>
  </si>
  <si>
    <t>Cash flow available for senior DSRA</t>
  </si>
  <si>
    <t>SHAREHOLDER IRRS</t>
  </si>
  <si>
    <t>[(Leveraged) Shareholder IRR]</t>
  </si>
  <si>
    <t>Leveraged analysis</t>
  </si>
  <si>
    <t>Unleveraged shareholder IRR</t>
  </si>
  <si>
    <t>[Unrestricted shareholder IRR]</t>
  </si>
  <si>
    <t>SHAREHOLDER NPV</t>
  </si>
  <si>
    <t>Shareholder discount factor - semi</t>
  </si>
  <si>
    <t>Shareholder valuation date</t>
  </si>
  <si>
    <t>eom</t>
  </si>
  <si>
    <t>Days from valuation date</t>
  </si>
  <si>
    <t>Shareholder discount rate</t>
  </si>
  <si>
    <t>Years from valuation date</t>
  </si>
  <si>
    <t>MAX( x, 0 )</t>
  </si>
  <si>
    <t>Retained cash / (overdraft) balance</t>
  </si>
  <si>
    <t>Retained cash / (overdraft) balance BEG</t>
  </si>
  <si>
    <t>Period PVs of shareholder distributions</t>
  </si>
  <si>
    <t>PV of shareholder distibutions</t>
  </si>
  <si>
    <t>Shareholder NPV</t>
  </si>
  <si>
    <t>Period PVs of investment</t>
  </si>
  <si>
    <t>PV of equity investment</t>
  </si>
  <si>
    <t>PV OF EQUITY INVESTMENT</t>
  </si>
  <si>
    <t>Shareholder discount factor - monthly</t>
  </si>
  <si>
    <t>Senior debt service</t>
  </si>
  <si>
    <t>6-month HDSCR</t>
  </si>
  <si>
    <t>Minimum 6-month HDSCR</t>
  </si>
  <si>
    <t>ratio</t>
  </si>
  <si>
    <t>Senior debt term / ratio calc date flag</t>
  </si>
  <si>
    <t>PERIOD DSCRs</t>
  </si>
  <si>
    <t>Simple average of 6-month DSCRs</t>
  </si>
  <si>
    <t>bad ratio</t>
  </si>
  <si>
    <t>CFADS over debt term</t>
  </si>
  <si>
    <t>Weighted average DSCR</t>
  </si>
  <si>
    <t>ANNUAL DSCRs</t>
  </si>
  <si>
    <t>12-month HDSCR</t>
  </si>
  <si>
    <t>12-month HDSCR calculation date flag</t>
  </si>
  <si>
    <t>12-month FDSCR</t>
  </si>
  <si>
    <t>12-month FDSCR calculation date flag</t>
  </si>
  <si>
    <t>blank for insertion</t>
  </si>
  <si>
    <t>n/a</t>
  </si>
  <si>
    <t>20 year - variable profile for ratio demo</t>
  </si>
  <si>
    <t>Senior debt repayment profile - saved selection</t>
  </si>
  <si>
    <t>Target DSCR guess</t>
  </si>
  <si>
    <t>Target debt service</t>
  </si>
  <si>
    <t>Target principal repayment</t>
  </si>
  <si>
    <t>Sculpted repayment profile LIVE</t>
  </si>
  <si>
    <t>Use live sculpted profile switch</t>
  </si>
  <si>
    <t>1 = use live</t>
  </si>
  <si>
    <t>Amplified SET CELL delta = 0</t>
  </si>
  <si>
    <t>SET CELL</t>
  </si>
  <si>
    <t>Sculpted repayment profile ROUND</t>
  </si>
  <si>
    <t>[Last senior debt repayment date flag]</t>
  </si>
  <si>
    <t>Sculpted repayment profile COPY TARGET</t>
  </si>
  <si>
    <t>20-year sculpted senior debt repayment profile</t>
  </si>
  <si>
    <t>Senior DSRA - Initial balance</t>
  </si>
  <si>
    <t>Senior DSRA balance BEG</t>
  </si>
  <si>
    <t>Senior DSRA balance</t>
  </si>
  <si>
    <t>Senior DSRA deposits DC</t>
  </si>
  <si>
    <t>Target DSRA balance</t>
  </si>
  <si>
    <t>NEXT</t>
  </si>
  <si>
    <t>Senior DSRA target deposit / (releases)</t>
  </si>
  <si>
    <t>Senior DSRA releases</t>
  </si>
  <si>
    <t>Senior DSRA target deposits</t>
  </si>
  <si>
    <t>SENIOR DSRA DEPOSITS</t>
  </si>
  <si>
    <t>SENIOR DSRA WITHDRAWALS</t>
  </si>
  <si>
    <t>Total cash available for senior DSRA deposits</t>
  </si>
  <si>
    <t>Senior DSRA deposits POS</t>
  </si>
  <si>
    <t>PRELIM DSRA WORKINGS</t>
  </si>
  <si>
    <t>Senior DSRA shortfall withdrawals</t>
  </si>
  <si>
    <t>Senior debt service shortfall amount</t>
  </si>
  <si>
    <t>Senior DSRA withdrawals</t>
  </si>
  <si>
    <t>Senior DSRA net releases</t>
  </si>
  <si>
    <t>Total cash available for DSRA / (shortfall amount)</t>
  </si>
  <si>
    <t>SHAREHOLDER LOAN</t>
  </si>
  <si>
    <t>Amount invested as shareholder loan</t>
  </si>
  <si>
    <t>Balance</t>
  </si>
  <si>
    <t>Interest / Coupon</t>
  </si>
  <si>
    <t>Principal Repayment</t>
  </si>
  <si>
    <t>Shareholder loan balance BEG</t>
  </si>
  <si>
    <t>Shareholder loan balance</t>
  </si>
  <si>
    <t>Cash flow available for shareholder loan</t>
  </si>
  <si>
    <t>[Shareholder loan interest paid]</t>
  </si>
  <si>
    <t>[Shareholder loan interest expense]</t>
  </si>
  <si>
    <t>EQUITY / RETURN ASSUMPTIONS</t>
  </si>
  <si>
    <t>Share capital investment requirement</t>
  </si>
  <si>
    <t>Total cash balance available for shareholder loan</t>
  </si>
  <si>
    <t>Shareholder loan repayment POS</t>
  </si>
  <si>
    <t>[Shareholder loan further funding / roll-ups]</t>
  </si>
  <si>
    <t>[Shareholder loan interest paid POS]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</si>
</sst>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#,##0_);\(#,##0\);&quot;-  &quot;;&quot; &quot;@"/>
    <numFmt numFmtId="165" formatCode="#,##0.0000_);\(#,##0.0000\);&quot;-  &quot;;&quot; &quot;@"/>
    <numFmt numFmtId="166" formatCode="0.00%_);\(0.00%\);&quot;-  &quot;;&quot; &quot;@"/>
    <numFmt numFmtId="167" formatCode="dd\ mmm\ yyyy_);&quot;n/a&quot;;&quot;-  &quot;;&quot; &quot;@"/>
    <numFmt numFmtId="168" formatCode="dd\ mmm\ yy_);&quot;n/a&quot;;&quot;-  &quot;;&quot; &quot;@"/>
    <numFmt numFmtId="169" formatCode="0%_);\(0%\);&quot;-  &quot;;&quot; &quot;@"/>
    <numFmt numFmtId="170" formatCode="#,##0.00_);\(#,##0.00\);&quot;-  &quot;;&quot; &quot;@"/>
    <numFmt numFmtId="171" formatCode="0.0000%_);\(0.0000%\);&quot;-  &quot;;&quot; &quot;@"/>
    <numFmt numFmtId="172" formatCode="#,##0.000_);\(#,##0.000\);&quot;-  &quot;;&quot; &quot;@"/>
    <numFmt numFmtId="173" formatCode="0.000%_);\(0.000%\);&quot;-  &quot;;&quot; &quot;@"/>
    <numFmt numFmtId="174" formatCode="#,##0.000000_);\(#,##0.000000\);&quot;-  &quot;;&quot; &quot;@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u/>
      <sz val="10"/>
      <color indexed="12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u/>
      <sz val="10"/>
      <color indexed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name val="Arial"/>
      <family val="2"/>
    </font>
    <font>
      <i/>
      <u/>
      <sz val="10"/>
      <name val="Arial"/>
      <family val="2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/>
      <right/>
      <top style="double">
        <color indexed="23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408">
    <xf numFmtId="0" fontId="0" fillId="0" borderId="0" xfId="0" applyAlignment="1">
      <alignment vertical="top"/>
    </xf>
    <xf numFmtId="164" fontId="5" fillId="0" borderId="0" xfId="1" applyFont="1" applyFill="1" applyAlignment="1">
      <alignment vertical="top"/>
    </xf>
    <xf numFmtId="164" fontId="3" fillId="0" borderId="0" xfId="1" applyFont="1" applyAlignment="1">
      <alignment horizontal="right" vertical="top"/>
    </xf>
    <xf numFmtId="164" fontId="3" fillId="0" borderId="0" xfId="1" applyFont="1" applyAlignment="1">
      <alignment vertical="top"/>
    </xf>
    <xf numFmtId="164" fontId="5" fillId="0" borderId="0" xfId="1" applyFont="1" applyAlignment="1">
      <alignment vertical="top"/>
    </xf>
    <xf numFmtId="164" fontId="6" fillId="0" borderId="0" xfId="1" applyFont="1" applyFill="1" applyAlignment="1">
      <alignment vertical="top"/>
    </xf>
    <xf numFmtId="164" fontId="0" fillId="0" borderId="0" xfId="1" applyFont="1" applyFill="1" applyAlignment="1">
      <alignment horizontal="right" vertical="top"/>
    </xf>
    <xf numFmtId="164" fontId="0" fillId="0" borderId="0" xfId="1" applyFont="1" applyFill="1" applyAlignment="1">
      <alignment vertical="top"/>
    </xf>
    <xf numFmtId="164" fontId="1" fillId="0" borderId="0" xfId="1" applyFont="1" applyFill="1" applyAlignment="1">
      <alignment vertical="top"/>
    </xf>
    <xf numFmtId="164" fontId="3" fillId="0" borderId="0" xfId="1" applyFont="1" applyFill="1" applyBorder="1" applyAlignment="1">
      <alignment vertical="top"/>
    </xf>
    <xf numFmtId="167" fontId="3" fillId="2" borderId="0" xfId="2" applyFont="1" applyFill="1" applyAlignment="1">
      <alignment vertical="top"/>
    </xf>
    <xf numFmtId="167" fontId="5" fillId="0" borderId="0" xfId="2" applyFont="1" applyFill="1" applyAlignment="1">
      <alignment vertical="top"/>
    </xf>
    <xf numFmtId="164" fontId="1" fillId="0" borderId="0" xfId="1" applyFont="1" applyAlignment="1">
      <alignment horizontal="right" vertical="top"/>
    </xf>
    <xf numFmtId="164" fontId="1" fillId="0" borderId="0" xfId="1" applyFont="1" applyAlignment="1">
      <alignment vertical="top"/>
    </xf>
    <xf numFmtId="167" fontId="6" fillId="0" borderId="0" xfId="2" applyFont="1" applyAlignment="1">
      <alignment vertical="top"/>
    </xf>
    <xf numFmtId="167" fontId="3" fillId="0" borderId="0" xfId="2" applyFont="1" applyAlignment="1">
      <alignment vertical="top"/>
    </xf>
    <xf numFmtId="167" fontId="5" fillId="0" borderId="0" xfId="2" applyFont="1" applyAlignment="1">
      <alignment vertical="top"/>
    </xf>
    <xf numFmtId="167" fontId="3" fillId="0" borderId="0" xfId="2" applyFont="1" applyAlignment="1">
      <alignment horizontal="right" vertical="top"/>
    </xf>
    <xf numFmtId="164" fontId="0" fillId="2" borderId="0" xfId="1" applyFont="1" applyFill="1" applyAlignment="1">
      <alignment vertical="top"/>
    </xf>
    <xf numFmtId="164" fontId="1" fillId="2" borderId="0" xfId="1" applyFont="1" applyFill="1" applyAlignment="1">
      <alignment vertical="top"/>
    </xf>
    <xf numFmtId="164" fontId="3" fillId="0" borderId="0" xfId="1" applyFont="1" applyFill="1" applyAlignment="1">
      <alignment vertical="top"/>
    </xf>
    <xf numFmtId="164" fontId="4" fillId="0" borderId="0" xfId="1" applyFont="1" applyFill="1" applyAlignment="1">
      <alignment vertical="top"/>
    </xf>
    <xf numFmtId="164" fontId="5" fillId="5" borderId="0" xfId="1" applyFont="1" applyFill="1" applyAlignment="1">
      <alignment vertical="top"/>
    </xf>
    <xf numFmtId="164" fontId="6" fillId="5" borderId="0" xfId="1" applyFont="1" applyFill="1" applyAlignment="1">
      <alignment vertical="top"/>
    </xf>
    <xf numFmtId="164" fontId="1" fillId="5" borderId="0" xfId="1" applyFont="1" applyFill="1" applyAlignment="1">
      <alignment horizontal="right" vertical="top"/>
    </xf>
    <xf numFmtId="164" fontId="1" fillId="5" borderId="0" xfId="1" applyFont="1" applyFill="1" applyAlignment="1">
      <alignment vertical="top"/>
    </xf>
    <xf numFmtId="164" fontId="4" fillId="5" borderId="0" xfId="1" applyFont="1" applyFill="1" applyAlignment="1">
      <alignment horizontal="right" vertical="top"/>
    </xf>
    <xf numFmtId="164" fontId="5" fillId="5" borderId="0" xfId="1" applyFont="1" applyFill="1" applyBorder="1" applyAlignment="1">
      <alignment vertical="top"/>
    </xf>
    <xf numFmtId="164" fontId="6" fillId="5" borderId="0" xfId="1" applyFont="1" applyFill="1" applyBorder="1" applyAlignment="1">
      <alignment vertical="top"/>
    </xf>
    <xf numFmtId="164" fontId="3" fillId="5" borderId="0" xfId="1" applyFont="1" applyFill="1" applyBorder="1" applyAlignment="1">
      <alignment horizontal="right" vertical="top"/>
    </xf>
    <xf numFmtId="164" fontId="3" fillId="5" borderId="0" xfId="1" applyFont="1" applyFill="1" applyBorder="1" applyAlignment="1">
      <alignment vertical="top"/>
    </xf>
    <xf numFmtId="164" fontId="1" fillId="5" borderId="0" xfId="1" applyFont="1" applyFill="1" applyBorder="1" applyAlignment="1">
      <alignment vertical="top"/>
    </xf>
    <xf numFmtId="168" fontId="5" fillId="5" borderId="0" xfId="3" applyFont="1" applyFill="1" applyBorder="1" applyAlignment="1">
      <alignment vertical="top"/>
    </xf>
    <xf numFmtId="168" fontId="11" fillId="5" borderId="0" xfId="3" applyFont="1" applyFill="1" applyBorder="1" applyAlignment="1">
      <alignment vertical="top"/>
    </xf>
    <xf numFmtId="168" fontId="5" fillId="5" borderId="0" xfId="3" applyFont="1" applyFill="1" applyBorder="1" applyAlignment="1">
      <alignment horizontal="right" vertical="top"/>
    </xf>
    <xf numFmtId="168" fontId="3" fillId="5" borderId="0" xfId="3" applyFont="1" applyFill="1" applyBorder="1" applyAlignment="1">
      <alignment vertical="top"/>
    </xf>
    <xf numFmtId="169" fontId="1" fillId="2" borderId="0" xfId="5" applyNumberFormat="1" applyFont="1" applyFill="1" applyAlignment="1">
      <alignment vertical="top"/>
    </xf>
    <xf numFmtId="164" fontId="3" fillId="2" borderId="0" xfId="1" applyFont="1" applyFill="1" applyAlignment="1">
      <alignment vertical="top"/>
    </xf>
    <xf numFmtId="170" fontId="1" fillId="2" borderId="0" xfId="1" applyNumberFormat="1" applyFont="1" applyFill="1" applyAlignment="1">
      <alignment vertical="top"/>
    </xf>
    <xf numFmtId="164" fontId="5" fillId="0" borderId="0" xfId="1" applyFont="1" applyFill="1" applyBorder="1" applyAlignment="1">
      <alignment vertical="top"/>
    </xf>
    <xf numFmtId="164" fontId="4" fillId="0" borderId="0" xfId="1" applyFont="1" applyFill="1" applyBorder="1" applyAlignment="1">
      <alignment vertical="top"/>
    </xf>
    <xf numFmtId="164" fontId="3" fillId="0" borderId="0" xfId="1" applyFont="1" applyFill="1" applyBorder="1" applyAlignment="1">
      <alignment horizontal="right" vertical="top"/>
    </xf>
    <xf numFmtId="167" fontId="6" fillId="0" borderId="0" xfId="2" applyFont="1" applyFill="1" applyAlignment="1">
      <alignment vertical="top"/>
    </xf>
    <xf numFmtId="167" fontId="1" fillId="0" borderId="0" xfId="2" applyFont="1" applyAlignment="1">
      <alignment horizontal="right" vertical="top"/>
    </xf>
    <xf numFmtId="167" fontId="1" fillId="0" borderId="0" xfId="2" applyFont="1" applyAlignment="1">
      <alignment vertical="top"/>
    </xf>
    <xf numFmtId="167" fontId="12" fillId="0" borderId="0" xfId="2" applyFont="1" applyFill="1" applyAlignment="1">
      <alignment vertical="top"/>
    </xf>
    <xf numFmtId="167" fontId="13" fillId="0" borderId="0" xfId="2" applyFont="1" applyFill="1" applyAlignment="1">
      <alignment vertical="top"/>
    </xf>
    <xf numFmtId="167" fontId="14" fillId="0" borderId="0" xfId="2" applyFont="1" applyFill="1" applyAlignment="1">
      <alignment horizontal="right" vertical="top"/>
    </xf>
    <xf numFmtId="167" fontId="14" fillId="0" borderId="0" xfId="2" applyFont="1" applyFill="1" applyAlignment="1">
      <alignment vertical="top"/>
    </xf>
    <xf numFmtId="166" fontId="5" fillId="0" borderId="0" xfId="5" applyFont="1" applyFill="1" applyAlignment="1">
      <alignment vertical="top"/>
    </xf>
    <xf numFmtId="166" fontId="4" fillId="0" borderId="0" xfId="5" applyFont="1" applyFill="1" applyAlignment="1">
      <alignment vertical="top"/>
    </xf>
    <xf numFmtId="166" fontId="3" fillId="2" borderId="0" xfId="5" applyFont="1" applyFill="1" applyAlignment="1">
      <alignment vertical="top"/>
    </xf>
    <xf numFmtId="166" fontId="3" fillId="0" borderId="0" xfId="5" applyFont="1" applyAlignment="1">
      <alignment vertical="top"/>
    </xf>
    <xf numFmtId="166" fontId="5" fillId="0" borderId="0" xfId="5" applyFont="1" applyAlignment="1">
      <alignment vertical="top"/>
    </xf>
    <xf numFmtId="166" fontId="3" fillId="0" borderId="0" xfId="5" applyFont="1" applyAlignment="1">
      <alignment horizontal="right" vertical="top"/>
    </xf>
    <xf numFmtId="166" fontId="3" fillId="4" borderId="0" xfId="5" applyFont="1" applyFill="1" applyAlignment="1">
      <alignment vertical="top"/>
    </xf>
    <xf numFmtId="167" fontId="1" fillId="2" borderId="0" xfId="2" applyFont="1" applyFill="1" applyAlignment="1">
      <alignment vertical="top"/>
    </xf>
    <xf numFmtId="166" fontId="1" fillId="2" borderId="0" xfId="5" applyFont="1" applyFill="1" applyAlignment="1">
      <alignment vertical="top"/>
    </xf>
    <xf numFmtId="0" fontId="1" fillId="5" borderId="0" xfId="1" applyNumberFormat="1" applyFont="1" applyFill="1" applyAlignment="1">
      <alignment vertical="top" wrapText="1"/>
    </xf>
    <xf numFmtId="0" fontId="3" fillId="5" borderId="0" xfId="1" applyNumberFormat="1" applyFont="1" applyFill="1" applyBorder="1" applyAlignment="1">
      <alignment vertical="top" wrapText="1"/>
    </xf>
    <xf numFmtId="0" fontId="5" fillId="5" borderId="0" xfId="3" applyNumberFormat="1" applyFont="1" applyFill="1" applyBorder="1" applyAlignment="1">
      <alignment vertical="top" wrapText="1"/>
    </xf>
    <xf numFmtId="0" fontId="1" fillId="0" borderId="0" xfId="1" applyNumberFormat="1" applyFont="1" applyAlignment="1">
      <alignment vertical="top" wrapText="1"/>
    </xf>
    <xf numFmtId="0" fontId="3" fillId="0" borderId="0" xfId="2" applyNumberFormat="1" applyFont="1" applyAlignment="1">
      <alignment vertical="top" wrapText="1"/>
    </xf>
    <xf numFmtId="0" fontId="1" fillId="0" borderId="0" xfId="1" applyNumberFormat="1" applyFont="1" applyFill="1" applyAlignment="1">
      <alignment vertical="top" wrapText="1"/>
    </xf>
    <xf numFmtId="0" fontId="14" fillId="0" borderId="0" xfId="2" applyNumberFormat="1" applyFont="1" applyFill="1" applyAlignment="1">
      <alignment vertical="top" wrapText="1"/>
    </xf>
    <xf numFmtId="0" fontId="3" fillId="0" borderId="0" xfId="1" applyNumberFormat="1" applyFont="1" applyAlignment="1">
      <alignment vertical="top" wrapText="1"/>
    </xf>
    <xf numFmtId="0" fontId="1" fillId="0" borderId="0" xfId="2" applyNumberFormat="1" applyFont="1" applyAlignment="1">
      <alignment vertical="top" wrapText="1"/>
    </xf>
    <xf numFmtId="0" fontId="3" fillId="0" borderId="0" xfId="1" applyNumberFormat="1" applyFont="1" applyFill="1" applyBorder="1" applyAlignment="1">
      <alignment vertical="top" wrapText="1"/>
    </xf>
    <xf numFmtId="0" fontId="3" fillId="0" borderId="0" xfId="5" applyNumberFormat="1" applyFont="1" applyAlignment="1">
      <alignment vertical="top" wrapText="1"/>
    </xf>
    <xf numFmtId="164" fontId="5" fillId="5" borderId="0" xfId="1" applyFont="1" applyFill="1" applyAlignment="1"/>
    <xf numFmtId="164" fontId="4" fillId="5" borderId="0" xfId="1" applyFont="1" applyFill="1" applyAlignment="1"/>
    <xf numFmtId="164" fontId="3" fillId="5" borderId="0" xfId="1" applyFont="1" applyFill="1" applyAlignment="1">
      <alignment horizontal="right"/>
    </xf>
    <xf numFmtId="164" fontId="3" fillId="5" borderId="0" xfId="1" applyFont="1" applyFill="1" applyAlignment="1"/>
    <xf numFmtId="164" fontId="4" fillId="5" borderId="0" xfId="1" applyFont="1" applyFill="1" applyAlignment="1">
      <alignment horizontal="right"/>
    </xf>
    <xf numFmtId="164" fontId="3" fillId="5" borderId="0" xfId="1" applyFont="1" applyFill="1" applyBorder="1" applyAlignment="1"/>
    <xf numFmtId="164" fontId="5" fillId="5" borderId="0" xfId="1" applyFont="1" applyFill="1" applyBorder="1" applyAlignment="1"/>
    <xf numFmtId="164" fontId="6" fillId="5" borderId="0" xfId="1" applyFont="1" applyFill="1" applyBorder="1" applyAlignment="1"/>
    <xf numFmtId="164" fontId="3" fillId="5" borderId="0" xfId="1" applyFont="1" applyFill="1" applyBorder="1" applyAlignment="1">
      <alignment horizontal="right"/>
    </xf>
    <xf numFmtId="168" fontId="5" fillId="5" borderId="0" xfId="3" applyFont="1" applyFill="1" applyBorder="1" applyAlignment="1"/>
    <xf numFmtId="168" fontId="11" fillId="5" borderId="0" xfId="3" applyFont="1" applyFill="1" applyBorder="1" applyAlignment="1"/>
    <xf numFmtId="168" fontId="5" fillId="5" borderId="0" xfId="3" applyFont="1" applyFill="1" applyBorder="1" applyAlignment="1">
      <alignment horizontal="right"/>
    </xf>
    <xf numFmtId="164" fontId="5" fillId="0" borderId="0" xfId="1" applyFont="1" applyAlignment="1"/>
    <xf numFmtId="164" fontId="5" fillId="0" borderId="0" xfId="1" applyFont="1" applyFill="1" applyAlignment="1"/>
    <xf numFmtId="164" fontId="4" fillId="0" borderId="0" xfId="1" applyFont="1" applyFill="1" applyAlignment="1"/>
    <xf numFmtId="164" fontId="3" fillId="0" borderId="0" xfId="1" applyFont="1" applyAlignment="1">
      <alignment horizontal="right"/>
    </xf>
    <xf numFmtId="164" fontId="3" fillId="0" borderId="0" xfId="1" applyFont="1" applyAlignment="1"/>
    <xf numFmtId="164" fontId="1" fillId="0" borderId="0" xfId="1" applyFont="1" applyAlignment="1">
      <alignment horizontal="right"/>
    </xf>
    <xf numFmtId="164" fontId="1" fillId="0" borderId="0" xfId="1" applyFont="1" applyAlignment="1"/>
    <xf numFmtId="164" fontId="1" fillId="2" borderId="0" xfId="1" applyFont="1" applyFill="1" applyAlignment="1"/>
    <xf numFmtId="164" fontId="1" fillId="0" borderId="0" xfId="1" applyFont="1" applyFill="1" applyAlignment="1">
      <alignment horizontal="right"/>
    </xf>
    <xf numFmtId="164" fontId="1" fillId="0" borderId="0" xfId="1" applyFont="1" applyFill="1" applyAlignment="1"/>
    <xf numFmtId="169" fontId="1" fillId="2" borderId="0" xfId="5" applyNumberFormat="1" applyFont="1" applyFill="1" applyAlignment="1"/>
    <xf numFmtId="164" fontId="8" fillId="0" borderId="0" xfId="1" applyFont="1" applyAlignment="1"/>
    <xf numFmtId="164" fontId="8" fillId="0" borderId="0" xfId="1" applyFont="1" applyFill="1" applyAlignment="1"/>
    <xf numFmtId="164" fontId="10" fillId="0" borderId="0" xfId="1" applyFont="1" applyFill="1" applyAlignment="1"/>
    <xf numFmtId="164" fontId="7" fillId="0" borderId="0" xfId="1" applyFont="1" applyAlignment="1">
      <alignment horizontal="right"/>
    </xf>
    <xf numFmtId="164" fontId="7" fillId="0" borderId="0" xfId="1" applyFont="1" applyAlignment="1"/>
    <xf numFmtId="166" fontId="5" fillId="0" borderId="0" xfId="5" applyFont="1" applyFill="1" applyAlignment="1"/>
    <xf numFmtId="166" fontId="4" fillId="0" borderId="0" xfId="5" applyFont="1" applyFill="1" applyAlignment="1"/>
    <xf numFmtId="166" fontId="3" fillId="0" borderId="0" xfId="5" applyFont="1" applyFill="1" applyAlignment="1">
      <alignment horizontal="right"/>
    </xf>
    <xf numFmtId="166" fontId="3" fillId="0" borderId="0" xfId="5" applyFont="1" applyFill="1" applyAlignment="1"/>
    <xf numFmtId="166" fontId="3" fillId="2" borderId="0" xfId="5" applyFont="1" applyFill="1" applyAlignment="1"/>
    <xf numFmtId="166" fontId="12" fillId="0" borderId="0" xfId="5" applyFont="1" applyAlignment="1"/>
    <xf numFmtId="166" fontId="12" fillId="0" borderId="0" xfId="5" applyFont="1" applyFill="1" applyAlignment="1"/>
    <xf numFmtId="166" fontId="13" fillId="0" borderId="0" xfId="5" applyFont="1" applyFill="1" applyAlignment="1"/>
    <xf numFmtId="166" fontId="14" fillId="0" borderId="0" xfId="5" applyFont="1" applyAlignment="1">
      <alignment horizontal="right"/>
    </xf>
    <xf numFmtId="166" fontId="14" fillId="0" borderId="0" xfId="5" applyFont="1" applyAlignment="1"/>
    <xf numFmtId="164" fontId="4" fillId="5" borderId="0" xfId="1" applyFont="1" applyFill="1" applyBorder="1" applyAlignment="1"/>
    <xf numFmtId="164" fontId="5" fillId="0" borderId="1" xfId="1" applyFont="1" applyBorder="1" applyAlignment="1"/>
    <xf numFmtId="164" fontId="4" fillId="0" borderId="1" xfId="1" applyFont="1" applyBorder="1" applyAlignment="1"/>
    <xf numFmtId="164" fontId="3" fillId="0" borderId="1" xfId="1" applyFont="1" applyBorder="1" applyAlignment="1">
      <alignment horizontal="right"/>
    </xf>
    <xf numFmtId="164" fontId="3" fillId="4" borderId="1" xfId="1" applyFont="1" applyFill="1" applyBorder="1" applyAlignment="1"/>
    <xf numFmtId="164" fontId="3" fillId="2" borderId="1" xfId="1" applyFont="1" applyFill="1" applyBorder="1" applyAlignment="1"/>
    <xf numFmtId="164" fontId="3" fillId="0" borderId="1" xfId="1" applyFont="1" applyFill="1" applyBorder="1" applyAlignment="1"/>
    <xf numFmtId="164" fontId="3" fillId="0" borderId="1" xfId="1" applyFont="1" applyBorder="1" applyAlignment="1"/>
    <xf numFmtId="164" fontId="8" fillId="0" borderId="0" xfId="1" applyFont="1" applyBorder="1" applyAlignment="1"/>
    <xf numFmtId="164" fontId="10" fillId="0" borderId="0" xfId="1" applyFont="1" applyBorder="1" applyAlignment="1"/>
    <xf numFmtId="164" fontId="7" fillId="0" borderId="0" xfId="1" applyFont="1" applyBorder="1" applyAlignment="1">
      <alignment horizontal="right"/>
    </xf>
    <xf numFmtId="164" fontId="7" fillId="0" borderId="0" xfId="1" applyFont="1" applyBorder="1" applyAlignment="1"/>
    <xf numFmtId="164" fontId="5" fillId="0" borderId="0" xfId="1" applyFont="1" applyBorder="1" applyAlignment="1"/>
    <xf numFmtId="164" fontId="4" fillId="0" borderId="0" xfId="1" applyFont="1" applyBorder="1" applyAlignment="1"/>
    <xf numFmtId="164" fontId="3" fillId="0" borderId="0" xfId="1" applyFont="1" applyBorder="1" applyAlignment="1">
      <alignment horizontal="right"/>
    </xf>
    <xf numFmtId="164" fontId="3" fillId="0" borderId="0" xfId="1" applyFont="1" applyBorder="1" applyAlignment="1"/>
    <xf numFmtId="164" fontId="3" fillId="4" borderId="0" xfId="1" applyFont="1" applyFill="1" applyBorder="1" applyAlignment="1"/>
    <xf numFmtId="164" fontId="3" fillId="0" borderId="0" xfId="1" applyFont="1" applyFill="1" applyBorder="1" applyAlignment="1"/>
    <xf numFmtId="164" fontId="5" fillId="4" borderId="0" xfId="1" applyFont="1" applyFill="1" applyBorder="1" applyAlignment="1"/>
    <xf numFmtId="164" fontId="4" fillId="4" borderId="0" xfId="1" applyFont="1" applyFill="1" applyBorder="1" applyAlignment="1"/>
    <xf numFmtId="164" fontId="3" fillId="4" borderId="0" xfId="1" applyFont="1" applyFill="1" applyBorder="1" applyAlignment="1">
      <alignment horizontal="right"/>
    </xf>
    <xf numFmtId="164" fontId="3" fillId="3" borderId="0" xfId="1" applyFont="1" applyFill="1" applyBorder="1" applyAlignment="1"/>
    <xf numFmtId="164" fontId="5" fillId="0" borderId="2" xfId="1" applyFont="1" applyBorder="1" applyAlignment="1"/>
    <xf numFmtId="164" fontId="5" fillId="0" borderId="2" xfId="1" applyFont="1" applyFill="1" applyBorder="1" applyAlignment="1"/>
    <xf numFmtId="164" fontId="4" fillId="0" borderId="2" xfId="1" applyFont="1" applyFill="1" applyBorder="1" applyAlignment="1"/>
    <xf numFmtId="164" fontId="3" fillId="0" borderId="2" xfId="1" applyFont="1" applyBorder="1" applyAlignment="1">
      <alignment horizontal="right"/>
    </xf>
    <xf numFmtId="164" fontId="3" fillId="0" borderId="2" xfId="1" applyFont="1" applyBorder="1" applyAlignment="1"/>
    <xf numFmtId="164" fontId="4" fillId="0" borderId="0" xfId="1" applyFont="1" applyAlignment="1"/>
    <xf numFmtId="164" fontId="3" fillId="0" borderId="0" xfId="1" applyFont="1" applyFill="1" applyAlignment="1"/>
    <xf numFmtId="164" fontId="3" fillId="2" borderId="0" xfId="1" applyFont="1" applyFill="1" applyAlignment="1"/>
    <xf numFmtId="164" fontId="12" fillId="0" borderId="0" xfId="1" applyFont="1" applyAlignment="1"/>
    <xf numFmtId="164" fontId="13" fillId="0" borderId="0" xfId="1" applyFont="1" applyAlignment="1"/>
    <xf numFmtId="164" fontId="14" fillId="0" borderId="0" xfId="1" applyFont="1" applyAlignment="1">
      <alignment horizontal="right"/>
    </xf>
    <xf numFmtId="164" fontId="14" fillId="0" borderId="0" xfId="1" applyFont="1" applyAlignment="1"/>
    <xf numFmtId="164" fontId="1" fillId="5" borderId="0" xfId="1" applyFont="1" applyFill="1" applyAlignment="1">
      <alignment horizontal="right"/>
    </xf>
    <xf numFmtId="164" fontId="1" fillId="5" borderId="0" xfId="1" applyFont="1" applyFill="1" applyAlignment="1"/>
    <xf numFmtId="164" fontId="7" fillId="0" borderId="0" xfId="1" applyFont="1" applyFill="1" applyAlignment="1">
      <alignment horizontal="right"/>
    </xf>
    <xf numFmtId="164" fontId="7" fillId="0" borderId="0" xfId="1" applyFont="1" applyFill="1" applyAlignment="1"/>
    <xf numFmtId="164" fontId="12" fillId="0" borderId="0" xfId="1" applyFont="1" applyFill="1" applyAlignment="1"/>
    <xf numFmtId="164" fontId="13" fillId="0" borderId="0" xfId="1" applyFont="1" applyFill="1" applyAlignment="1"/>
    <xf numFmtId="164" fontId="14" fillId="0" borderId="1" xfId="1" applyFont="1" applyBorder="1" applyAlignment="1"/>
    <xf numFmtId="164" fontId="5" fillId="4" borderId="0" xfId="1" applyFont="1" applyFill="1" applyAlignment="1"/>
    <xf numFmtId="164" fontId="4" fillId="4" borderId="0" xfId="1" applyFont="1" applyFill="1" applyAlignment="1"/>
    <xf numFmtId="164" fontId="1" fillId="0" borderId="1" xfId="1" applyFont="1" applyBorder="1" applyAlignment="1"/>
    <xf numFmtId="164" fontId="6" fillId="0" borderId="0" xfId="1" applyFont="1" applyFill="1" applyAlignment="1"/>
    <xf numFmtId="164" fontId="15" fillId="0" borderId="0" xfId="1" applyFont="1" applyFill="1" applyAlignment="1">
      <alignment horizontal="right"/>
    </xf>
    <xf numFmtId="164" fontId="15" fillId="0" borderId="0" xfId="1" applyFont="1" applyFill="1" applyAlignment="1"/>
    <xf numFmtId="164" fontId="6" fillId="4" borderId="0" xfId="1" applyFont="1" applyFill="1" applyAlignment="1"/>
    <xf numFmtId="164" fontId="1" fillId="0" borderId="1" xfId="1" applyFont="1" applyFill="1" applyBorder="1" applyAlignment="1"/>
    <xf numFmtId="164" fontId="1" fillId="0" borderId="0" xfId="1" applyFont="1" applyBorder="1" applyAlignment="1"/>
    <xf numFmtId="164" fontId="5" fillId="3" borderId="0" xfId="1" applyFont="1" applyFill="1" applyAlignment="1"/>
    <xf numFmtId="164" fontId="4" fillId="3" borderId="0" xfId="1" applyFont="1" applyFill="1" applyAlignment="1"/>
    <xf numFmtId="164" fontId="3" fillId="3" borderId="0" xfId="1" applyFont="1" applyFill="1" applyAlignment="1">
      <alignment horizontal="right"/>
    </xf>
    <xf numFmtId="164" fontId="3" fillId="3" borderId="0" xfId="1" applyFont="1" applyFill="1" applyAlignment="1"/>
    <xf numFmtId="164" fontId="8" fillId="0" borderId="1" xfId="1" applyFont="1" applyBorder="1" applyAlignment="1"/>
    <xf numFmtId="164" fontId="10" fillId="0" borderId="1" xfId="1" applyFont="1" applyBorder="1" applyAlignment="1"/>
    <xf numFmtId="164" fontId="7" fillId="0" borderId="1" xfId="1" applyFont="1" applyBorder="1" applyAlignment="1">
      <alignment horizontal="right"/>
    </xf>
    <xf numFmtId="164" fontId="7" fillId="0" borderId="1" xfId="1" applyFont="1" applyFill="1" applyBorder="1" applyAlignment="1"/>
    <xf numFmtId="164" fontId="7" fillId="0" borderId="1" xfId="1" applyFont="1" applyBorder="1" applyAlignment="1"/>
    <xf numFmtId="164" fontId="5" fillId="0" borderId="0" xfId="1" applyFont="1" applyFill="1" applyBorder="1" applyAlignment="1"/>
    <xf numFmtId="164" fontId="4" fillId="0" borderId="0" xfId="1" applyFont="1" applyFill="1" applyBorder="1" applyAlignment="1"/>
    <xf numFmtId="164" fontId="3" fillId="0" borderId="0" xfId="1" applyFont="1" applyFill="1" applyBorder="1" applyAlignment="1">
      <alignment horizontal="right"/>
    </xf>
    <xf numFmtId="164" fontId="12" fillId="0" borderId="0" xfId="1" applyFont="1" applyBorder="1" applyAlignment="1"/>
    <xf numFmtId="164" fontId="13" fillId="0" borderId="0" xfId="1" applyFont="1" applyBorder="1" applyAlignment="1"/>
    <xf numFmtId="164" fontId="14" fillId="0" borderId="0" xfId="1" applyFont="1" applyBorder="1" applyAlignment="1">
      <alignment horizontal="right"/>
    </xf>
    <xf numFmtId="164" fontId="14" fillId="0" borderId="0" xfId="1" applyFont="1" applyFill="1" applyBorder="1" applyAlignment="1"/>
    <xf numFmtId="164" fontId="14" fillId="0" borderId="0" xfId="1" applyFont="1" applyBorder="1" applyAlignment="1"/>
    <xf numFmtId="164" fontId="14" fillId="3" borderId="0" xfId="1" applyFont="1" applyFill="1" applyBorder="1" applyAlignment="1"/>
    <xf numFmtId="164" fontId="5" fillId="0" borderId="1" xfId="1" applyFont="1" applyFill="1" applyBorder="1" applyAlignment="1"/>
    <xf numFmtId="164" fontId="4" fillId="0" borderId="1" xfId="1" applyFont="1" applyFill="1" applyBorder="1" applyAlignment="1"/>
    <xf numFmtId="164" fontId="8" fillId="3" borderId="0" xfId="1" applyFont="1" applyFill="1" applyBorder="1" applyAlignment="1"/>
    <xf numFmtId="164" fontId="10" fillId="3" borderId="0" xfId="1" applyFont="1" applyFill="1" applyBorder="1" applyAlignment="1"/>
    <xf numFmtId="164" fontId="7" fillId="3" borderId="0" xfId="1" applyFont="1" applyFill="1" applyBorder="1" applyAlignment="1">
      <alignment horizontal="right"/>
    </xf>
    <xf numFmtId="164" fontId="7" fillId="3" borderId="0" xfId="1" applyFont="1" applyFill="1" applyBorder="1" applyAlignment="1"/>
    <xf numFmtId="166" fontId="8" fillId="0" borderId="0" xfId="5" applyFont="1" applyAlignment="1"/>
    <xf numFmtId="166" fontId="8" fillId="0" borderId="0" xfId="5" applyFont="1" applyFill="1" applyAlignment="1"/>
    <xf numFmtId="166" fontId="10" fillId="0" borderId="0" xfId="5" applyFont="1" applyFill="1" applyAlignment="1"/>
    <xf numFmtId="166" fontId="7" fillId="0" borderId="0" xfId="5" applyFont="1" applyAlignment="1">
      <alignment horizontal="right"/>
    </xf>
    <xf numFmtId="166" fontId="7" fillId="0" borderId="0" xfId="5" applyFont="1" applyFill="1" applyAlignment="1"/>
    <xf numFmtId="166" fontId="7" fillId="0" borderId="0" xfId="5" applyFont="1" applyAlignment="1"/>
    <xf numFmtId="164" fontId="3" fillId="6" borderId="0" xfId="1" applyFont="1" applyFill="1" applyAlignment="1"/>
    <xf numFmtId="166" fontId="8" fillId="0" borderId="0" xfId="5" applyFont="1" applyBorder="1" applyAlignment="1"/>
    <xf numFmtId="166" fontId="10" fillId="0" borderId="0" xfId="5" applyFont="1" applyBorder="1" applyAlignment="1"/>
    <xf numFmtId="166" fontId="7" fillId="0" borderId="0" xfId="5" applyFont="1" applyBorder="1" applyAlignment="1">
      <alignment horizontal="right"/>
    </xf>
    <xf numFmtId="166" fontId="7" fillId="0" borderId="0" xfId="5" applyFont="1" applyFill="1" applyBorder="1" applyAlignment="1"/>
    <xf numFmtId="166" fontId="7" fillId="0" borderId="0" xfId="5" applyFont="1" applyBorder="1" applyAlignment="1"/>
    <xf numFmtId="164" fontId="8" fillId="3" borderId="0" xfId="1" applyFont="1" applyFill="1" applyAlignment="1"/>
    <xf numFmtId="164" fontId="10" fillId="3" borderId="0" xfId="1" applyFont="1" applyFill="1" applyAlignment="1"/>
    <xf numFmtId="164" fontId="7" fillId="3" borderId="0" xfId="1" applyFont="1" applyFill="1" applyAlignment="1">
      <alignment horizontal="right"/>
    </xf>
    <xf numFmtId="164" fontId="7" fillId="3" borderId="0" xfId="1" applyFont="1" applyFill="1" applyAlignment="1"/>
    <xf numFmtId="164" fontId="7" fillId="0" borderId="0" xfId="1" applyFont="1" applyFill="1" applyBorder="1" applyAlignment="1"/>
    <xf numFmtId="166" fontId="7" fillId="0" borderId="0" xfId="5" applyFont="1" applyFill="1" applyAlignment="1">
      <alignment horizontal="right"/>
    </xf>
    <xf numFmtId="170" fontId="8" fillId="0" borderId="0" xfId="1" applyNumberFormat="1" applyFont="1" applyAlignment="1"/>
    <xf numFmtId="170" fontId="8" fillId="0" borderId="0" xfId="1" applyNumberFormat="1" applyFont="1" applyFill="1" applyAlignment="1"/>
    <xf numFmtId="170" fontId="10" fillId="0" borderId="0" xfId="1" applyNumberFormat="1" applyFont="1" applyFill="1" applyAlignment="1"/>
    <xf numFmtId="170" fontId="7" fillId="0" borderId="0" xfId="1" applyNumberFormat="1" applyFont="1" applyAlignment="1">
      <alignment horizontal="right"/>
    </xf>
    <xf numFmtId="170" fontId="7" fillId="0" borderId="0" xfId="1" applyNumberFormat="1" applyFont="1" applyAlignment="1"/>
    <xf numFmtId="165" fontId="8" fillId="0" borderId="0" xfId="4" applyFont="1" applyFill="1" applyAlignment="1"/>
    <xf numFmtId="165" fontId="10" fillId="0" borderId="0" xfId="4" applyFont="1" applyFill="1" applyAlignment="1"/>
    <xf numFmtId="165" fontId="7" fillId="0" borderId="0" xfId="4" applyFont="1" applyFill="1" applyAlignment="1">
      <alignment horizontal="right"/>
    </xf>
    <xf numFmtId="165" fontId="7" fillId="0" borderId="0" xfId="4" applyFont="1" applyFill="1" applyAlignment="1"/>
    <xf numFmtId="164" fontId="6" fillId="5" borderId="0" xfId="1" applyFont="1" applyFill="1" applyAlignment="1"/>
    <xf numFmtId="164" fontId="15" fillId="0" borderId="0" xfId="1" applyFont="1" applyAlignment="1">
      <alignment horizontal="right"/>
    </xf>
    <xf numFmtId="164" fontId="15" fillId="0" borderId="0" xfId="1" applyFont="1" applyAlignment="1"/>
    <xf numFmtId="164" fontId="15" fillId="0" borderId="0" xfId="1" applyNumberFormat="1" applyFont="1" applyFill="1" applyAlignment="1"/>
    <xf numFmtId="169" fontId="7" fillId="0" borderId="0" xfId="5" applyNumberFormat="1" applyFont="1" applyFill="1" applyAlignment="1"/>
    <xf numFmtId="169" fontId="8" fillId="0" borderId="0" xfId="5" applyNumberFormat="1" applyFont="1" applyAlignment="1"/>
    <xf numFmtId="169" fontId="8" fillId="0" borderId="0" xfId="5" applyNumberFormat="1" applyFont="1" applyFill="1" applyAlignment="1"/>
    <xf numFmtId="169" fontId="10" fillId="0" borderId="0" xfId="5" applyNumberFormat="1" applyFont="1" applyFill="1" applyAlignment="1"/>
    <xf numFmtId="169" fontId="7" fillId="0" borderId="0" xfId="5" applyNumberFormat="1" applyFont="1" applyAlignment="1">
      <alignment horizontal="right"/>
    </xf>
    <xf numFmtId="169" fontId="7" fillId="0" borderId="0" xfId="5" applyNumberFormat="1" applyFont="1" applyAlignment="1"/>
    <xf numFmtId="164" fontId="1" fillId="4" borderId="0" xfId="1" applyFont="1" applyFill="1" applyAlignment="1">
      <alignment horizontal="right"/>
    </xf>
    <xf numFmtId="164" fontId="1" fillId="4" borderId="0" xfId="1" applyFont="1" applyFill="1" applyAlignment="1"/>
    <xf numFmtId="164" fontId="6" fillId="0" borderId="0" xfId="1" applyFont="1" applyBorder="1" applyAlignment="1"/>
    <xf numFmtId="164" fontId="0" fillId="0" borderId="0" xfId="1" applyFont="1" applyBorder="1" applyAlignment="1">
      <alignment horizontal="right"/>
    </xf>
    <xf numFmtId="164" fontId="0" fillId="0" borderId="0" xfId="1" applyFont="1" applyBorder="1" applyAlignment="1"/>
    <xf numFmtId="164" fontId="14" fillId="3" borderId="0" xfId="1" applyFont="1" applyFill="1" applyAlignment="1"/>
    <xf numFmtId="164" fontId="6" fillId="0" borderId="0" xfId="1" applyFont="1" applyAlignment="1"/>
    <xf numFmtId="167" fontId="8" fillId="0" borderId="0" xfId="2" applyFont="1" applyFill="1" applyAlignment="1"/>
    <xf numFmtId="167" fontId="8" fillId="0" borderId="0" xfId="2" applyFont="1" applyAlignment="1"/>
    <xf numFmtId="167" fontId="10" fillId="0" borderId="0" xfId="2" applyFont="1" applyAlignment="1"/>
    <xf numFmtId="167" fontId="9" fillId="0" borderId="0" xfId="2" applyFont="1" applyAlignment="1">
      <alignment horizontal="right"/>
    </xf>
    <xf numFmtId="167" fontId="9" fillId="0" borderId="0" xfId="2" applyFont="1" applyAlignment="1"/>
    <xf numFmtId="167" fontId="9" fillId="0" borderId="0" xfId="2" applyFont="1" applyFill="1" applyAlignment="1"/>
    <xf numFmtId="168" fontId="12" fillId="0" borderId="0" xfId="3" applyFont="1" applyFill="1" applyAlignment="1"/>
    <xf numFmtId="168" fontId="13" fillId="0" borderId="0" xfId="3" applyFont="1" applyFill="1" applyAlignment="1"/>
    <xf numFmtId="168" fontId="14" fillId="0" borderId="0" xfId="3" applyFont="1" applyFill="1" applyAlignment="1">
      <alignment horizontal="right"/>
    </xf>
    <xf numFmtId="168" fontId="14" fillId="0" borderId="0" xfId="3" applyFont="1" applyFill="1" applyAlignment="1"/>
    <xf numFmtId="168" fontId="14" fillId="3" borderId="0" xfId="3" applyFont="1" applyFill="1" applyAlignment="1"/>
    <xf numFmtId="168" fontId="5" fillId="0" borderId="0" xfId="3" applyFont="1" applyFill="1" applyAlignment="1"/>
    <xf numFmtId="168" fontId="6" fillId="0" borderId="0" xfId="3" applyFont="1" applyFill="1" applyAlignment="1"/>
    <xf numFmtId="168" fontId="3" fillId="0" borderId="0" xfId="3" applyFont="1" applyFill="1" applyAlignment="1">
      <alignment horizontal="right"/>
    </xf>
    <xf numFmtId="168" fontId="3" fillId="0" borderId="0" xfId="3" applyFont="1" applyFill="1" applyAlignment="1"/>
    <xf numFmtId="168" fontId="5" fillId="0" borderId="0" xfId="3" applyFont="1" applyAlignment="1"/>
    <xf numFmtId="168" fontId="6" fillId="0" borderId="0" xfId="3" applyFont="1" applyAlignment="1"/>
    <xf numFmtId="168" fontId="0" fillId="0" borderId="0" xfId="3" applyFont="1" applyAlignment="1">
      <alignment horizontal="right"/>
    </xf>
    <xf numFmtId="168" fontId="0" fillId="0" borderId="0" xfId="3" applyFont="1" applyAlignment="1"/>
    <xf numFmtId="164" fontId="0" fillId="0" borderId="0" xfId="1" applyFont="1" applyAlignment="1">
      <alignment horizontal="right"/>
    </xf>
    <xf numFmtId="164" fontId="0" fillId="0" borderId="0" xfId="1" applyFont="1" applyAlignment="1"/>
    <xf numFmtId="167" fontId="10" fillId="0" borderId="0" xfId="2" applyFont="1" applyFill="1" applyAlignment="1"/>
    <xf numFmtId="167" fontId="9" fillId="0" borderId="0" xfId="2" applyFont="1" applyFill="1" applyAlignment="1">
      <alignment horizontal="right"/>
    </xf>
    <xf numFmtId="164" fontId="14" fillId="0" borderId="0" xfId="1" applyFont="1" applyFill="1" applyAlignment="1"/>
    <xf numFmtId="167" fontId="7" fillId="0" borderId="0" xfId="2" applyFont="1" applyFill="1" applyAlignment="1">
      <alignment horizontal="right"/>
    </xf>
    <xf numFmtId="167" fontId="7" fillId="0" borderId="0" xfId="2" applyFont="1" applyFill="1" applyAlignment="1"/>
    <xf numFmtId="166" fontId="1" fillId="0" borderId="0" xfId="5" applyFont="1" applyAlignment="1"/>
    <xf numFmtId="166" fontId="5" fillId="0" borderId="0" xfId="5" applyFont="1" applyAlignment="1"/>
    <xf numFmtId="166" fontId="6" fillId="0" borderId="0" xfId="5" applyFont="1" applyFill="1" applyAlignment="1"/>
    <xf numFmtId="166" fontId="1" fillId="0" borderId="0" xfId="5" applyFont="1" applyAlignment="1">
      <alignment horizontal="right"/>
    </xf>
    <xf numFmtId="167" fontId="7" fillId="0" borderId="0" xfId="2" applyFont="1" applyAlignment="1">
      <alignment horizontal="right"/>
    </xf>
    <xf numFmtId="167" fontId="7" fillId="0" borderId="0" xfId="2" applyFont="1" applyAlignment="1"/>
    <xf numFmtId="165" fontId="12" fillId="0" borderId="0" xfId="4" applyFont="1" applyFill="1" applyAlignment="1"/>
    <xf numFmtId="165" fontId="13" fillId="0" borderId="0" xfId="4" applyFont="1" applyFill="1" applyAlignment="1"/>
    <xf numFmtId="165" fontId="14" fillId="0" borderId="0" xfId="4" applyFont="1" applyFill="1" applyAlignment="1">
      <alignment horizontal="right"/>
    </xf>
    <xf numFmtId="165" fontId="14" fillId="0" borderId="0" xfId="4" applyFont="1" applyFill="1" applyAlignment="1"/>
    <xf numFmtId="165" fontId="14" fillId="3" borderId="0" xfId="4" applyFont="1" applyFill="1" applyAlignment="1"/>
    <xf numFmtId="164" fontId="1" fillId="7" borderId="0" xfId="1" applyFont="1" applyFill="1" applyAlignment="1"/>
    <xf numFmtId="169" fontId="1" fillId="7" borderId="0" xfId="5" applyNumberFormat="1" applyFont="1" applyFill="1" applyAlignment="1"/>
    <xf numFmtId="164" fontId="8" fillId="0" borderId="0" xfId="1" applyFont="1" applyFill="1" applyBorder="1" applyAlignment="1"/>
    <xf numFmtId="164" fontId="10" fillId="0" borderId="0" xfId="1" applyFont="1" applyFill="1" applyBorder="1" applyAlignment="1"/>
    <xf numFmtId="164" fontId="7" fillId="0" borderId="0" xfId="1" applyFont="1" applyFill="1" applyBorder="1" applyAlignment="1">
      <alignment horizontal="right"/>
    </xf>
    <xf numFmtId="164" fontId="3" fillId="4" borderId="0" xfId="1" applyFont="1" applyFill="1" applyAlignment="1">
      <alignment horizontal="right"/>
    </xf>
    <xf numFmtId="164" fontId="3" fillId="4" borderId="0" xfId="1" applyFont="1" applyFill="1" applyAlignment="1"/>
    <xf numFmtId="168" fontId="3" fillId="0" borderId="0" xfId="3" applyFont="1" applyAlignment="1"/>
    <xf numFmtId="167" fontId="3" fillId="2" borderId="0" xfId="2" applyFont="1" applyFill="1" applyAlignment="1"/>
    <xf numFmtId="166" fontId="3" fillId="0" borderId="0" xfId="5" applyFont="1" applyAlignment="1">
      <alignment horizontal="right"/>
    </xf>
    <xf numFmtId="166" fontId="3" fillId="0" borderId="0" xfId="5" applyFont="1" applyAlignment="1"/>
    <xf numFmtId="168" fontId="4" fillId="0" borderId="0" xfId="3" applyFont="1" applyFill="1" applyAlignment="1"/>
    <xf numFmtId="168" fontId="3" fillId="0" borderId="0" xfId="3" applyFont="1" applyAlignment="1">
      <alignment horizontal="right"/>
    </xf>
    <xf numFmtId="164" fontId="3" fillId="0" borderId="0" xfId="1" applyFont="1" applyFill="1" applyAlignment="1">
      <alignment horizontal="right"/>
    </xf>
    <xf numFmtId="169" fontId="1" fillId="4" borderId="0" xfId="5" applyNumberFormat="1" applyFont="1" applyFill="1" applyAlignment="1"/>
    <xf numFmtId="164" fontId="1" fillId="0" borderId="1" xfId="1" applyFont="1" applyBorder="1" applyAlignment="1">
      <alignment horizontal="right"/>
    </xf>
    <xf numFmtId="164" fontId="1" fillId="7" borderId="1" xfId="1" applyFont="1" applyFill="1" applyBorder="1" applyAlignment="1"/>
    <xf numFmtId="165" fontId="1" fillId="6" borderId="0" xfId="4" applyFont="1" applyFill="1" applyAlignment="1"/>
    <xf numFmtId="168" fontId="8" fillId="0" borderId="0" xfId="3" applyFont="1" applyBorder="1" applyAlignment="1"/>
    <xf numFmtId="168" fontId="8" fillId="0" borderId="0" xfId="3" applyFont="1" applyFill="1" applyBorder="1" applyAlignment="1"/>
    <xf numFmtId="168" fontId="10" fillId="0" borderId="0" xfId="3" applyFont="1" applyFill="1" applyBorder="1" applyAlignment="1"/>
    <xf numFmtId="168" fontId="7" fillId="0" borderId="0" xfId="3" applyFont="1" applyBorder="1" applyAlignment="1">
      <alignment horizontal="right"/>
    </xf>
    <xf numFmtId="168" fontId="7" fillId="0" borderId="0" xfId="3" applyFont="1" applyBorder="1" applyAlignment="1"/>
    <xf numFmtId="164" fontId="3" fillId="8" borderId="0" xfId="1" applyFont="1" applyFill="1" applyBorder="1" applyAlignment="1"/>
    <xf numFmtId="168" fontId="5" fillId="0" borderId="3" xfId="3" applyFont="1" applyFill="1" applyBorder="1" applyAlignment="1"/>
    <xf numFmtId="168" fontId="4" fillId="0" borderId="3" xfId="3" applyFont="1" applyFill="1" applyBorder="1" applyAlignment="1"/>
    <xf numFmtId="168" fontId="3" fillId="0" borderId="3" xfId="3" applyFont="1" applyFill="1" applyBorder="1" applyAlignment="1">
      <alignment horizontal="right"/>
    </xf>
    <xf numFmtId="168" fontId="3" fillId="8" borderId="3" xfId="3" applyFont="1" applyFill="1" applyBorder="1" applyAlignment="1"/>
    <xf numFmtId="168" fontId="3" fillId="3" borderId="3" xfId="3" applyFont="1" applyFill="1" applyBorder="1" applyAlignment="1"/>
    <xf numFmtId="168" fontId="3" fillId="0" borderId="3" xfId="3" applyFont="1" applyFill="1" applyBorder="1" applyAlignment="1"/>
    <xf numFmtId="164" fontId="5" fillId="0" borderId="4" xfId="1" applyFont="1" applyBorder="1" applyAlignment="1"/>
    <xf numFmtId="164" fontId="5" fillId="0" borderId="4" xfId="1" applyFont="1" applyFill="1" applyBorder="1" applyAlignment="1"/>
    <xf numFmtId="164" fontId="4" fillId="0" borderId="4" xfId="1" applyFont="1" applyFill="1" applyBorder="1" applyAlignment="1"/>
    <xf numFmtId="164" fontId="3" fillId="0" borderId="4" xfId="1" applyFont="1" applyBorder="1" applyAlignment="1">
      <alignment horizontal="right"/>
    </xf>
    <xf numFmtId="164" fontId="3" fillId="4" borderId="4" xfId="1" applyFont="1" applyFill="1" applyBorder="1" applyAlignment="1"/>
    <xf numFmtId="164" fontId="3" fillId="0" borderId="4" xfId="1" applyFont="1" applyBorder="1" applyAlignment="1"/>
    <xf numFmtId="166" fontId="3" fillId="0" borderId="4" xfId="5" applyFont="1" applyFill="1" applyBorder="1" applyAlignment="1"/>
    <xf numFmtId="167" fontId="3" fillId="0" borderId="0" xfId="2" applyFont="1" applyFill="1" applyAlignment="1">
      <alignment horizontal="right" vertical="top"/>
    </xf>
    <xf numFmtId="167" fontId="3" fillId="0" borderId="0" xfId="2" applyFont="1" applyFill="1" applyAlignment="1">
      <alignment vertical="top"/>
    </xf>
    <xf numFmtId="0" fontId="3" fillId="0" borderId="0" xfId="2" applyNumberFormat="1" applyFont="1" applyFill="1" applyAlignment="1">
      <alignment vertical="top" wrapText="1"/>
    </xf>
    <xf numFmtId="167" fontId="3" fillId="0" borderId="0" xfId="2" applyFont="1" applyFill="1" applyAlignment="1"/>
    <xf numFmtId="167" fontId="12" fillId="0" borderId="0" xfId="2" applyFont="1" applyAlignment="1">
      <alignment vertical="top"/>
    </xf>
    <xf numFmtId="167" fontId="13" fillId="0" borderId="0" xfId="2" applyFont="1" applyAlignment="1">
      <alignment vertical="top"/>
    </xf>
    <xf numFmtId="167" fontId="14" fillId="0" borderId="0" xfId="2" applyFont="1" applyAlignment="1">
      <alignment horizontal="right" vertical="top"/>
    </xf>
    <xf numFmtId="167" fontId="14" fillId="0" borderId="0" xfId="2" applyFont="1" applyAlignment="1">
      <alignment vertical="top"/>
    </xf>
    <xf numFmtId="0" fontId="14" fillId="0" borderId="0" xfId="2" applyNumberFormat="1" applyFont="1" applyAlignment="1">
      <alignment vertical="top" wrapText="1"/>
    </xf>
    <xf numFmtId="168" fontId="1" fillId="0" borderId="0" xfId="3" applyFont="1" applyAlignment="1">
      <alignment horizontal="right"/>
    </xf>
    <xf numFmtId="168" fontId="1" fillId="0" borderId="0" xfId="3" applyFont="1" applyAlignment="1"/>
    <xf numFmtId="164" fontId="14" fillId="0" borderId="0" xfId="1" applyFont="1" applyFill="1" applyAlignment="1">
      <alignment horizontal="right"/>
    </xf>
    <xf numFmtId="166" fontId="14" fillId="0" borderId="0" xfId="5" applyFont="1" applyFill="1" applyAlignment="1">
      <alignment horizontal="right"/>
    </xf>
    <xf numFmtId="166" fontId="14" fillId="0" borderId="0" xfId="5" applyFont="1" applyFill="1" applyAlignment="1"/>
    <xf numFmtId="164" fontId="5" fillId="0" borderId="5" xfId="1" applyFont="1" applyBorder="1" applyAlignment="1"/>
    <xf numFmtId="164" fontId="5" fillId="0" borderId="5" xfId="1" applyFont="1" applyFill="1" applyBorder="1" applyAlignment="1"/>
    <xf numFmtId="164" fontId="4" fillId="0" borderId="5" xfId="1" applyFont="1" applyFill="1" applyBorder="1" applyAlignment="1"/>
    <xf numFmtId="164" fontId="3" fillId="0" borderId="5" xfId="1" applyFont="1" applyBorder="1" applyAlignment="1">
      <alignment horizontal="right"/>
    </xf>
    <xf numFmtId="164" fontId="3" fillId="0" borderId="5" xfId="1" applyFont="1" applyBorder="1" applyAlignment="1"/>
    <xf numFmtId="164" fontId="5" fillId="0" borderId="6" xfId="1" applyFont="1" applyBorder="1" applyAlignment="1"/>
    <xf numFmtId="164" fontId="5" fillId="0" borderId="6" xfId="1" applyFont="1" applyFill="1" applyBorder="1" applyAlignment="1"/>
    <xf numFmtId="164" fontId="4" fillId="0" borderId="6" xfId="1" applyFont="1" applyFill="1" applyBorder="1" applyAlignment="1"/>
    <xf numFmtId="164" fontId="3" fillId="0" borderId="6" xfId="1" applyFont="1" applyBorder="1" applyAlignment="1">
      <alignment horizontal="right"/>
    </xf>
    <xf numFmtId="164" fontId="3" fillId="0" borderId="6" xfId="1" applyFont="1" applyBorder="1" applyAlignment="1"/>
    <xf numFmtId="165" fontId="5" fillId="4" borderId="0" xfId="4" applyFont="1" applyFill="1" applyBorder="1" applyAlignment="1"/>
    <xf numFmtId="165" fontId="4" fillId="4" borderId="0" xfId="4" applyFont="1" applyFill="1" applyBorder="1" applyAlignment="1"/>
    <xf numFmtId="165" fontId="1" fillId="4" borderId="0" xfId="4" applyFont="1" applyFill="1" applyBorder="1" applyAlignment="1">
      <alignment horizontal="right"/>
    </xf>
    <xf numFmtId="165" fontId="1" fillId="4" borderId="0" xfId="4" applyFont="1" applyFill="1" applyBorder="1" applyAlignment="1"/>
    <xf numFmtId="166" fontId="3" fillId="4" borderId="0" xfId="5" applyFont="1" applyFill="1" applyAlignment="1"/>
    <xf numFmtId="166" fontId="3" fillId="0" borderId="1" xfId="5" applyFont="1" applyBorder="1" applyAlignment="1"/>
    <xf numFmtId="171" fontId="3" fillId="0" borderId="0" xfId="5" applyNumberFormat="1" applyFont="1" applyAlignment="1"/>
    <xf numFmtId="171" fontId="5" fillId="0" borderId="0" xfId="5" applyNumberFormat="1" applyFont="1" applyFill="1" applyAlignment="1"/>
    <xf numFmtId="171" fontId="4" fillId="0" borderId="0" xfId="5" applyNumberFormat="1" applyFont="1" applyFill="1" applyAlignment="1"/>
    <xf numFmtId="171" fontId="3" fillId="0" borderId="0" xfId="5" applyNumberFormat="1" applyFont="1" applyFill="1" applyAlignment="1"/>
    <xf numFmtId="171" fontId="3" fillId="0" borderId="0" xfId="5" applyNumberFormat="1" applyFont="1" applyFill="1" applyAlignment="1">
      <alignment horizontal="right"/>
    </xf>
    <xf numFmtId="172" fontId="5" fillId="0" borderId="0" xfId="1" applyNumberFormat="1" applyFont="1" applyAlignment="1"/>
    <xf numFmtId="172" fontId="5" fillId="0" borderId="0" xfId="1" applyNumberFormat="1" applyFont="1" applyFill="1" applyAlignment="1"/>
    <xf numFmtId="172" fontId="4" fillId="0" borderId="0" xfId="1" applyNumberFormat="1" applyFont="1" applyFill="1" applyAlignment="1"/>
    <xf numFmtId="172" fontId="3" fillId="0" borderId="0" xfId="1" applyNumberFormat="1" applyFont="1" applyAlignment="1">
      <alignment horizontal="right"/>
    </xf>
    <xf numFmtId="172" fontId="3" fillId="0" borderId="0" xfId="1" applyNumberFormat="1" applyFont="1" applyAlignment="1"/>
    <xf numFmtId="164" fontId="5" fillId="2" borderId="0" xfId="1" applyFont="1" applyFill="1" applyAlignment="1"/>
    <xf numFmtId="164" fontId="4" fillId="2" borderId="0" xfId="1" applyFont="1" applyFill="1" applyAlignment="1"/>
    <xf numFmtId="164" fontId="3" fillId="2" borderId="0" xfId="1" applyFont="1" applyFill="1" applyAlignment="1">
      <alignment horizontal="right"/>
    </xf>
    <xf numFmtId="172" fontId="3" fillId="6" borderId="0" xfId="1" applyNumberFormat="1" applyFont="1" applyFill="1" applyAlignment="1"/>
    <xf numFmtId="164" fontId="7" fillId="6" borderId="0" xfId="1" applyFont="1" applyFill="1" applyAlignment="1"/>
    <xf numFmtId="167" fontId="5" fillId="4" borderId="0" xfId="2" applyFont="1" applyFill="1" applyAlignment="1"/>
    <xf numFmtId="167" fontId="4" fillId="4" borderId="0" xfId="2" applyFont="1" applyFill="1" applyAlignment="1"/>
    <xf numFmtId="167" fontId="1" fillId="4" borderId="0" xfId="2" applyFont="1" applyFill="1" applyAlignment="1">
      <alignment horizontal="right"/>
    </xf>
    <xf numFmtId="167" fontId="1" fillId="4" borderId="0" xfId="2" applyFont="1" applyFill="1" applyAlignment="1"/>
    <xf numFmtId="166" fontId="3" fillId="2" borderId="0" xfId="5" applyFont="1" applyFill="1" applyBorder="1" applyAlignment="1"/>
    <xf numFmtId="164" fontId="5" fillId="0" borderId="3" xfId="1" applyFont="1" applyBorder="1" applyAlignment="1"/>
    <xf numFmtId="164" fontId="5" fillId="0" borderId="3" xfId="1" applyFont="1" applyFill="1" applyBorder="1" applyAlignment="1"/>
    <xf numFmtId="164" fontId="4" fillId="0" borderId="3" xfId="1" applyFont="1" applyFill="1" applyBorder="1" applyAlignment="1"/>
    <xf numFmtId="164" fontId="3" fillId="0" borderId="3" xfId="1" applyFont="1" applyBorder="1" applyAlignment="1">
      <alignment horizontal="right"/>
    </xf>
    <xf numFmtId="164" fontId="3" fillId="0" borderId="3" xfId="1" applyFont="1" applyBorder="1" applyAlignment="1"/>
    <xf numFmtId="166" fontId="3" fillId="2" borderId="3" xfId="5" applyFont="1" applyFill="1" applyBorder="1" applyAlignment="1"/>
    <xf numFmtId="166" fontId="5" fillId="0" borderId="4" xfId="5" applyFont="1" applyFill="1" applyBorder="1" applyAlignment="1"/>
    <xf numFmtId="166" fontId="4" fillId="0" borderId="4" xfId="5" applyFont="1" applyFill="1" applyBorder="1" applyAlignment="1"/>
    <xf numFmtId="166" fontId="3" fillId="0" borderId="4" xfId="5" applyFont="1" applyFill="1" applyBorder="1" applyAlignment="1">
      <alignment horizontal="right"/>
    </xf>
    <xf numFmtId="166" fontId="3" fillId="3" borderId="0" xfId="5" applyFont="1" applyFill="1" applyAlignment="1"/>
    <xf numFmtId="173" fontId="3" fillId="3" borderId="0" xfId="5" applyNumberFormat="1" applyFont="1" applyFill="1" applyAlignment="1"/>
    <xf numFmtId="164" fontId="14" fillId="0" borderId="1" xfId="1" applyFont="1" applyFill="1" applyBorder="1" applyAlignment="1"/>
    <xf numFmtId="164" fontId="7" fillId="4" borderId="0" xfId="1" applyFont="1" applyFill="1" applyBorder="1" applyAlignment="1"/>
    <xf numFmtId="164" fontId="7" fillId="8" borderId="0" xfId="1" applyFont="1" applyFill="1" applyBorder="1" applyAlignment="1"/>
    <xf numFmtId="167" fontId="5" fillId="0" borderId="0" xfId="2" applyFont="1" applyAlignment="1"/>
    <xf numFmtId="167" fontId="5" fillId="0" borderId="0" xfId="2" applyFont="1" applyFill="1" applyAlignment="1"/>
    <xf numFmtId="167" fontId="4" fillId="0" borderId="0" xfId="2" applyFont="1" applyFill="1" applyAlignment="1"/>
    <xf numFmtId="167" fontId="3" fillId="0" borderId="0" xfId="2" applyFont="1" applyAlignment="1">
      <alignment horizontal="right"/>
    </xf>
    <xf numFmtId="167" fontId="3" fillId="0" borderId="0" xfId="2" applyFont="1" applyAlignment="1"/>
    <xf numFmtId="165" fontId="5" fillId="0" borderId="0" xfId="4" applyFont="1" applyAlignment="1"/>
    <xf numFmtId="165" fontId="5" fillId="0" borderId="0" xfId="4" applyFont="1" applyFill="1" applyAlignment="1"/>
    <xf numFmtId="165" fontId="4" fillId="0" borderId="0" xfId="4" applyFont="1" applyFill="1" applyAlignment="1"/>
    <xf numFmtId="165" fontId="3" fillId="0" borderId="0" xfId="4" applyFont="1" applyAlignment="1">
      <alignment horizontal="right"/>
    </xf>
    <xf numFmtId="165" fontId="3" fillId="0" borderId="0" xfId="4" applyFont="1" applyAlignment="1"/>
    <xf numFmtId="165" fontId="3" fillId="4" borderId="0" xfId="4" applyFont="1" applyFill="1" applyAlignment="1"/>
    <xf numFmtId="165" fontId="3" fillId="0" borderId="0" xfId="4" applyFont="1" applyFill="1" applyAlignment="1">
      <alignment horizontal="right"/>
    </xf>
    <xf numFmtId="165" fontId="3" fillId="0" borderId="0" xfId="4" applyFont="1" applyFill="1" applyAlignment="1"/>
    <xf numFmtId="166" fontId="18" fillId="3" borderId="0" xfId="5" applyFont="1" applyFill="1" applyAlignment="1"/>
    <xf numFmtId="166" fontId="19" fillId="3" borderId="0" xfId="5" applyFont="1" applyFill="1" applyAlignment="1"/>
    <xf numFmtId="166" fontId="20" fillId="3" borderId="0" xfId="5" applyFont="1" applyFill="1" applyAlignment="1">
      <alignment horizontal="right"/>
    </xf>
    <xf numFmtId="166" fontId="20" fillId="3" borderId="0" xfId="5" applyFont="1" applyFill="1" applyAlignment="1"/>
    <xf numFmtId="166" fontId="3" fillId="6" borderId="0" xfId="5" applyFont="1" applyFill="1" applyAlignment="1"/>
    <xf numFmtId="166" fontId="1" fillId="0" borderId="0" xfId="5" applyFont="1" applyFill="1" applyAlignment="1">
      <alignment horizontal="right"/>
    </xf>
    <xf numFmtId="166" fontId="1" fillId="0" borderId="0" xfId="5" applyFont="1" applyFill="1" applyAlignment="1"/>
    <xf numFmtId="173" fontId="3" fillId="0" borderId="0" xfId="5" applyNumberFormat="1" applyFont="1" applyAlignment="1"/>
    <xf numFmtId="165" fontId="3" fillId="2" borderId="0" xfId="4" applyNumberFormat="1" applyFont="1" applyFill="1" applyAlignment="1"/>
    <xf numFmtId="174" fontId="3" fillId="6" borderId="0" xfId="4" applyNumberFormat="1" applyFont="1" applyFill="1" applyAlignment="1"/>
    <xf numFmtId="173" fontId="5" fillId="0" borderId="0" xfId="5" applyNumberFormat="1" applyFont="1" applyAlignment="1"/>
    <xf numFmtId="173" fontId="5" fillId="0" borderId="0" xfId="5" applyNumberFormat="1" applyFont="1" applyFill="1" applyAlignment="1"/>
    <xf numFmtId="173" fontId="4" fillId="0" borderId="0" xfId="5" applyNumberFormat="1" applyFont="1" applyFill="1" applyAlignment="1"/>
    <xf numFmtId="173" fontId="3" fillId="0" borderId="0" xfId="5" applyNumberFormat="1" applyFont="1" applyAlignment="1">
      <alignment horizontal="right"/>
    </xf>
    <xf numFmtId="173" fontId="12" fillId="0" borderId="0" xfId="5" applyNumberFormat="1" applyFont="1" applyAlignment="1"/>
    <xf numFmtId="173" fontId="12" fillId="0" borderId="0" xfId="5" applyNumberFormat="1" applyFont="1" applyFill="1" applyAlignment="1"/>
    <xf numFmtId="173" fontId="13" fillId="0" borderId="0" xfId="5" applyNumberFormat="1" applyFont="1" applyFill="1" applyAlignment="1"/>
    <xf numFmtId="173" fontId="14" fillId="0" borderId="0" xfId="5" applyNumberFormat="1" applyFont="1" applyAlignment="1">
      <alignment horizontal="right"/>
    </xf>
    <xf numFmtId="173" fontId="14" fillId="0" borderId="0" xfId="5" applyNumberFormat="1" applyFont="1" applyAlignment="1"/>
    <xf numFmtId="171" fontId="8" fillId="3" borderId="0" xfId="5" applyNumberFormat="1" applyFont="1" applyFill="1" applyAlignment="1"/>
    <xf numFmtId="171" fontId="10" fillId="3" borderId="0" xfId="5" applyNumberFormat="1" applyFont="1" applyFill="1" applyAlignment="1"/>
    <xf numFmtId="171" fontId="7" fillId="3" borderId="0" xfId="5" applyNumberFormat="1" applyFont="1" applyFill="1" applyAlignment="1">
      <alignment horizontal="right"/>
    </xf>
    <xf numFmtId="171" fontId="7" fillId="3" borderId="0" xfId="5" applyNumberFormat="1" applyFont="1" applyFill="1" applyAlignment="1"/>
    <xf numFmtId="173" fontId="3" fillId="0" borderId="0" xfId="5" applyNumberFormat="1" applyFont="1" applyFill="1" applyAlignment="1">
      <alignment horizontal="right"/>
    </xf>
    <xf numFmtId="173" fontId="3" fillId="0" borderId="0" xfId="5" applyNumberFormat="1" applyFont="1" applyFill="1" applyAlignment="1"/>
    <xf numFmtId="173" fontId="3" fillId="2" borderId="0" xfId="5" applyNumberFormat="1" applyFont="1" applyFill="1" applyAlignment="1"/>
    <xf numFmtId="164" fontId="3" fillId="2" borderId="0" xfId="1" applyFont="1" applyFill="1" applyBorder="1" applyAlignment="1"/>
    <xf numFmtId="164" fontId="1" fillId="0" borderId="0" xfId="1" applyFont="1" applyFill="1" applyBorder="1" applyAlignment="1"/>
    <xf numFmtId="164" fontId="1" fillId="6" borderId="0" xfId="1" applyFont="1" applyFill="1" applyAlignment="1"/>
    <xf numFmtId="164" fontId="3" fillId="7" borderId="0" xfId="1" applyFont="1" applyFill="1" applyAlignment="1"/>
    <xf numFmtId="164" fontId="1" fillId="0" borderId="0" xfId="1" applyFont="1" applyBorder="1" applyAlignment="1">
      <alignment horizontal="right"/>
    </xf>
    <xf numFmtId="164" fontId="1" fillId="2" borderId="0" xfId="1" applyFont="1" applyFill="1" applyBorder="1" applyAlignment="1"/>
  </cellXfs>
  <cellStyles count="6">
    <cellStyle name="Comma" xfId="1" builtinId="3"/>
    <cellStyle name="DateLong" xfId="2"/>
    <cellStyle name="DateShort" xfId="3"/>
    <cellStyle name="Factor" xfId="4"/>
    <cellStyle name="Normal" xfId="0" builtinId="0"/>
    <cellStyle name="Percent" xfId="5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7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Ratios!$I$11</c:f>
              <c:strCache>
                <c:ptCount val="1"/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val>
            <c:numRef>
              <c:f>Ratios!$J$11:$CA$11</c:f>
              <c:numCache>
                <c:formatCode>#,##0.0000_);\(#,##0.0000\);"-  ";" "@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1.397954189662562</c:v>
                </c:pt>
                <c:pt idx="6">
                  <c:v>1.3981726282748919</c:v>
                </c:pt>
                <c:pt idx="7">
                  <c:v>1.3981250624350288</c:v>
                </c:pt>
                <c:pt idx="8">
                  <c:v>1.3980874070260843</c:v>
                </c:pt>
                <c:pt idx="9">
                  <c:v>1.3979279957542001</c:v>
                </c:pt>
                <c:pt idx="10">
                  <c:v>1.398130278925477</c:v>
                </c:pt>
                <c:pt idx="11">
                  <c:v>1.3981581207770348</c:v>
                </c:pt>
                <c:pt idx="12">
                  <c:v>1.3979213296671222</c:v>
                </c:pt>
                <c:pt idx="13">
                  <c:v>1.3979955814070355</c:v>
                </c:pt>
                <c:pt idx="14">
                  <c:v>1.3979610094466255</c:v>
                </c:pt>
                <c:pt idx="15">
                  <c:v>1.3980679296901353</c:v>
                </c:pt>
                <c:pt idx="16">
                  <c:v>1.3979435688655908</c:v>
                </c:pt>
                <c:pt idx="17">
                  <c:v>1.3980967374359314</c:v>
                </c:pt>
                <c:pt idx="18">
                  <c:v>1.3979723741075443</c:v>
                </c:pt>
                <c:pt idx="19">
                  <c:v>1.3979960532331537</c:v>
                </c:pt>
                <c:pt idx="20">
                  <c:v>1.3980230234669329</c:v>
                </c:pt>
                <c:pt idx="21">
                  <c:v>1.3981720857573077</c:v>
                </c:pt>
                <c:pt idx="22">
                  <c:v>1.3980170532844669</c:v>
                </c:pt>
                <c:pt idx="23">
                  <c:v>1.3981031675647799</c:v>
                </c:pt>
                <c:pt idx="24">
                  <c:v>1.3980456946698296</c:v>
                </c:pt>
                <c:pt idx="25">
                  <c:v>1.3980054739051653</c:v>
                </c:pt>
                <c:pt idx="26">
                  <c:v>1.3980859289106753</c:v>
                </c:pt>
                <c:pt idx="27">
                  <c:v>1.3980580667005886</c:v>
                </c:pt>
                <c:pt idx="28">
                  <c:v>1.3981320572514808</c:v>
                </c:pt>
                <c:pt idx="29">
                  <c:v>1.3980898152133738</c:v>
                </c:pt>
                <c:pt idx="30">
                  <c:v>1.397996111117942</c:v>
                </c:pt>
                <c:pt idx="31">
                  <c:v>1.3980951426668971</c:v>
                </c:pt>
                <c:pt idx="32">
                  <c:v>1.397953837046211</c:v>
                </c:pt>
                <c:pt idx="33">
                  <c:v>1.3979631108840924</c:v>
                </c:pt>
                <c:pt idx="34">
                  <c:v>1.3980393906149846</c:v>
                </c:pt>
                <c:pt idx="35">
                  <c:v>1.3981374855749358</c:v>
                </c:pt>
                <c:pt idx="36">
                  <c:v>1.3981025469707264</c:v>
                </c:pt>
                <c:pt idx="37">
                  <c:v>1.397995812491643</c:v>
                </c:pt>
                <c:pt idx="38">
                  <c:v>1.3980540467841833</c:v>
                </c:pt>
                <c:pt idx="39">
                  <c:v>1.3979642722170804</c:v>
                </c:pt>
                <c:pt idx="40">
                  <c:v>1.3981459479028238</c:v>
                </c:pt>
                <c:pt idx="41">
                  <c:v>1.3980153774391189</c:v>
                </c:pt>
                <c:pt idx="42">
                  <c:v>1.3981171807786221</c:v>
                </c:pt>
                <c:pt idx="43">
                  <c:v>1.3981414586672676</c:v>
                </c:pt>
                <c:pt idx="44">
                  <c:v>1.3981020205150472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69911936"/>
        <c:axId val="269913472"/>
      </c:barChart>
      <c:catAx>
        <c:axId val="269911936"/>
        <c:scaling>
          <c:orientation val="minMax"/>
        </c:scaling>
        <c:delete val="0"/>
        <c:axPos val="b"/>
        <c:majorTickMark val="out"/>
        <c:minorTickMark val="none"/>
        <c:tickLblPos val="nextTo"/>
        <c:crossAx val="269913472"/>
        <c:crosses val="autoZero"/>
        <c:auto val="1"/>
        <c:lblAlgn val="ctr"/>
        <c:lblOffset val="100"/>
        <c:noMultiLvlLbl val="0"/>
      </c:catAx>
      <c:valAx>
        <c:axId val="2699134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.0000_);\(#,##0.0000\);&quot;-  &quot;;&quot; &quot;@" sourceLinked="1"/>
        <c:majorTickMark val="out"/>
        <c:minorTickMark val="none"/>
        <c:tickLblPos val="nextTo"/>
        <c:crossAx val="269911936"/>
        <c:crosses val="autoZero"/>
        <c:crossBetween val="between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theme="3" tint="-0.249977111117893"/>
  </sheetPr>
  <sheetViews>
    <sheetView tabSelected="1" zoomScale="14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222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>
    <tabColor indexed="43"/>
    <outlinePr summaryBelow="0" summaryRight="0"/>
  </sheetPr>
  <dimension ref="A1:BZ62"/>
  <sheetViews>
    <sheetView defaultGridColor="0" colorId="22" workbookViewId="0">
      <pane xSplit="6" ySplit="4" topLeftCell="G39" activePane="bottomRight" state="frozen"/>
      <selection activeCell="G5" sqref="G5"/>
      <selection pane="topRight" activeCell="G5" sqref="G5"/>
      <selection pane="bottomLeft" activeCell="G5" sqref="G5"/>
      <selection pane="bottomRight" activeCell="E54" sqref="E54"/>
    </sheetView>
  </sheetViews>
  <sheetFormatPr defaultColWidth="10.7109375" defaultRowHeight="12.75" x14ac:dyDescent="0.2"/>
  <cols>
    <col min="1" max="1" width="1.28515625" style="4" customWidth="1"/>
    <col min="2" max="2" width="1.28515625" style="1" customWidth="1"/>
    <col min="3" max="3" width="1.28515625" style="5" customWidth="1"/>
    <col min="4" max="4" width="1.28515625" style="12" customWidth="1"/>
    <col min="5" max="5" width="40.7109375" style="13" customWidth="1"/>
    <col min="6" max="6" width="12.7109375" style="13" customWidth="1"/>
    <col min="7" max="7" width="11.7109375" style="13" customWidth="1"/>
    <col min="8" max="9" width="12.7109375" style="13" customWidth="1"/>
    <col min="10" max="10" width="50.7109375" style="61" customWidth="1"/>
    <col min="11" max="11" width="2.7109375" style="13" customWidth="1"/>
    <col min="12" max="16384" width="10.7109375" style="13"/>
  </cols>
  <sheetData>
    <row r="1" spans="1:78" s="25" customFormat="1" x14ac:dyDescent="0.2">
      <c r="A1" s="22" t="str">
        <f ca="1" xml:space="preserve"> RIGHT(CELL("filename", A1), LEN(CELL("filename", A1)) - SEARCH("]", CELL("filename", A1)))</f>
        <v>InpC</v>
      </c>
      <c r="B1" s="22"/>
      <c r="C1" s="23"/>
      <c r="D1" s="24"/>
      <c r="F1" s="26"/>
      <c r="G1" s="26"/>
      <c r="J1" s="58"/>
    </row>
    <row r="2" spans="1:78" s="30" customFormat="1" x14ac:dyDescent="0.2">
      <c r="A2" s="27"/>
      <c r="B2" s="27"/>
      <c r="C2" s="28"/>
      <c r="D2" s="29"/>
      <c r="F2" s="31"/>
      <c r="G2" s="31"/>
      <c r="J2" s="59"/>
    </row>
    <row r="3" spans="1:78" s="30" customFormat="1" x14ac:dyDescent="0.2">
      <c r="A3" s="27"/>
      <c r="B3" s="27"/>
      <c r="C3" s="28"/>
      <c r="D3" s="29"/>
      <c r="F3" s="31"/>
      <c r="G3" s="31"/>
      <c r="J3" s="59"/>
    </row>
    <row r="4" spans="1:78" s="32" customFormat="1" x14ac:dyDescent="0.2">
      <c r="C4" s="33"/>
      <c r="D4" s="34"/>
      <c r="E4" s="35"/>
      <c r="F4" s="34" t="str">
        <f xml:space="preserve"> 'T&amp;E'!F$12</f>
        <v>constant</v>
      </c>
      <c r="G4" s="32" t="str">
        <f xml:space="preserve"> 'T&amp;E'!G$12</f>
        <v>unit</v>
      </c>
      <c r="H4" s="32" t="s">
        <v>151</v>
      </c>
      <c r="I4" s="32" t="s">
        <v>153</v>
      </c>
      <c r="J4" s="60" t="s">
        <v>152</v>
      </c>
    </row>
    <row r="6" spans="1:78" x14ac:dyDescent="0.2">
      <c r="A6" s="4" t="s">
        <v>154</v>
      </c>
    </row>
    <row r="8" spans="1:78" s="15" customFormat="1" x14ac:dyDescent="0.2">
      <c r="A8" s="11"/>
      <c r="B8" s="16"/>
      <c r="C8" s="14"/>
      <c r="D8" s="17"/>
      <c r="E8" s="15" t="s">
        <v>2</v>
      </c>
      <c r="F8" s="10">
        <v>41639</v>
      </c>
      <c r="G8" s="15" t="s">
        <v>13</v>
      </c>
      <c r="J8" s="62"/>
    </row>
    <row r="9" spans="1:78" s="300" customFormat="1" x14ac:dyDescent="0.2">
      <c r="A9" s="11"/>
      <c r="B9" s="11"/>
      <c r="C9" s="42"/>
      <c r="D9" s="299"/>
      <c r="J9" s="301"/>
    </row>
    <row r="10" spans="1:78" s="85" customFormat="1" x14ac:dyDescent="0.2">
      <c r="A10" s="81"/>
      <c r="B10" s="82"/>
      <c r="C10" s="83"/>
      <c r="D10" s="84"/>
      <c r="E10" s="85" t="s">
        <v>177</v>
      </c>
      <c r="F10" s="270">
        <v>41698</v>
      </c>
      <c r="G10" s="85" t="s">
        <v>178</v>
      </c>
      <c r="H10" s="302"/>
      <c r="AF10" s="135"/>
    </row>
    <row r="11" spans="1:78" x14ac:dyDescent="0.2">
      <c r="E11" s="13" t="s">
        <v>201</v>
      </c>
      <c r="F11" s="19">
        <v>22</v>
      </c>
      <c r="G11" s="13" t="s">
        <v>202</v>
      </c>
      <c r="H11" s="8"/>
    </row>
    <row r="12" spans="1:78" s="306" customFormat="1" x14ac:dyDescent="0.2">
      <c r="A12" s="303"/>
      <c r="B12" s="303"/>
      <c r="C12" s="304"/>
      <c r="D12" s="305"/>
      <c r="E12" s="306" t="s">
        <v>260</v>
      </c>
      <c r="F12" s="48">
        <f xml:space="preserve"> EOMONTH(F10, F11)</f>
        <v>42369</v>
      </c>
      <c r="G12" s="306" t="s">
        <v>13</v>
      </c>
      <c r="J12" s="307"/>
    </row>
    <row r="13" spans="1:78" s="300" customFormat="1" x14ac:dyDescent="0.2">
      <c r="A13" s="11"/>
      <c r="B13" s="11"/>
      <c r="C13" s="42"/>
      <c r="D13" s="299"/>
      <c r="J13" s="301"/>
    </row>
    <row r="14" spans="1:78" s="7" customFormat="1" x14ac:dyDescent="0.2">
      <c r="A14" s="1"/>
      <c r="B14" s="1"/>
      <c r="C14" s="5"/>
      <c r="D14" s="6"/>
      <c r="E14" s="8" t="s">
        <v>6</v>
      </c>
      <c r="F14" s="18">
        <v>30</v>
      </c>
      <c r="G14" s="7" t="s">
        <v>7</v>
      </c>
      <c r="H14" s="8"/>
      <c r="I14" s="8"/>
      <c r="J14" s="63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</row>
    <row r="15" spans="1:78" s="48" customFormat="1" x14ac:dyDescent="0.2">
      <c r="A15" s="45"/>
      <c r="B15" s="45"/>
      <c r="C15" s="46"/>
      <c r="D15" s="47"/>
      <c r="E15" s="48" t="s">
        <v>8</v>
      </c>
      <c r="F15" s="48">
        <f>EOMONTH( F12, 12 * F14  )</f>
        <v>53327</v>
      </c>
      <c r="G15" s="48" t="s">
        <v>13</v>
      </c>
      <c r="J15" s="64"/>
    </row>
    <row r="17" spans="1:7" x14ac:dyDescent="0.2">
      <c r="E17" s="13" t="s">
        <v>163</v>
      </c>
      <c r="F17" s="57">
        <v>2.5000000000000001E-2</v>
      </c>
      <c r="G17" s="13" t="s">
        <v>164</v>
      </c>
    </row>
    <row r="18" spans="1:7" x14ac:dyDescent="0.2">
      <c r="E18" s="13" t="s">
        <v>161</v>
      </c>
      <c r="F18" s="56">
        <v>41820</v>
      </c>
      <c r="G18" s="13" t="s">
        <v>13</v>
      </c>
    </row>
    <row r="21" spans="1:7" x14ac:dyDescent="0.2">
      <c r="A21" s="4" t="s">
        <v>169</v>
      </c>
    </row>
    <row r="23" spans="1:7" x14ac:dyDescent="0.2">
      <c r="C23" s="21"/>
      <c r="E23" s="13" t="s">
        <v>70</v>
      </c>
      <c r="F23" s="19">
        <v>110</v>
      </c>
      <c r="G23" s="13" t="s">
        <v>28</v>
      </c>
    </row>
    <row r="24" spans="1:7" x14ac:dyDescent="0.2">
      <c r="C24" s="21"/>
      <c r="E24" s="13" t="s">
        <v>39</v>
      </c>
      <c r="F24" s="19">
        <v>140</v>
      </c>
      <c r="G24" s="13" t="s">
        <v>28</v>
      </c>
    </row>
    <row r="25" spans="1:7" x14ac:dyDescent="0.2">
      <c r="C25" s="21"/>
      <c r="E25" s="13" t="s">
        <v>40</v>
      </c>
      <c r="F25" s="19">
        <v>250</v>
      </c>
      <c r="G25" s="13" t="s">
        <v>28</v>
      </c>
    </row>
    <row r="26" spans="1:7" x14ac:dyDescent="0.2">
      <c r="C26" s="21"/>
      <c r="E26" s="13" t="s">
        <v>41</v>
      </c>
      <c r="F26" s="19">
        <v>280</v>
      </c>
      <c r="G26" s="13" t="s">
        <v>28</v>
      </c>
    </row>
    <row r="28" spans="1:7" x14ac:dyDescent="0.2">
      <c r="E28" s="13" t="s">
        <v>82</v>
      </c>
      <c r="F28" s="38">
        <v>22.75</v>
      </c>
      <c r="G28" s="13" t="str">
        <f xml:space="preserve"> Curr_Unit &amp; " / PAx"</f>
        <v>€ / PAx</v>
      </c>
    </row>
    <row r="30" spans="1:7" x14ac:dyDescent="0.2">
      <c r="E30" s="13" t="s">
        <v>170</v>
      </c>
      <c r="F30" s="38">
        <v>10.5</v>
      </c>
      <c r="G30" s="13" t="str">
        <f xml:space="preserve"> Curr_Unit &amp; " / PAx"</f>
        <v>€ / PAx</v>
      </c>
    </row>
    <row r="31" spans="1:7" x14ac:dyDescent="0.2">
      <c r="E31" s="13" t="s">
        <v>86</v>
      </c>
      <c r="F31" s="36">
        <v>0.25</v>
      </c>
      <c r="G31" s="13" t="s">
        <v>87</v>
      </c>
    </row>
    <row r="33" spans="1:10" x14ac:dyDescent="0.2">
      <c r="E33" s="13" t="s">
        <v>89</v>
      </c>
      <c r="F33" s="38">
        <v>340</v>
      </c>
      <c r="G33" s="13" t="str">
        <f xml:space="preserve"> Curr_Unit &amp; " / landing"</f>
        <v>€ / landing</v>
      </c>
    </row>
    <row r="34" spans="1:10" x14ac:dyDescent="0.2">
      <c r="E34" s="13" t="s">
        <v>93</v>
      </c>
      <c r="F34" s="19">
        <v>3600</v>
      </c>
      <c r="G34" s="13" t="str">
        <f xml:space="preserve"> Curr_Unit &amp; " 000s p.a."</f>
        <v>€ 000s p.a.</v>
      </c>
    </row>
    <row r="35" spans="1:10" x14ac:dyDescent="0.2">
      <c r="E35" s="13" t="s">
        <v>171</v>
      </c>
      <c r="F35" s="19">
        <v>2400</v>
      </c>
      <c r="G35" s="13" t="str">
        <f xml:space="preserve"> Curr_Unit &amp; " 000s p.a."</f>
        <v>€ 000s p.a.</v>
      </c>
    </row>
    <row r="38" spans="1:10" x14ac:dyDescent="0.2">
      <c r="A38" s="4" t="s">
        <v>172</v>
      </c>
    </row>
    <row r="40" spans="1:10" s="3" customFormat="1" x14ac:dyDescent="0.2">
      <c r="A40" s="4"/>
      <c r="B40" s="1"/>
      <c r="C40" s="21"/>
      <c r="D40" s="2"/>
      <c r="E40" s="3" t="s">
        <v>252</v>
      </c>
      <c r="F40" s="51">
        <v>7.4999999999999997E-2</v>
      </c>
      <c r="G40" s="3" t="s">
        <v>119</v>
      </c>
      <c r="J40" s="65"/>
    </row>
    <row r="41" spans="1:10" s="3" customFormat="1" x14ac:dyDescent="0.2">
      <c r="A41" s="4"/>
      <c r="B41" s="1"/>
      <c r="C41" s="21"/>
      <c r="D41" s="2"/>
      <c r="E41" s="3" t="s">
        <v>114</v>
      </c>
      <c r="F41" s="37">
        <v>5</v>
      </c>
      <c r="G41" s="3" t="s">
        <v>115</v>
      </c>
      <c r="J41" s="65"/>
    </row>
    <row r="43" spans="1:10" s="44" customFormat="1" x14ac:dyDescent="0.2">
      <c r="A43" s="16"/>
      <c r="B43" s="11"/>
      <c r="C43" s="42"/>
      <c r="D43" s="43"/>
      <c r="E43" s="44" t="str">
        <f xml:space="preserve"> E$12</f>
        <v>Construction period end / conversion date</v>
      </c>
      <c r="F43" s="44">
        <f t="shared" ref="F43:G43" si="0" xml:space="preserve"> F$12</f>
        <v>42369</v>
      </c>
      <c r="G43" s="44" t="str">
        <f t="shared" si="0"/>
        <v>date</v>
      </c>
      <c r="J43" s="66"/>
    </row>
    <row r="44" spans="1:10" s="3" customFormat="1" x14ac:dyDescent="0.2">
      <c r="A44" s="4"/>
      <c r="B44" s="1"/>
      <c r="C44" s="21"/>
      <c r="D44" s="2"/>
      <c r="E44" s="3" t="s">
        <v>102</v>
      </c>
      <c r="F44" s="37">
        <v>25</v>
      </c>
      <c r="G44" s="3" t="s">
        <v>7</v>
      </c>
      <c r="J44" s="65"/>
    </row>
    <row r="45" spans="1:10" s="48" customFormat="1" x14ac:dyDescent="0.2">
      <c r="A45" s="45"/>
      <c r="B45" s="45"/>
      <c r="C45" s="46"/>
      <c r="D45" s="47"/>
      <c r="E45" s="48" t="s">
        <v>108</v>
      </c>
      <c r="F45" s="48">
        <f xml:space="preserve"> EOMONTH(F43, 12 * F44)</f>
        <v>51501</v>
      </c>
      <c r="G45" s="48" t="s">
        <v>13</v>
      </c>
      <c r="J45" s="64"/>
    </row>
    <row r="47" spans="1:10" s="3" customFormat="1" x14ac:dyDescent="0.2">
      <c r="A47" s="4"/>
      <c r="B47" s="1"/>
      <c r="C47" s="21"/>
      <c r="D47" s="2"/>
      <c r="E47" s="20" t="s">
        <v>149</v>
      </c>
      <c r="F47" s="51">
        <v>0.05</v>
      </c>
      <c r="G47" s="3" t="s">
        <v>147</v>
      </c>
      <c r="J47" s="65"/>
    </row>
    <row r="48" spans="1:10" s="9" customFormat="1" x14ac:dyDescent="0.2">
      <c r="A48" s="39"/>
      <c r="B48" s="39"/>
      <c r="C48" s="40"/>
      <c r="D48" s="41"/>
      <c r="J48" s="67"/>
    </row>
    <row r="49" spans="1:10" s="52" customFormat="1" x14ac:dyDescent="0.2">
      <c r="A49" s="53"/>
      <c r="B49" s="49"/>
      <c r="C49" s="50"/>
      <c r="D49" s="54"/>
      <c r="E49" s="52" t="s">
        <v>138</v>
      </c>
      <c r="F49" s="51">
        <v>0.3</v>
      </c>
      <c r="G49" s="52" t="s">
        <v>139</v>
      </c>
      <c r="J49" s="68"/>
    </row>
    <row r="50" spans="1:10" s="52" customFormat="1" ht="51" x14ac:dyDescent="0.2">
      <c r="A50" s="53"/>
      <c r="B50" s="49"/>
      <c r="C50" s="50"/>
      <c r="D50" s="54"/>
      <c r="E50" s="52" t="s">
        <v>174</v>
      </c>
      <c r="F50" s="55">
        <v>0.3</v>
      </c>
      <c r="G50" s="52" t="s">
        <v>158</v>
      </c>
      <c r="J50" s="68" t="s">
        <v>173</v>
      </c>
    </row>
    <row r="51" spans="1:10" s="9" customFormat="1" x14ac:dyDescent="0.2">
      <c r="A51" s="39"/>
      <c r="B51" s="39"/>
      <c r="C51" s="40"/>
      <c r="D51" s="41"/>
      <c r="J51" s="67"/>
    </row>
    <row r="52" spans="1:10" s="9" customFormat="1" x14ac:dyDescent="0.2">
      <c r="A52" s="39" t="s">
        <v>347</v>
      </c>
      <c r="B52" s="39"/>
      <c r="C52" s="40"/>
      <c r="D52" s="41"/>
      <c r="J52" s="67"/>
    </row>
    <row r="53" spans="1:10" s="9" customFormat="1" x14ac:dyDescent="0.2">
      <c r="A53" s="39"/>
      <c r="B53" s="39"/>
      <c r="C53" s="40"/>
      <c r="D53" s="41"/>
      <c r="J53" s="67"/>
    </row>
    <row r="54" spans="1:10" s="156" customFormat="1" x14ac:dyDescent="0.2">
      <c r="A54" s="119"/>
      <c r="B54" s="119"/>
      <c r="C54" s="120"/>
      <c r="D54" s="406"/>
      <c r="E54" s="403" t="s">
        <v>348</v>
      </c>
      <c r="F54" s="407">
        <v>1000</v>
      </c>
      <c r="G54" s="403" t="str">
        <f xml:space="preserve"> SMU</f>
        <v>€ 000s</v>
      </c>
    </row>
    <row r="55" spans="1:10" s="122" customFormat="1" x14ac:dyDescent="0.2">
      <c r="A55" s="119"/>
      <c r="B55" s="166"/>
      <c r="C55" s="167"/>
      <c r="D55" s="121"/>
      <c r="E55" s="122" t="s">
        <v>275</v>
      </c>
      <c r="F55" s="348">
        <v>0.13</v>
      </c>
      <c r="G55" s="122" t="s">
        <v>199</v>
      </c>
    </row>
    <row r="56" spans="1:10" s="9" customFormat="1" x14ac:dyDescent="0.2">
      <c r="A56" s="39"/>
      <c r="B56" s="39"/>
      <c r="C56" s="40"/>
      <c r="D56" s="41"/>
      <c r="J56" s="67"/>
    </row>
    <row r="57" spans="1:10" s="9" customFormat="1" x14ac:dyDescent="0.2">
      <c r="A57" s="39"/>
      <c r="B57" s="39"/>
      <c r="C57" s="40"/>
      <c r="D57" s="41"/>
      <c r="J57" s="67"/>
    </row>
    <row r="58" spans="1:10" s="9" customFormat="1" x14ac:dyDescent="0.2">
      <c r="A58" s="39"/>
      <c r="B58" s="39"/>
      <c r="C58" s="40"/>
      <c r="D58" s="41"/>
      <c r="J58" s="67"/>
    </row>
    <row r="59" spans="1:10" x14ac:dyDescent="0.2">
      <c r="A59" s="4" t="s">
        <v>105</v>
      </c>
    </row>
    <row r="61" spans="1:10" x14ac:dyDescent="0.2">
      <c r="E61" s="13" t="s">
        <v>99</v>
      </c>
      <c r="F61" s="19" t="s">
        <v>27</v>
      </c>
      <c r="G61" s="13" t="s">
        <v>100</v>
      </c>
      <c r="H61" s="8"/>
    </row>
    <row r="62" spans="1:10" x14ac:dyDescent="0.2">
      <c r="E62" s="13" t="s">
        <v>156</v>
      </c>
      <c r="F62" s="19" t="s">
        <v>157</v>
      </c>
      <c r="G62" s="13" t="s">
        <v>100</v>
      </c>
      <c r="H62" s="8"/>
    </row>
  </sheetData>
  <phoneticPr fontId="2" type="noConversion"/>
  <printOptions heading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&amp;L&amp;"Arial,Bold"&amp;14Financial Mechanics Training Model&amp;C&amp;"Arial,Bold"&amp;14Sheet: &amp;A&amp;R&amp;"Arial,Bold"&amp;14STRICTLY NOT CONFIDENTIAL</oddHeader>
    <oddFooter>&amp;L&amp;12&amp;F (Printed on &amp;D at &amp;T) &amp;C&amp;12Page &amp;P of &amp;N&amp;R&amp;12© 2008 Financial Mechanics Ltd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  <outlinePr summaryBelow="0" summaryRight="0"/>
  </sheetPr>
  <dimension ref="A1:CO37"/>
  <sheetViews>
    <sheetView defaultGridColor="0" colorId="22" workbookViewId="0">
      <pane xSplit="6" ySplit="4" topLeftCell="G5" activePane="bottomRight" state="frozen"/>
      <selection activeCell="G5" sqref="G5"/>
      <selection pane="topRight" activeCell="G5" sqref="G5"/>
      <selection pane="bottomLeft" activeCell="G5" sqref="G5"/>
      <selection pane="bottomRight" activeCell="G33" sqref="G33"/>
    </sheetView>
  </sheetViews>
  <sheetFormatPr defaultColWidth="0" defaultRowHeight="12.75" x14ac:dyDescent="0.2"/>
  <cols>
    <col min="1" max="1" width="1.28515625" style="81" customWidth="1"/>
    <col min="2" max="2" width="1.28515625" style="82" customWidth="1"/>
    <col min="3" max="3" width="1.28515625" style="83" customWidth="1"/>
    <col min="4" max="4" width="1.28515625" style="84" customWidth="1"/>
    <col min="5" max="5" width="40.7109375" style="85" customWidth="1"/>
    <col min="6" max="6" width="12.7109375" style="85" customWidth="1"/>
    <col min="7" max="8" width="11.7109375" style="85" customWidth="1"/>
    <col min="9" max="9" width="2.7109375" style="85" customWidth="1"/>
    <col min="10" max="79" width="11.7109375" style="85" customWidth="1"/>
    <col min="80" max="16384" width="0" style="85" hidden="1"/>
  </cols>
  <sheetData>
    <row r="1" spans="1:83" s="72" customFormat="1" x14ac:dyDescent="0.2">
      <c r="A1" s="69" t="str">
        <f ca="1" xml:space="preserve"> RIGHT(CELL("filename", A1), LEN(CELL("filename", A1)) - SEARCH("]", CELL("filename", A1)))</f>
        <v>InpS</v>
      </c>
      <c r="B1" s="69"/>
      <c r="C1" s="70"/>
      <c r="D1" s="71"/>
      <c r="F1" s="73"/>
      <c r="G1" s="73"/>
      <c r="H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</row>
    <row r="2" spans="1:83" s="74" customFormat="1" x14ac:dyDescent="0.2">
      <c r="A2" s="75"/>
      <c r="B2" s="75"/>
      <c r="C2" s="76"/>
      <c r="D2" s="77"/>
      <c r="E2" s="74" t="str">
        <f>'T&amp;E'!E$24</f>
        <v>Operating period flag</v>
      </c>
      <c r="F2" s="74">
        <f>'T&amp;E'!F$24</f>
        <v>0</v>
      </c>
      <c r="G2" s="74" t="str">
        <f>'T&amp;E'!G$24</f>
        <v>flag</v>
      </c>
      <c r="H2" s="74">
        <f>'T&amp;E'!H$24</f>
        <v>60</v>
      </c>
      <c r="I2" s="74">
        <f>'T&amp;E'!I$24</f>
        <v>0</v>
      </c>
      <c r="J2" s="74">
        <f>'T&amp;E'!J$24</f>
        <v>0</v>
      </c>
      <c r="K2" s="74">
        <f>'T&amp;E'!K$24</f>
        <v>0</v>
      </c>
      <c r="L2" s="74">
        <f>'T&amp;E'!L$24</f>
        <v>0</v>
      </c>
      <c r="M2" s="74">
        <f>'T&amp;E'!M$24</f>
        <v>0</v>
      </c>
      <c r="N2" s="74">
        <f>'T&amp;E'!N$24</f>
        <v>0</v>
      </c>
      <c r="O2" s="74">
        <f>'T&amp;E'!O$24</f>
        <v>1</v>
      </c>
      <c r="P2" s="74">
        <f>'T&amp;E'!P$24</f>
        <v>1</v>
      </c>
      <c r="Q2" s="74">
        <f>'T&amp;E'!Q$24</f>
        <v>1</v>
      </c>
      <c r="R2" s="74">
        <f>'T&amp;E'!R$24</f>
        <v>1</v>
      </c>
      <c r="S2" s="74">
        <f>'T&amp;E'!S$24</f>
        <v>1</v>
      </c>
      <c r="T2" s="74">
        <f>'T&amp;E'!T$24</f>
        <v>1</v>
      </c>
      <c r="U2" s="74">
        <f>'T&amp;E'!U$24</f>
        <v>1</v>
      </c>
      <c r="V2" s="74">
        <f>'T&amp;E'!V$24</f>
        <v>1</v>
      </c>
      <c r="W2" s="74">
        <f>'T&amp;E'!W$24</f>
        <v>1</v>
      </c>
      <c r="X2" s="74">
        <f>'T&amp;E'!X$24</f>
        <v>1</v>
      </c>
      <c r="Y2" s="74">
        <f>'T&amp;E'!Y$24</f>
        <v>1</v>
      </c>
      <c r="Z2" s="74">
        <f>'T&amp;E'!Z$24</f>
        <v>1</v>
      </c>
      <c r="AA2" s="74">
        <f>'T&amp;E'!AA$24</f>
        <v>1</v>
      </c>
      <c r="AB2" s="74">
        <f>'T&amp;E'!AB$24</f>
        <v>1</v>
      </c>
      <c r="AC2" s="74">
        <f>'T&amp;E'!AC$24</f>
        <v>1</v>
      </c>
      <c r="AD2" s="74">
        <f>'T&amp;E'!AD$24</f>
        <v>1</v>
      </c>
      <c r="AE2" s="74">
        <f>'T&amp;E'!AE$24</f>
        <v>1</v>
      </c>
      <c r="AF2" s="74">
        <f>'T&amp;E'!AF$24</f>
        <v>1</v>
      </c>
      <c r="AG2" s="74">
        <f>'T&amp;E'!AG$24</f>
        <v>1</v>
      </c>
      <c r="AH2" s="74">
        <f>'T&amp;E'!AH$24</f>
        <v>1</v>
      </c>
      <c r="AI2" s="74">
        <f>'T&amp;E'!AI$24</f>
        <v>1</v>
      </c>
      <c r="AJ2" s="74">
        <f>'T&amp;E'!AJ$24</f>
        <v>1</v>
      </c>
      <c r="AK2" s="74">
        <f>'T&amp;E'!AK$24</f>
        <v>1</v>
      </c>
      <c r="AL2" s="74">
        <f>'T&amp;E'!AL$24</f>
        <v>1</v>
      </c>
      <c r="AM2" s="74">
        <f>'T&amp;E'!AM$24</f>
        <v>1</v>
      </c>
      <c r="AN2" s="74">
        <f>'T&amp;E'!AN$24</f>
        <v>1</v>
      </c>
      <c r="AO2" s="74">
        <f>'T&amp;E'!AO$24</f>
        <v>1</v>
      </c>
      <c r="AP2" s="74">
        <f>'T&amp;E'!AP$24</f>
        <v>1</v>
      </c>
      <c r="AQ2" s="74">
        <f>'T&amp;E'!AQ$24</f>
        <v>1</v>
      </c>
      <c r="AR2" s="74">
        <f>'T&amp;E'!AR$24</f>
        <v>1</v>
      </c>
      <c r="AS2" s="74">
        <f>'T&amp;E'!AS$24</f>
        <v>1</v>
      </c>
      <c r="AT2" s="74">
        <f>'T&amp;E'!AT$24</f>
        <v>1</v>
      </c>
      <c r="AU2" s="74">
        <f>'T&amp;E'!AU$24</f>
        <v>1</v>
      </c>
      <c r="AV2" s="74">
        <f>'T&amp;E'!AV$24</f>
        <v>1</v>
      </c>
      <c r="AW2" s="74">
        <f>'T&amp;E'!AW$24</f>
        <v>1</v>
      </c>
      <c r="AX2" s="74">
        <f>'T&amp;E'!AX$24</f>
        <v>1</v>
      </c>
      <c r="AY2" s="74">
        <f>'T&amp;E'!AY$24</f>
        <v>1</v>
      </c>
      <c r="AZ2" s="74">
        <f>'T&amp;E'!AZ$24</f>
        <v>1</v>
      </c>
      <c r="BA2" s="74">
        <f>'T&amp;E'!BA$24</f>
        <v>1</v>
      </c>
      <c r="BB2" s="74">
        <f>'T&amp;E'!BB$24</f>
        <v>1</v>
      </c>
      <c r="BC2" s="74">
        <f>'T&amp;E'!BC$24</f>
        <v>1</v>
      </c>
      <c r="BD2" s="74">
        <f>'T&amp;E'!BD$24</f>
        <v>1</v>
      </c>
      <c r="BE2" s="74">
        <f>'T&amp;E'!BE$24</f>
        <v>1</v>
      </c>
      <c r="BF2" s="74">
        <f>'T&amp;E'!BF$24</f>
        <v>1</v>
      </c>
      <c r="BG2" s="74">
        <f>'T&amp;E'!BG$24</f>
        <v>1</v>
      </c>
      <c r="BH2" s="74">
        <f>'T&amp;E'!BH$24</f>
        <v>1</v>
      </c>
      <c r="BI2" s="74">
        <f>'T&amp;E'!BI$24</f>
        <v>1</v>
      </c>
      <c r="BJ2" s="74">
        <f>'T&amp;E'!BJ$24</f>
        <v>1</v>
      </c>
      <c r="BK2" s="74">
        <f>'T&amp;E'!BK$24</f>
        <v>1</v>
      </c>
      <c r="BL2" s="74">
        <f>'T&amp;E'!BL$24</f>
        <v>1</v>
      </c>
      <c r="BM2" s="74">
        <f>'T&amp;E'!BM$24</f>
        <v>1</v>
      </c>
      <c r="BN2" s="74">
        <f>'T&amp;E'!BN$24</f>
        <v>1</v>
      </c>
      <c r="BO2" s="74">
        <f>'T&amp;E'!BO$24</f>
        <v>1</v>
      </c>
      <c r="BP2" s="74">
        <f>'T&amp;E'!BP$24</f>
        <v>1</v>
      </c>
      <c r="BQ2" s="74">
        <f>'T&amp;E'!BQ$24</f>
        <v>1</v>
      </c>
      <c r="BR2" s="74">
        <f>'T&amp;E'!BR$24</f>
        <v>1</v>
      </c>
      <c r="BS2" s="74">
        <f>'T&amp;E'!BS$24</f>
        <v>1</v>
      </c>
      <c r="BT2" s="74">
        <f>'T&amp;E'!BT$24</f>
        <v>1</v>
      </c>
      <c r="BU2" s="74">
        <f>'T&amp;E'!BU$24</f>
        <v>1</v>
      </c>
      <c r="BV2" s="74">
        <f>'T&amp;E'!BV$24</f>
        <v>1</v>
      </c>
      <c r="BW2" s="74">
        <f>'T&amp;E'!BW$24</f>
        <v>0</v>
      </c>
      <c r="BX2" s="74">
        <f>'T&amp;E'!BX$24</f>
        <v>0</v>
      </c>
      <c r="BY2" s="74">
        <f>'T&amp;E'!BY$24</f>
        <v>0</v>
      </c>
      <c r="BZ2" s="74">
        <f>'T&amp;E'!BZ$24</f>
        <v>0</v>
      </c>
      <c r="CA2" s="74">
        <f>'T&amp;E'!CA$24</f>
        <v>0</v>
      </c>
    </row>
    <row r="3" spans="1:83" s="74" customFormat="1" x14ac:dyDescent="0.2">
      <c r="A3" s="75"/>
      <c r="B3" s="75"/>
      <c r="C3" s="76"/>
      <c r="D3" s="77"/>
      <c r="E3" s="74" t="str">
        <f>'T&amp;E'!E$8</f>
        <v>Model column counter</v>
      </c>
      <c r="F3" s="74">
        <f>'T&amp;E'!F$8</f>
        <v>0</v>
      </c>
      <c r="G3" s="74">
        <f>'T&amp;E'!G$8</f>
        <v>0</v>
      </c>
      <c r="H3" s="74">
        <f>'T&amp;E'!H$8</f>
        <v>0</v>
      </c>
      <c r="I3" s="74">
        <f>'T&amp;E'!I$8</f>
        <v>0</v>
      </c>
      <c r="J3" s="74">
        <f>'T&amp;E'!J$8</f>
        <v>1</v>
      </c>
      <c r="K3" s="74">
        <f>'T&amp;E'!K$8</f>
        <v>2</v>
      </c>
      <c r="L3" s="74">
        <f>'T&amp;E'!L$8</f>
        <v>3</v>
      </c>
      <c r="M3" s="74">
        <f>'T&amp;E'!M$8</f>
        <v>4</v>
      </c>
      <c r="N3" s="74">
        <f>'T&amp;E'!N$8</f>
        <v>5</v>
      </c>
      <c r="O3" s="74">
        <f>'T&amp;E'!O$8</f>
        <v>6</v>
      </c>
      <c r="P3" s="74">
        <f>'T&amp;E'!P$8</f>
        <v>7</v>
      </c>
      <c r="Q3" s="74">
        <f>'T&amp;E'!Q$8</f>
        <v>8</v>
      </c>
      <c r="R3" s="74">
        <f>'T&amp;E'!R$8</f>
        <v>9</v>
      </c>
      <c r="S3" s="74">
        <f>'T&amp;E'!S$8</f>
        <v>10</v>
      </c>
      <c r="T3" s="74">
        <f>'T&amp;E'!T$8</f>
        <v>11</v>
      </c>
      <c r="U3" s="74">
        <f>'T&amp;E'!U$8</f>
        <v>12</v>
      </c>
      <c r="V3" s="74">
        <f>'T&amp;E'!V$8</f>
        <v>13</v>
      </c>
      <c r="W3" s="74">
        <f>'T&amp;E'!W$8</f>
        <v>14</v>
      </c>
      <c r="X3" s="74">
        <f>'T&amp;E'!X$8</f>
        <v>15</v>
      </c>
      <c r="Y3" s="74">
        <f>'T&amp;E'!Y$8</f>
        <v>16</v>
      </c>
      <c r="Z3" s="74">
        <f>'T&amp;E'!Z$8</f>
        <v>17</v>
      </c>
      <c r="AA3" s="74">
        <f>'T&amp;E'!AA$8</f>
        <v>18</v>
      </c>
      <c r="AB3" s="74">
        <f>'T&amp;E'!AB$8</f>
        <v>19</v>
      </c>
      <c r="AC3" s="74">
        <f>'T&amp;E'!AC$8</f>
        <v>20</v>
      </c>
      <c r="AD3" s="74">
        <f>'T&amp;E'!AD$8</f>
        <v>21</v>
      </c>
      <c r="AE3" s="74">
        <f>'T&amp;E'!AE$8</f>
        <v>22</v>
      </c>
      <c r="AF3" s="74">
        <f>'T&amp;E'!AF$8</f>
        <v>23</v>
      </c>
      <c r="AG3" s="74">
        <f>'T&amp;E'!AG$8</f>
        <v>24</v>
      </c>
      <c r="AH3" s="74">
        <f>'T&amp;E'!AH$8</f>
        <v>25</v>
      </c>
      <c r="AI3" s="74">
        <f>'T&amp;E'!AI$8</f>
        <v>26</v>
      </c>
      <c r="AJ3" s="74">
        <f>'T&amp;E'!AJ$8</f>
        <v>27</v>
      </c>
      <c r="AK3" s="74">
        <f>'T&amp;E'!AK$8</f>
        <v>28</v>
      </c>
      <c r="AL3" s="74">
        <f>'T&amp;E'!AL$8</f>
        <v>29</v>
      </c>
      <c r="AM3" s="74">
        <f>'T&amp;E'!AM$8</f>
        <v>30</v>
      </c>
      <c r="AN3" s="74">
        <f>'T&amp;E'!AN$8</f>
        <v>31</v>
      </c>
      <c r="AO3" s="74">
        <f>'T&amp;E'!AO$8</f>
        <v>32</v>
      </c>
      <c r="AP3" s="74">
        <f>'T&amp;E'!AP$8</f>
        <v>33</v>
      </c>
      <c r="AQ3" s="74">
        <f>'T&amp;E'!AQ$8</f>
        <v>34</v>
      </c>
      <c r="AR3" s="74">
        <f>'T&amp;E'!AR$8</f>
        <v>35</v>
      </c>
      <c r="AS3" s="74">
        <f>'T&amp;E'!AS$8</f>
        <v>36</v>
      </c>
      <c r="AT3" s="74">
        <f>'T&amp;E'!AT$8</f>
        <v>37</v>
      </c>
      <c r="AU3" s="74">
        <f>'T&amp;E'!AU$8</f>
        <v>38</v>
      </c>
      <c r="AV3" s="74">
        <f>'T&amp;E'!AV$8</f>
        <v>39</v>
      </c>
      <c r="AW3" s="74">
        <f>'T&amp;E'!AW$8</f>
        <v>40</v>
      </c>
      <c r="AX3" s="74">
        <f>'T&amp;E'!AX$8</f>
        <v>41</v>
      </c>
      <c r="AY3" s="74">
        <f>'T&amp;E'!AY$8</f>
        <v>42</v>
      </c>
      <c r="AZ3" s="74">
        <f>'T&amp;E'!AZ$8</f>
        <v>43</v>
      </c>
      <c r="BA3" s="74">
        <f>'T&amp;E'!BA$8</f>
        <v>44</v>
      </c>
      <c r="BB3" s="74">
        <f>'T&amp;E'!BB$8</f>
        <v>45</v>
      </c>
      <c r="BC3" s="74">
        <f>'T&amp;E'!BC$8</f>
        <v>46</v>
      </c>
      <c r="BD3" s="74">
        <f>'T&amp;E'!BD$8</f>
        <v>47</v>
      </c>
      <c r="BE3" s="74">
        <f>'T&amp;E'!BE$8</f>
        <v>48</v>
      </c>
      <c r="BF3" s="74">
        <f>'T&amp;E'!BF$8</f>
        <v>49</v>
      </c>
      <c r="BG3" s="74">
        <f>'T&amp;E'!BG$8</f>
        <v>50</v>
      </c>
      <c r="BH3" s="74">
        <f>'T&amp;E'!BH$8</f>
        <v>51</v>
      </c>
      <c r="BI3" s="74">
        <f>'T&amp;E'!BI$8</f>
        <v>52</v>
      </c>
      <c r="BJ3" s="74">
        <f>'T&amp;E'!BJ$8</f>
        <v>53</v>
      </c>
      <c r="BK3" s="74">
        <f>'T&amp;E'!BK$8</f>
        <v>54</v>
      </c>
      <c r="BL3" s="74">
        <f>'T&amp;E'!BL$8</f>
        <v>55</v>
      </c>
      <c r="BM3" s="74">
        <f>'T&amp;E'!BM$8</f>
        <v>56</v>
      </c>
      <c r="BN3" s="74">
        <f>'T&amp;E'!BN$8</f>
        <v>57</v>
      </c>
      <c r="BO3" s="74">
        <f>'T&amp;E'!BO$8</f>
        <v>58</v>
      </c>
      <c r="BP3" s="74">
        <f>'T&amp;E'!BP$8</f>
        <v>59</v>
      </c>
      <c r="BQ3" s="74">
        <f>'T&amp;E'!BQ$8</f>
        <v>60</v>
      </c>
      <c r="BR3" s="74">
        <f>'T&amp;E'!BR$8</f>
        <v>61</v>
      </c>
      <c r="BS3" s="74">
        <f>'T&amp;E'!BS$8</f>
        <v>62</v>
      </c>
      <c r="BT3" s="74">
        <f>'T&amp;E'!BT$8</f>
        <v>63</v>
      </c>
      <c r="BU3" s="74">
        <f>'T&amp;E'!BU$8</f>
        <v>64</v>
      </c>
      <c r="BV3" s="74">
        <f>'T&amp;E'!BV$8</f>
        <v>65</v>
      </c>
      <c r="BW3" s="74">
        <f>'T&amp;E'!BW$8</f>
        <v>66</v>
      </c>
      <c r="BX3" s="74">
        <f>'T&amp;E'!BX$8</f>
        <v>67</v>
      </c>
      <c r="BY3" s="74">
        <f>'T&amp;E'!BY$8</f>
        <v>68</v>
      </c>
      <c r="BZ3" s="74">
        <f>'T&amp;E'!BZ$8</f>
        <v>69</v>
      </c>
      <c r="CA3" s="74">
        <f>'T&amp;E'!CA$8</f>
        <v>70</v>
      </c>
    </row>
    <row r="4" spans="1:83" s="78" customFormat="1" x14ac:dyDescent="0.2">
      <c r="C4" s="79"/>
      <c r="D4" s="80"/>
      <c r="E4" s="78" t="str">
        <f>'T&amp;E'!E$12</f>
        <v>Model period ending</v>
      </c>
      <c r="F4" s="80" t="str">
        <f>'T&amp;E'!F$12</f>
        <v>constant</v>
      </c>
      <c r="G4" s="78" t="str">
        <f>'T&amp;E'!G$12</f>
        <v>unit</v>
      </c>
      <c r="H4" s="80" t="str">
        <f>'T&amp;E'!H$12</f>
        <v>total</v>
      </c>
      <c r="I4" s="78">
        <f>'T&amp;E'!I$12</f>
        <v>0</v>
      </c>
      <c r="J4" s="78">
        <f>'T&amp;E'!J$12</f>
        <v>41639</v>
      </c>
      <c r="K4" s="78">
        <f>'T&amp;E'!K$12</f>
        <v>41820</v>
      </c>
      <c r="L4" s="78">
        <f>'T&amp;E'!L$12</f>
        <v>42004</v>
      </c>
      <c r="M4" s="78">
        <f>'T&amp;E'!M$12</f>
        <v>42185</v>
      </c>
      <c r="N4" s="78">
        <f>'T&amp;E'!N$12</f>
        <v>42369</v>
      </c>
      <c r="O4" s="78">
        <f>'T&amp;E'!O$12</f>
        <v>42551</v>
      </c>
      <c r="P4" s="78">
        <f>'T&amp;E'!P$12</f>
        <v>42735</v>
      </c>
      <c r="Q4" s="78">
        <f>'T&amp;E'!Q$12</f>
        <v>42916</v>
      </c>
      <c r="R4" s="78">
        <f>'T&amp;E'!R$12</f>
        <v>43100</v>
      </c>
      <c r="S4" s="78">
        <f>'T&amp;E'!S$12</f>
        <v>43281</v>
      </c>
      <c r="T4" s="78">
        <f>'T&amp;E'!T$12</f>
        <v>43465</v>
      </c>
      <c r="U4" s="78">
        <f>'T&amp;E'!U$12</f>
        <v>43646</v>
      </c>
      <c r="V4" s="78">
        <f>'T&amp;E'!V$12</f>
        <v>43830</v>
      </c>
      <c r="W4" s="78">
        <f>'T&amp;E'!W$12</f>
        <v>44012</v>
      </c>
      <c r="X4" s="78">
        <f>'T&amp;E'!X$12</f>
        <v>44196</v>
      </c>
      <c r="Y4" s="78">
        <f>'T&amp;E'!Y$12</f>
        <v>44377</v>
      </c>
      <c r="Z4" s="78">
        <f>'T&amp;E'!Z$12</f>
        <v>44561</v>
      </c>
      <c r="AA4" s="78">
        <f>'T&amp;E'!AA$12</f>
        <v>44742</v>
      </c>
      <c r="AB4" s="78">
        <f>'T&amp;E'!AB$12</f>
        <v>44926</v>
      </c>
      <c r="AC4" s="78">
        <f>'T&amp;E'!AC$12</f>
        <v>45107</v>
      </c>
      <c r="AD4" s="78">
        <f>'T&amp;E'!AD$12</f>
        <v>45291</v>
      </c>
      <c r="AE4" s="78">
        <f>'T&amp;E'!AE$12</f>
        <v>45473</v>
      </c>
      <c r="AF4" s="78">
        <f>'T&amp;E'!AF$12</f>
        <v>45657</v>
      </c>
      <c r="AG4" s="78">
        <f>'T&amp;E'!AG$12</f>
        <v>45838</v>
      </c>
      <c r="AH4" s="78">
        <f>'T&amp;E'!AH$12</f>
        <v>46022</v>
      </c>
      <c r="AI4" s="78">
        <f>'T&amp;E'!AI$12</f>
        <v>46203</v>
      </c>
      <c r="AJ4" s="78">
        <f>'T&amp;E'!AJ$12</f>
        <v>46387</v>
      </c>
      <c r="AK4" s="78">
        <f>'T&amp;E'!AK$12</f>
        <v>46568</v>
      </c>
      <c r="AL4" s="78">
        <f>'T&amp;E'!AL$12</f>
        <v>46752</v>
      </c>
      <c r="AM4" s="78">
        <f>'T&amp;E'!AM$12</f>
        <v>46934</v>
      </c>
      <c r="AN4" s="78">
        <f>'T&amp;E'!AN$12</f>
        <v>47118</v>
      </c>
      <c r="AO4" s="78">
        <f>'T&amp;E'!AO$12</f>
        <v>47299</v>
      </c>
      <c r="AP4" s="78">
        <f>'T&amp;E'!AP$12</f>
        <v>47483</v>
      </c>
      <c r="AQ4" s="78">
        <f>'T&amp;E'!AQ$12</f>
        <v>47664</v>
      </c>
      <c r="AR4" s="78">
        <f>'T&amp;E'!AR$12</f>
        <v>47848</v>
      </c>
      <c r="AS4" s="78">
        <f>'T&amp;E'!AS$12</f>
        <v>48029</v>
      </c>
      <c r="AT4" s="78">
        <f>'T&amp;E'!AT$12</f>
        <v>48213</v>
      </c>
      <c r="AU4" s="78">
        <f>'T&amp;E'!AU$12</f>
        <v>48395</v>
      </c>
      <c r="AV4" s="78">
        <f>'T&amp;E'!AV$12</f>
        <v>48579</v>
      </c>
      <c r="AW4" s="78">
        <f>'T&amp;E'!AW$12</f>
        <v>48760</v>
      </c>
      <c r="AX4" s="78">
        <f>'T&amp;E'!AX$12</f>
        <v>48944</v>
      </c>
      <c r="AY4" s="78">
        <f>'T&amp;E'!AY$12</f>
        <v>49125</v>
      </c>
      <c r="AZ4" s="78">
        <f>'T&amp;E'!AZ$12</f>
        <v>49309</v>
      </c>
      <c r="BA4" s="78">
        <f>'T&amp;E'!BA$12</f>
        <v>49490</v>
      </c>
      <c r="BB4" s="78">
        <f>'T&amp;E'!BB$12</f>
        <v>49674</v>
      </c>
      <c r="BC4" s="78">
        <f>'T&amp;E'!BC$12</f>
        <v>49856</v>
      </c>
      <c r="BD4" s="78">
        <f>'T&amp;E'!BD$12</f>
        <v>50040</v>
      </c>
      <c r="BE4" s="78">
        <f>'T&amp;E'!BE$12</f>
        <v>50221</v>
      </c>
      <c r="BF4" s="78">
        <f>'T&amp;E'!BF$12</f>
        <v>50405</v>
      </c>
      <c r="BG4" s="78">
        <f>'T&amp;E'!BG$12</f>
        <v>50586</v>
      </c>
      <c r="BH4" s="78">
        <f>'T&amp;E'!BH$12</f>
        <v>50770</v>
      </c>
      <c r="BI4" s="78">
        <f>'T&amp;E'!BI$12</f>
        <v>50951</v>
      </c>
      <c r="BJ4" s="78">
        <f>'T&amp;E'!BJ$12</f>
        <v>51135</v>
      </c>
      <c r="BK4" s="78">
        <f>'T&amp;E'!BK$12</f>
        <v>51317</v>
      </c>
      <c r="BL4" s="78">
        <f>'T&amp;E'!BL$12</f>
        <v>51501</v>
      </c>
      <c r="BM4" s="78">
        <f>'T&amp;E'!BM$12</f>
        <v>51682</v>
      </c>
      <c r="BN4" s="78">
        <f>'T&amp;E'!BN$12</f>
        <v>51866</v>
      </c>
      <c r="BO4" s="78">
        <f>'T&amp;E'!BO$12</f>
        <v>52047</v>
      </c>
      <c r="BP4" s="78">
        <f>'T&amp;E'!BP$12</f>
        <v>52231</v>
      </c>
      <c r="BQ4" s="78">
        <f>'T&amp;E'!BQ$12</f>
        <v>52412</v>
      </c>
      <c r="BR4" s="78">
        <f>'T&amp;E'!BR$12</f>
        <v>52596</v>
      </c>
      <c r="BS4" s="78">
        <f>'T&amp;E'!BS$12</f>
        <v>52778</v>
      </c>
      <c r="BT4" s="78">
        <f>'T&amp;E'!BT$12</f>
        <v>52962</v>
      </c>
      <c r="BU4" s="78">
        <f>'T&amp;E'!BU$12</f>
        <v>53143</v>
      </c>
      <c r="BV4" s="78">
        <f>'T&amp;E'!BV$12</f>
        <v>53327</v>
      </c>
      <c r="BW4" s="78">
        <f>'T&amp;E'!BW$12</f>
        <v>53508</v>
      </c>
      <c r="BX4" s="78">
        <f>'T&amp;E'!BX$12</f>
        <v>53692</v>
      </c>
      <c r="BY4" s="78">
        <f>'T&amp;E'!BY$12</f>
        <v>53873</v>
      </c>
      <c r="BZ4" s="78">
        <f>'T&amp;E'!BZ$12</f>
        <v>54057</v>
      </c>
      <c r="CA4" s="78">
        <f>'T&amp;E'!CA$12</f>
        <v>54239</v>
      </c>
    </row>
    <row r="6" spans="1:83" x14ac:dyDescent="0.2">
      <c r="A6" s="81" t="s">
        <v>155</v>
      </c>
    </row>
    <row r="8" spans="1:83" s="87" customFormat="1" x14ac:dyDescent="0.2">
      <c r="A8" s="81"/>
      <c r="B8" s="82"/>
      <c r="C8" s="83"/>
      <c r="D8" s="86"/>
      <c r="E8" s="87" t="s">
        <v>45</v>
      </c>
      <c r="G8" s="87" t="s">
        <v>37</v>
      </c>
      <c r="J8" s="88"/>
      <c r="K8" s="88"/>
      <c r="L8" s="262">
        <v>15</v>
      </c>
      <c r="M8" s="262">
        <v>15</v>
      </c>
      <c r="N8" s="262">
        <v>13</v>
      </c>
      <c r="O8" s="88">
        <v>13</v>
      </c>
      <c r="P8" s="88">
        <v>13</v>
      </c>
      <c r="Q8" s="88">
        <v>13</v>
      </c>
      <c r="R8" s="88">
        <v>11</v>
      </c>
      <c r="S8" s="88">
        <v>11</v>
      </c>
      <c r="T8" s="88">
        <v>11</v>
      </c>
      <c r="U8" s="88">
        <v>11</v>
      </c>
      <c r="V8" s="88">
        <v>9</v>
      </c>
      <c r="W8" s="88">
        <v>9</v>
      </c>
      <c r="X8" s="88">
        <v>9</v>
      </c>
      <c r="Y8" s="88">
        <v>9</v>
      </c>
      <c r="Z8" s="88">
        <v>9</v>
      </c>
      <c r="AA8" s="88">
        <v>9</v>
      </c>
      <c r="AB8" s="88">
        <v>9</v>
      </c>
      <c r="AC8" s="88">
        <v>9</v>
      </c>
      <c r="AD8" s="88">
        <v>9</v>
      </c>
      <c r="AE8" s="88">
        <v>9</v>
      </c>
      <c r="AF8" s="88">
        <v>9</v>
      </c>
      <c r="AG8" s="88">
        <v>9</v>
      </c>
      <c r="AH8" s="88">
        <v>9</v>
      </c>
      <c r="AI8" s="88">
        <v>9</v>
      </c>
      <c r="AJ8" s="88">
        <v>9</v>
      </c>
      <c r="AK8" s="88">
        <v>9</v>
      </c>
      <c r="AL8" s="88">
        <v>9</v>
      </c>
      <c r="AM8" s="88">
        <v>9</v>
      </c>
      <c r="AN8" s="88">
        <v>9</v>
      </c>
      <c r="AO8" s="88">
        <v>9</v>
      </c>
      <c r="AP8" s="88">
        <v>9</v>
      </c>
      <c r="AQ8" s="88">
        <v>9</v>
      </c>
      <c r="AR8" s="88">
        <v>9</v>
      </c>
      <c r="AS8" s="88">
        <v>9</v>
      </c>
      <c r="AT8" s="88">
        <v>9</v>
      </c>
      <c r="AU8" s="88">
        <v>9</v>
      </c>
      <c r="AV8" s="88">
        <v>9</v>
      </c>
      <c r="AW8" s="88">
        <v>9</v>
      </c>
      <c r="AX8" s="88">
        <v>9</v>
      </c>
      <c r="AY8" s="88">
        <v>9</v>
      </c>
      <c r="AZ8" s="88">
        <v>9</v>
      </c>
      <c r="BA8" s="88">
        <v>9</v>
      </c>
      <c r="BB8" s="88">
        <v>9</v>
      </c>
      <c r="BC8" s="88">
        <v>9</v>
      </c>
      <c r="BD8" s="88">
        <v>9</v>
      </c>
      <c r="BE8" s="88">
        <v>9</v>
      </c>
      <c r="BF8" s="88">
        <v>9</v>
      </c>
      <c r="BG8" s="88">
        <v>9</v>
      </c>
      <c r="BH8" s="88">
        <v>9</v>
      </c>
      <c r="BI8" s="88">
        <v>9</v>
      </c>
      <c r="BJ8" s="88">
        <v>9</v>
      </c>
      <c r="BK8" s="88">
        <v>9</v>
      </c>
      <c r="BL8" s="88">
        <v>9</v>
      </c>
      <c r="BM8" s="88">
        <v>9</v>
      </c>
      <c r="BN8" s="88">
        <v>9</v>
      </c>
      <c r="BO8" s="88">
        <v>9</v>
      </c>
      <c r="BP8" s="88">
        <v>9</v>
      </c>
      <c r="BQ8" s="88">
        <v>9</v>
      </c>
      <c r="BR8" s="88">
        <v>9</v>
      </c>
      <c r="BS8" s="88">
        <v>9</v>
      </c>
      <c r="BT8" s="219">
        <v>9</v>
      </c>
      <c r="BU8" s="219">
        <v>9</v>
      </c>
      <c r="BV8" s="219">
        <v>9</v>
      </c>
      <c r="BW8" s="88"/>
      <c r="BX8" s="88"/>
      <c r="BY8" s="88"/>
      <c r="BZ8" s="88"/>
      <c r="CA8" s="88"/>
    </row>
    <row r="9" spans="1:83" s="87" customFormat="1" x14ac:dyDescent="0.2">
      <c r="A9" s="81"/>
      <c r="B9" s="82"/>
      <c r="C9" s="83"/>
      <c r="D9" s="86"/>
      <c r="E9" s="87" t="s">
        <v>47</v>
      </c>
      <c r="G9" s="87" t="s">
        <v>37</v>
      </c>
      <c r="J9" s="88"/>
      <c r="K9" s="88"/>
      <c r="L9" s="262">
        <v>28</v>
      </c>
      <c r="M9" s="262">
        <v>28</v>
      </c>
      <c r="N9" s="262">
        <v>24</v>
      </c>
      <c r="O9" s="88">
        <v>24</v>
      </c>
      <c r="P9" s="88">
        <v>24</v>
      </c>
      <c r="Q9" s="88">
        <v>24</v>
      </c>
      <c r="R9" s="88">
        <v>20</v>
      </c>
      <c r="S9" s="88">
        <v>20</v>
      </c>
      <c r="T9" s="88">
        <v>20</v>
      </c>
      <c r="U9" s="88">
        <v>20</v>
      </c>
      <c r="V9" s="88">
        <v>20</v>
      </c>
      <c r="W9" s="88">
        <v>20</v>
      </c>
      <c r="X9" s="88">
        <v>20</v>
      </c>
      <c r="Y9" s="88">
        <v>20</v>
      </c>
      <c r="Z9" s="88">
        <v>20</v>
      </c>
      <c r="AA9" s="88">
        <v>20</v>
      </c>
      <c r="AB9" s="88">
        <v>20</v>
      </c>
      <c r="AC9" s="88">
        <v>20</v>
      </c>
      <c r="AD9" s="88">
        <v>20</v>
      </c>
      <c r="AE9" s="88">
        <v>20</v>
      </c>
      <c r="AF9" s="88">
        <v>20</v>
      </c>
      <c r="AG9" s="88">
        <v>20</v>
      </c>
      <c r="AH9" s="88">
        <v>20</v>
      </c>
      <c r="AI9" s="88">
        <v>20</v>
      </c>
      <c r="AJ9" s="88">
        <v>20</v>
      </c>
      <c r="AK9" s="88">
        <v>20</v>
      </c>
      <c r="AL9" s="88">
        <v>20</v>
      </c>
      <c r="AM9" s="88">
        <v>20</v>
      </c>
      <c r="AN9" s="88">
        <v>20</v>
      </c>
      <c r="AO9" s="88">
        <v>20</v>
      </c>
      <c r="AP9" s="88">
        <v>20</v>
      </c>
      <c r="AQ9" s="88">
        <v>20</v>
      </c>
      <c r="AR9" s="88">
        <v>20</v>
      </c>
      <c r="AS9" s="88">
        <v>20</v>
      </c>
      <c r="AT9" s="88">
        <v>20</v>
      </c>
      <c r="AU9" s="88">
        <v>20</v>
      </c>
      <c r="AV9" s="88">
        <v>20</v>
      </c>
      <c r="AW9" s="88">
        <v>20</v>
      </c>
      <c r="AX9" s="88">
        <v>20</v>
      </c>
      <c r="AY9" s="88">
        <v>20</v>
      </c>
      <c r="AZ9" s="88">
        <v>20</v>
      </c>
      <c r="BA9" s="88">
        <v>20</v>
      </c>
      <c r="BB9" s="88">
        <v>20</v>
      </c>
      <c r="BC9" s="88">
        <v>20</v>
      </c>
      <c r="BD9" s="88">
        <v>20</v>
      </c>
      <c r="BE9" s="88">
        <v>20</v>
      </c>
      <c r="BF9" s="88">
        <v>20</v>
      </c>
      <c r="BG9" s="88">
        <v>20</v>
      </c>
      <c r="BH9" s="88">
        <v>20</v>
      </c>
      <c r="BI9" s="88">
        <v>20</v>
      </c>
      <c r="BJ9" s="88">
        <v>20</v>
      </c>
      <c r="BK9" s="88">
        <v>20</v>
      </c>
      <c r="BL9" s="88">
        <v>20</v>
      </c>
      <c r="BM9" s="88">
        <v>20</v>
      </c>
      <c r="BN9" s="88">
        <v>20</v>
      </c>
      <c r="BO9" s="88">
        <v>20</v>
      </c>
      <c r="BP9" s="88">
        <v>20</v>
      </c>
      <c r="BQ9" s="88">
        <v>20</v>
      </c>
      <c r="BR9" s="88">
        <v>20</v>
      </c>
      <c r="BS9" s="88">
        <v>20</v>
      </c>
      <c r="BT9" s="219">
        <v>20</v>
      </c>
      <c r="BU9" s="219">
        <v>20</v>
      </c>
      <c r="BV9" s="219">
        <v>20</v>
      </c>
      <c r="BW9" s="88"/>
      <c r="BX9" s="88"/>
      <c r="BY9" s="88"/>
      <c r="BZ9" s="88"/>
      <c r="CA9" s="88"/>
    </row>
    <row r="10" spans="1:83" s="87" customFormat="1" x14ac:dyDescent="0.2">
      <c r="A10" s="81"/>
      <c r="B10" s="82"/>
      <c r="C10" s="83"/>
      <c r="D10" s="86"/>
      <c r="E10" s="87" t="s">
        <v>50</v>
      </c>
      <c r="G10" s="87" t="s">
        <v>37</v>
      </c>
      <c r="J10" s="88"/>
      <c r="K10" s="88"/>
      <c r="L10" s="262">
        <v>30</v>
      </c>
      <c r="M10" s="262">
        <v>30</v>
      </c>
      <c r="N10" s="262">
        <v>30</v>
      </c>
      <c r="O10" s="88">
        <v>30</v>
      </c>
      <c r="P10" s="88">
        <v>30</v>
      </c>
      <c r="Q10" s="88">
        <v>30</v>
      </c>
      <c r="R10" s="88">
        <v>30</v>
      </c>
      <c r="S10" s="88">
        <v>30</v>
      </c>
      <c r="T10" s="88">
        <v>30</v>
      </c>
      <c r="U10" s="88">
        <v>30</v>
      </c>
      <c r="V10" s="88">
        <v>30</v>
      </c>
      <c r="W10" s="88">
        <v>30</v>
      </c>
      <c r="X10" s="88">
        <v>30</v>
      </c>
      <c r="Y10" s="88">
        <v>30</v>
      </c>
      <c r="Z10" s="88">
        <v>30</v>
      </c>
      <c r="AA10" s="88">
        <v>30</v>
      </c>
      <c r="AB10" s="88">
        <v>30</v>
      </c>
      <c r="AC10" s="88">
        <v>30</v>
      </c>
      <c r="AD10" s="88">
        <v>30</v>
      </c>
      <c r="AE10" s="88">
        <v>30</v>
      </c>
      <c r="AF10" s="88">
        <v>30</v>
      </c>
      <c r="AG10" s="88">
        <v>30</v>
      </c>
      <c r="AH10" s="88">
        <v>30</v>
      </c>
      <c r="AI10" s="88">
        <v>30</v>
      </c>
      <c r="AJ10" s="88">
        <v>30</v>
      </c>
      <c r="AK10" s="88">
        <v>30</v>
      </c>
      <c r="AL10" s="88">
        <v>30</v>
      </c>
      <c r="AM10" s="88">
        <v>30</v>
      </c>
      <c r="AN10" s="88">
        <v>30</v>
      </c>
      <c r="AO10" s="88">
        <v>30</v>
      </c>
      <c r="AP10" s="88">
        <v>30</v>
      </c>
      <c r="AQ10" s="88">
        <v>30</v>
      </c>
      <c r="AR10" s="88">
        <v>30</v>
      </c>
      <c r="AS10" s="88">
        <v>30</v>
      </c>
      <c r="AT10" s="88">
        <v>30</v>
      </c>
      <c r="AU10" s="88">
        <v>30</v>
      </c>
      <c r="AV10" s="88">
        <v>30</v>
      </c>
      <c r="AW10" s="88">
        <v>30</v>
      </c>
      <c r="AX10" s="88">
        <v>30</v>
      </c>
      <c r="AY10" s="88">
        <v>30</v>
      </c>
      <c r="AZ10" s="88">
        <v>30</v>
      </c>
      <c r="BA10" s="88">
        <v>30</v>
      </c>
      <c r="BB10" s="88">
        <v>30</v>
      </c>
      <c r="BC10" s="88">
        <v>30</v>
      </c>
      <c r="BD10" s="88">
        <v>30</v>
      </c>
      <c r="BE10" s="88">
        <v>30</v>
      </c>
      <c r="BF10" s="88">
        <v>30</v>
      </c>
      <c r="BG10" s="88">
        <v>30</v>
      </c>
      <c r="BH10" s="88">
        <v>30</v>
      </c>
      <c r="BI10" s="88">
        <v>30</v>
      </c>
      <c r="BJ10" s="88">
        <v>30</v>
      </c>
      <c r="BK10" s="88">
        <v>30</v>
      </c>
      <c r="BL10" s="88">
        <v>30</v>
      </c>
      <c r="BM10" s="88">
        <v>30</v>
      </c>
      <c r="BN10" s="88">
        <v>30</v>
      </c>
      <c r="BO10" s="88">
        <v>30</v>
      </c>
      <c r="BP10" s="88">
        <v>30</v>
      </c>
      <c r="BQ10" s="88">
        <v>30</v>
      </c>
      <c r="BR10" s="88">
        <v>30</v>
      </c>
      <c r="BS10" s="88">
        <v>30</v>
      </c>
      <c r="BT10" s="219">
        <v>30</v>
      </c>
      <c r="BU10" s="219">
        <v>30</v>
      </c>
      <c r="BV10" s="219">
        <v>30</v>
      </c>
      <c r="BW10" s="88"/>
      <c r="BX10" s="88"/>
      <c r="BY10" s="88"/>
      <c r="BZ10" s="88"/>
      <c r="CA10" s="88"/>
    </row>
    <row r="11" spans="1:83" s="87" customFormat="1" x14ac:dyDescent="0.2">
      <c r="A11" s="81"/>
      <c r="B11" s="82"/>
      <c r="C11" s="83"/>
      <c r="D11" s="86"/>
      <c r="E11" s="87" t="s">
        <v>53</v>
      </c>
      <c r="G11" s="87" t="s">
        <v>37</v>
      </c>
      <c r="J11" s="88"/>
      <c r="K11" s="88"/>
      <c r="L11" s="262">
        <v>12</v>
      </c>
      <c r="M11" s="262">
        <v>12</v>
      </c>
      <c r="N11" s="262">
        <v>14</v>
      </c>
      <c r="O11" s="88">
        <v>14</v>
      </c>
      <c r="P11" s="88">
        <v>16</v>
      </c>
      <c r="Q11" s="88">
        <v>16</v>
      </c>
      <c r="R11" s="88">
        <v>16</v>
      </c>
      <c r="S11" s="88">
        <v>16</v>
      </c>
      <c r="T11" s="88">
        <v>16</v>
      </c>
      <c r="U11" s="88">
        <v>16</v>
      </c>
      <c r="V11" s="88">
        <v>16</v>
      </c>
      <c r="W11" s="88">
        <v>16</v>
      </c>
      <c r="X11" s="88">
        <v>16</v>
      </c>
      <c r="Y11" s="88">
        <v>16</v>
      </c>
      <c r="Z11" s="88">
        <v>16</v>
      </c>
      <c r="AA11" s="88">
        <v>16</v>
      </c>
      <c r="AB11" s="88">
        <v>16</v>
      </c>
      <c r="AC11" s="88">
        <v>16</v>
      </c>
      <c r="AD11" s="88">
        <v>16</v>
      </c>
      <c r="AE11" s="88">
        <v>16</v>
      </c>
      <c r="AF11" s="88">
        <v>16</v>
      </c>
      <c r="AG11" s="88">
        <v>16</v>
      </c>
      <c r="AH11" s="88">
        <v>16</v>
      </c>
      <c r="AI11" s="88">
        <v>16</v>
      </c>
      <c r="AJ11" s="88">
        <v>16</v>
      </c>
      <c r="AK11" s="88">
        <v>16</v>
      </c>
      <c r="AL11" s="88">
        <v>16</v>
      </c>
      <c r="AM11" s="88">
        <v>16</v>
      </c>
      <c r="AN11" s="88">
        <v>16</v>
      </c>
      <c r="AO11" s="88">
        <v>16</v>
      </c>
      <c r="AP11" s="88">
        <v>16</v>
      </c>
      <c r="AQ11" s="88">
        <v>16</v>
      </c>
      <c r="AR11" s="88">
        <v>16</v>
      </c>
      <c r="AS11" s="88">
        <v>16</v>
      </c>
      <c r="AT11" s="88">
        <v>16</v>
      </c>
      <c r="AU11" s="88">
        <v>16</v>
      </c>
      <c r="AV11" s="88">
        <v>16</v>
      </c>
      <c r="AW11" s="88">
        <v>16</v>
      </c>
      <c r="AX11" s="88">
        <v>16</v>
      </c>
      <c r="AY11" s="88">
        <v>16</v>
      </c>
      <c r="AZ11" s="88">
        <v>16</v>
      </c>
      <c r="BA11" s="88">
        <v>16</v>
      </c>
      <c r="BB11" s="88">
        <v>16</v>
      </c>
      <c r="BC11" s="88">
        <v>16</v>
      </c>
      <c r="BD11" s="88">
        <v>16</v>
      </c>
      <c r="BE11" s="88">
        <v>16</v>
      </c>
      <c r="BF11" s="88">
        <v>16</v>
      </c>
      <c r="BG11" s="88">
        <v>16</v>
      </c>
      <c r="BH11" s="88">
        <v>16</v>
      </c>
      <c r="BI11" s="88">
        <v>16</v>
      </c>
      <c r="BJ11" s="88">
        <v>16</v>
      </c>
      <c r="BK11" s="88">
        <v>16</v>
      </c>
      <c r="BL11" s="88">
        <v>16</v>
      </c>
      <c r="BM11" s="88">
        <v>16</v>
      </c>
      <c r="BN11" s="88">
        <v>16</v>
      </c>
      <c r="BO11" s="88">
        <v>16</v>
      </c>
      <c r="BP11" s="88">
        <v>16</v>
      </c>
      <c r="BQ11" s="88">
        <v>16</v>
      </c>
      <c r="BR11" s="88">
        <v>16</v>
      </c>
      <c r="BS11" s="88">
        <v>16</v>
      </c>
      <c r="BT11" s="219">
        <v>16</v>
      </c>
      <c r="BU11" s="219">
        <v>16</v>
      </c>
      <c r="BV11" s="219">
        <v>16</v>
      </c>
      <c r="BW11" s="88"/>
      <c r="BX11" s="88"/>
      <c r="BY11" s="88"/>
      <c r="BZ11" s="88"/>
      <c r="CA11" s="88"/>
    </row>
    <row r="12" spans="1:83" s="90" customFormat="1" x14ac:dyDescent="0.2">
      <c r="A12" s="82"/>
      <c r="B12" s="82"/>
      <c r="C12" s="83"/>
      <c r="D12" s="89"/>
    </row>
    <row r="13" spans="1:83" s="90" customFormat="1" x14ac:dyDescent="0.2">
      <c r="A13" s="82"/>
      <c r="B13" s="82"/>
      <c r="C13" s="83"/>
      <c r="D13" s="89"/>
      <c r="E13" s="90" t="s">
        <v>46</v>
      </c>
      <c r="G13" s="90" t="s">
        <v>44</v>
      </c>
      <c r="J13" s="88"/>
      <c r="K13" s="88"/>
      <c r="L13" s="262">
        <v>120</v>
      </c>
      <c r="M13" s="262">
        <v>120</v>
      </c>
      <c r="N13" s="262">
        <v>110</v>
      </c>
      <c r="O13" s="88">
        <v>110</v>
      </c>
      <c r="P13" s="88">
        <v>110</v>
      </c>
      <c r="Q13" s="88">
        <v>110</v>
      </c>
      <c r="R13" s="88">
        <v>100</v>
      </c>
      <c r="S13" s="88">
        <v>100</v>
      </c>
      <c r="T13" s="88">
        <v>100</v>
      </c>
      <c r="U13" s="88">
        <v>100</v>
      </c>
      <c r="V13" s="88">
        <v>90</v>
      </c>
      <c r="W13" s="88">
        <v>90</v>
      </c>
      <c r="X13" s="88">
        <v>90</v>
      </c>
      <c r="Y13" s="88">
        <v>90</v>
      </c>
      <c r="Z13" s="88">
        <v>80</v>
      </c>
      <c r="AA13" s="88">
        <v>80</v>
      </c>
      <c r="AB13" s="88">
        <v>80</v>
      </c>
      <c r="AC13" s="88">
        <v>80</v>
      </c>
      <c r="AD13" s="88">
        <v>80</v>
      </c>
      <c r="AE13" s="88">
        <v>80</v>
      </c>
      <c r="AF13" s="88">
        <v>80</v>
      </c>
      <c r="AG13" s="88">
        <v>80</v>
      </c>
      <c r="AH13" s="88">
        <v>80</v>
      </c>
      <c r="AI13" s="88">
        <v>80</v>
      </c>
      <c r="AJ13" s="88">
        <v>80</v>
      </c>
      <c r="AK13" s="88">
        <v>80</v>
      </c>
      <c r="AL13" s="88">
        <v>80</v>
      </c>
      <c r="AM13" s="88">
        <v>80</v>
      </c>
      <c r="AN13" s="88">
        <v>80</v>
      </c>
      <c r="AO13" s="88">
        <v>80</v>
      </c>
      <c r="AP13" s="88">
        <v>80</v>
      </c>
      <c r="AQ13" s="88">
        <v>80</v>
      </c>
      <c r="AR13" s="88">
        <v>80</v>
      </c>
      <c r="AS13" s="88">
        <v>80</v>
      </c>
      <c r="AT13" s="88">
        <v>80</v>
      </c>
      <c r="AU13" s="88">
        <v>80</v>
      </c>
      <c r="AV13" s="88">
        <v>80</v>
      </c>
      <c r="AW13" s="88">
        <v>80</v>
      </c>
      <c r="AX13" s="88">
        <v>80</v>
      </c>
      <c r="AY13" s="88">
        <v>80</v>
      </c>
      <c r="AZ13" s="88">
        <v>80</v>
      </c>
      <c r="BA13" s="88">
        <v>80</v>
      </c>
      <c r="BB13" s="88">
        <v>80</v>
      </c>
      <c r="BC13" s="88">
        <v>80</v>
      </c>
      <c r="BD13" s="88">
        <v>80</v>
      </c>
      <c r="BE13" s="88">
        <v>80</v>
      </c>
      <c r="BF13" s="88">
        <v>80</v>
      </c>
      <c r="BG13" s="88">
        <v>80</v>
      </c>
      <c r="BH13" s="88">
        <v>80</v>
      </c>
      <c r="BI13" s="88">
        <v>80</v>
      </c>
      <c r="BJ13" s="88">
        <v>80</v>
      </c>
      <c r="BK13" s="88">
        <v>80</v>
      </c>
      <c r="BL13" s="88">
        <v>80</v>
      </c>
      <c r="BM13" s="88">
        <v>80</v>
      </c>
      <c r="BN13" s="88">
        <v>80</v>
      </c>
      <c r="BO13" s="88">
        <v>80</v>
      </c>
      <c r="BP13" s="88">
        <v>80</v>
      </c>
      <c r="BQ13" s="88">
        <v>80</v>
      </c>
      <c r="BR13" s="88">
        <v>80</v>
      </c>
      <c r="BS13" s="88">
        <v>80</v>
      </c>
      <c r="BT13" s="219">
        <v>80</v>
      </c>
      <c r="BU13" s="219">
        <v>80</v>
      </c>
      <c r="BV13" s="219">
        <v>80</v>
      </c>
      <c r="BW13" s="88"/>
      <c r="BX13" s="88"/>
      <c r="BY13" s="88"/>
      <c r="BZ13" s="88"/>
      <c r="CA13" s="88"/>
    </row>
    <row r="14" spans="1:83" s="90" customFormat="1" x14ac:dyDescent="0.2">
      <c r="A14" s="82"/>
      <c r="B14" s="82"/>
      <c r="C14" s="83"/>
      <c r="D14" s="89"/>
      <c r="E14" s="90" t="s">
        <v>48</v>
      </c>
      <c r="G14" s="90" t="s">
        <v>44</v>
      </c>
      <c r="J14" s="88"/>
      <c r="K14" s="88"/>
      <c r="L14" s="262">
        <v>250</v>
      </c>
      <c r="M14" s="262">
        <v>270</v>
      </c>
      <c r="N14" s="262">
        <v>250</v>
      </c>
      <c r="O14" s="88">
        <v>270</v>
      </c>
      <c r="P14" s="88">
        <v>250</v>
      </c>
      <c r="Q14" s="88">
        <v>270</v>
      </c>
      <c r="R14" s="88">
        <v>250</v>
      </c>
      <c r="S14" s="88">
        <v>270</v>
      </c>
      <c r="T14" s="88">
        <v>250</v>
      </c>
      <c r="U14" s="88">
        <v>270</v>
      </c>
      <c r="V14" s="88">
        <v>250</v>
      </c>
      <c r="W14" s="88">
        <v>270</v>
      </c>
      <c r="X14" s="88">
        <v>250</v>
      </c>
      <c r="Y14" s="88">
        <v>270</v>
      </c>
      <c r="Z14" s="88">
        <v>250</v>
      </c>
      <c r="AA14" s="88">
        <v>270</v>
      </c>
      <c r="AB14" s="88">
        <v>250</v>
      </c>
      <c r="AC14" s="88">
        <v>270</v>
      </c>
      <c r="AD14" s="88">
        <v>250</v>
      </c>
      <c r="AE14" s="88">
        <v>270</v>
      </c>
      <c r="AF14" s="88">
        <v>250</v>
      </c>
      <c r="AG14" s="88">
        <v>270</v>
      </c>
      <c r="AH14" s="88">
        <v>250</v>
      </c>
      <c r="AI14" s="88">
        <v>270</v>
      </c>
      <c r="AJ14" s="88">
        <v>250</v>
      </c>
      <c r="AK14" s="88">
        <v>270</v>
      </c>
      <c r="AL14" s="88">
        <v>250</v>
      </c>
      <c r="AM14" s="88">
        <v>270</v>
      </c>
      <c r="AN14" s="88">
        <v>250</v>
      </c>
      <c r="AO14" s="88">
        <v>270</v>
      </c>
      <c r="AP14" s="88">
        <v>250</v>
      </c>
      <c r="AQ14" s="88">
        <v>270</v>
      </c>
      <c r="AR14" s="88">
        <v>250</v>
      </c>
      <c r="AS14" s="88">
        <v>270</v>
      </c>
      <c r="AT14" s="88">
        <v>250</v>
      </c>
      <c r="AU14" s="88">
        <v>270</v>
      </c>
      <c r="AV14" s="88">
        <v>250</v>
      </c>
      <c r="AW14" s="88">
        <v>270</v>
      </c>
      <c r="AX14" s="88">
        <v>250</v>
      </c>
      <c r="AY14" s="88">
        <v>270</v>
      </c>
      <c r="AZ14" s="88">
        <v>250</v>
      </c>
      <c r="BA14" s="88">
        <v>270</v>
      </c>
      <c r="BB14" s="88">
        <v>250</v>
      </c>
      <c r="BC14" s="88">
        <v>270</v>
      </c>
      <c r="BD14" s="88">
        <v>250</v>
      </c>
      <c r="BE14" s="88">
        <v>270</v>
      </c>
      <c r="BF14" s="88">
        <v>250</v>
      </c>
      <c r="BG14" s="88">
        <v>270</v>
      </c>
      <c r="BH14" s="88">
        <v>250</v>
      </c>
      <c r="BI14" s="88">
        <v>250</v>
      </c>
      <c r="BJ14" s="88">
        <v>270</v>
      </c>
      <c r="BK14" s="88">
        <v>250</v>
      </c>
      <c r="BL14" s="88">
        <v>270</v>
      </c>
      <c r="BM14" s="88">
        <v>250</v>
      </c>
      <c r="BN14" s="88">
        <v>270</v>
      </c>
      <c r="BO14" s="88">
        <v>250</v>
      </c>
      <c r="BP14" s="88">
        <v>270</v>
      </c>
      <c r="BQ14" s="88">
        <v>250</v>
      </c>
      <c r="BR14" s="88">
        <v>250</v>
      </c>
      <c r="BS14" s="88">
        <v>270</v>
      </c>
      <c r="BT14" s="219">
        <v>270</v>
      </c>
      <c r="BU14" s="219">
        <v>270</v>
      </c>
      <c r="BV14" s="219">
        <v>270</v>
      </c>
      <c r="BW14" s="88"/>
      <c r="BX14" s="88"/>
      <c r="BY14" s="88"/>
      <c r="BZ14" s="88"/>
      <c r="CA14" s="88"/>
      <c r="CB14" s="88">
        <v>270</v>
      </c>
      <c r="CC14" s="88">
        <v>168</v>
      </c>
      <c r="CD14" s="88">
        <v>84</v>
      </c>
      <c r="CE14" s="88">
        <v>168</v>
      </c>
    </row>
    <row r="15" spans="1:83" s="90" customFormat="1" x14ac:dyDescent="0.2">
      <c r="A15" s="82"/>
      <c r="B15" s="82"/>
      <c r="C15" s="83"/>
      <c r="D15" s="89"/>
      <c r="E15" s="90" t="s">
        <v>51</v>
      </c>
      <c r="G15" s="90" t="s">
        <v>44</v>
      </c>
      <c r="J15" s="88"/>
      <c r="K15" s="88"/>
      <c r="L15" s="262">
        <v>40</v>
      </c>
      <c r="M15" s="262">
        <v>40</v>
      </c>
      <c r="N15" s="262">
        <v>45</v>
      </c>
      <c r="O15" s="88">
        <v>45</v>
      </c>
      <c r="P15" s="88">
        <v>50</v>
      </c>
      <c r="Q15" s="88">
        <v>50</v>
      </c>
      <c r="R15" s="88">
        <v>55</v>
      </c>
      <c r="S15" s="88">
        <v>55</v>
      </c>
      <c r="T15" s="88">
        <v>60</v>
      </c>
      <c r="U15" s="88">
        <v>60</v>
      </c>
      <c r="V15" s="88">
        <v>65</v>
      </c>
      <c r="W15" s="88">
        <v>65</v>
      </c>
      <c r="X15" s="88">
        <v>70</v>
      </c>
      <c r="Y15" s="88">
        <v>70</v>
      </c>
      <c r="Z15" s="88">
        <v>70</v>
      </c>
      <c r="AA15" s="88">
        <v>70</v>
      </c>
      <c r="AB15" s="88">
        <v>70</v>
      </c>
      <c r="AC15" s="88">
        <v>70</v>
      </c>
      <c r="AD15" s="88">
        <v>70</v>
      </c>
      <c r="AE15" s="88">
        <v>70</v>
      </c>
      <c r="AF15" s="88">
        <v>70</v>
      </c>
      <c r="AG15" s="88">
        <v>70</v>
      </c>
      <c r="AH15" s="88">
        <v>70</v>
      </c>
      <c r="AI15" s="88">
        <v>70</v>
      </c>
      <c r="AJ15" s="88">
        <v>70</v>
      </c>
      <c r="AK15" s="88">
        <v>70</v>
      </c>
      <c r="AL15" s="88">
        <v>70</v>
      </c>
      <c r="AM15" s="88">
        <v>70</v>
      </c>
      <c r="AN15" s="88">
        <v>70</v>
      </c>
      <c r="AO15" s="88">
        <v>70</v>
      </c>
      <c r="AP15" s="88">
        <v>70</v>
      </c>
      <c r="AQ15" s="88">
        <v>70</v>
      </c>
      <c r="AR15" s="88">
        <v>70</v>
      </c>
      <c r="AS15" s="88">
        <v>70</v>
      </c>
      <c r="AT15" s="88">
        <v>70</v>
      </c>
      <c r="AU15" s="88">
        <v>70</v>
      </c>
      <c r="AV15" s="88">
        <v>70</v>
      </c>
      <c r="AW15" s="88">
        <v>70</v>
      </c>
      <c r="AX15" s="88">
        <v>70</v>
      </c>
      <c r="AY15" s="88">
        <v>70</v>
      </c>
      <c r="AZ15" s="88">
        <v>70</v>
      </c>
      <c r="BA15" s="88">
        <v>70</v>
      </c>
      <c r="BB15" s="88">
        <v>70</v>
      </c>
      <c r="BC15" s="88">
        <v>70</v>
      </c>
      <c r="BD15" s="88">
        <v>70</v>
      </c>
      <c r="BE15" s="88">
        <v>70</v>
      </c>
      <c r="BF15" s="88">
        <v>70</v>
      </c>
      <c r="BG15" s="88">
        <v>70</v>
      </c>
      <c r="BH15" s="88">
        <v>70</v>
      </c>
      <c r="BI15" s="88">
        <v>70</v>
      </c>
      <c r="BJ15" s="88">
        <v>70</v>
      </c>
      <c r="BK15" s="88">
        <v>70</v>
      </c>
      <c r="BL15" s="88">
        <v>70</v>
      </c>
      <c r="BM15" s="88">
        <v>70</v>
      </c>
      <c r="BN15" s="88">
        <v>70</v>
      </c>
      <c r="BO15" s="88">
        <v>70</v>
      </c>
      <c r="BP15" s="88">
        <v>70</v>
      </c>
      <c r="BQ15" s="88">
        <v>70</v>
      </c>
      <c r="BR15" s="88">
        <v>70</v>
      </c>
      <c r="BS15" s="88">
        <v>70</v>
      </c>
      <c r="BT15" s="219">
        <v>70</v>
      </c>
      <c r="BU15" s="219">
        <v>70</v>
      </c>
      <c r="BV15" s="219">
        <v>70</v>
      </c>
      <c r="BW15" s="88"/>
      <c r="BX15" s="88"/>
      <c r="BY15" s="88"/>
      <c r="BZ15" s="88"/>
      <c r="CA15" s="88"/>
    </row>
    <row r="16" spans="1:83" s="90" customFormat="1" x14ac:dyDescent="0.2">
      <c r="A16" s="82"/>
      <c r="B16" s="82"/>
      <c r="C16" s="83"/>
      <c r="D16" s="89"/>
      <c r="E16" s="90" t="s">
        <v>54</v>
      </c>
      <c r="G16" s="90" t="s">
        <v>44</v>
      </c>
      <c r="J16" s="88"/>
      <c r="K16" s="88"/>
      <c r="L16" s="262">
        <v>35</v>
      </c>
      <c r="M16" s="262">
        <v>35</v>
      </c>
      <c r="N16" s="262">
        <v>45</v>
      </c>
      <c r="O16" s="88">
        <v>45</v>
      </c>
      <c r="P16" s="88">
        <v>45</v>
      </c>
      <c r="Q16" s="88">
        <v>45</v>
      </c>
      <c r="R16" s="88">
        <v>55</v>
      </c>
      <c r="S16" s="88">
        <v>55</v>
      </c>
      <c r="T16" s="88">
        <v>55</v>
      </c>
      <c r="U16" s="88">
        <v>55</v>
      </c>
      <c r="V16" s="88">
        <v>55</v>
      </c>
      <c r="W16" s="88">
        <v>55</v>
      </c>
      <c r="X16" s="88">
        <v>55</v>
      </c>
      <c r="Y16" s="88">
        <v>55</v>
      </c>
      <c r="Z16" s="88">
        <v>55</v>
      </c>
      <c r="AA16" s="88">
        <v>55</v>
      </c>
      <c r="AB16" s="88">
        <v>55</v>
      </c>
      <c r="AC16" s="88">
        <v>55</v>
      </c>
      <c r="AD16" s="88">
        <v>55</v>
      </c>
      <c r="AE16" s="88">
        <v>55</v>
      </c>
      <c r="AF16" s="88">
        <v>55</v>
      </c>
      <c r="AG16" s="88">
        <v>55</v>
      </c>
      <c r="AH16" s="88">
        <v>55</v>
      </c>
      <c r="AI16" s="88">
        <v>55</v>
      </c>
      <c r="AJ16" s="88">
        <v>55</v>
      </c>
      <c r="AK16" s="88">
        <v>55</v>
      </c>
      <c r="AL16" s="88">
        <v>55</v>
      </c>
      <c r="AM16" s="88">
        <v>55</v>
      </c>
      <c r="AN16" s="88">
        <v>55</v>
      </c>
      <c r="AO16" s="88">
        <v>55</v>
      </c>
      <c r="AP16" s="88">
        <v>55</v>
      </c>
      <c r="AQ16" s="88">
        <v>55</v>
      </c>
      <c r="AR16" s="88">
        <v>55</v>
      </c>
      <c r="AS16" s="88">
        <v>55</v>
      </c>
      <c r="AT16" s="88">
        <v>55</v>
      </c>
      <c r="AU16" s="88">
        <v>55</v>
      </c>
      <c r="AV16" s="88">
        <v>55</v>
      </c>
      <c r="AW16" s="88">
        <v>55</v>
      </c>
      <c r="AX16" s="88">
        <v>55</v>
      </c>
      <c r="AY16" s="88">
        <v>55</v>
      </c>
      <c r="AZ16" s="88">
        <v>55</v>
      </c>
      <c r="BA16" s="88">
        <v>55</v>
      </c>
      <c r="BB16" s="88">
        <v>55</v>
      </c>
      <c r="BC16" s="88">
        <v>55</v>
      </c>
      <c r="BD16" s="88">
        <v>55</v>
      </c>
      <c r="BE16" s="88">
        <v>55</v>
      </c>
      <c r="BF16" s="88">
        <v>55</v>
      </c>
      <c r="BG16" s="88">
        <v>55</v>
      </c>
      <c r="BH16" s="88">
        <v>55</v>
      </c>
      <c r="BI16" s="88">
        <v>55</v>
      </c>
      <c r="BJ16" s="88">
        <v>55</v>
      </c>
      <c r="BK16" s="88">
        <v>55</v>
      </c>
      <c r="BL16" s="88">
        <v>55</v>
      </c>
      <c r="BM16" s="88">
        <v>55</v>
      </c>
      <c r="BN16" s="88">
        <v>55</v>
      </c>
      <c r="BO16" s="88">
        <v>55</v>
      </c>
      <c r="BP16" s="88">
        <v>55</v>
      </c>
      <c r="BQ16" s="88">
        <v>55</v>
      </c>
      <c r="BR16" s="88">
        <v>55</v>
      </c>
      <c r="BS16" s="88">
        <v>55</v>
      </c>
      <c r="BT16" s="219">
        <v>55</v>
      </c>
      <c r="BU16" s="219">
        <v>55</v>
      </c>
      <c r="BV16" s="219">
        <v>55</v>
      </c>
      <c r="BW16" s="88"/>
      <c r="BX16" s="88"/>
      <c r="BY16" s="88"/>
      <c r="BZ16" s="88"/>
      <c r="CA16" s="88"/>
    </row>
    <row r="17" spans="1:93" s="135" customFormat="1" x14ac:dyDescent="0.2">
      <c r="A17" s="82"/>
      <c r="B17" s="82"/>
      <c r="C17" s="83"/>
      <c r="D17" s="275"/>
    </row>
    <row r="18" spans="1:93" s="87" customFormat="1" x14ac:dyDescent="0.2">
      <c r="A18" s="81"/>
      <c r="B18" s="82"/>
      <c r="C18" s="83"/>
      <c r="D18" s="86"/>
      <c r="E18" s="87" t="s">
        <v>69</v>
      </c>
      <c r="G18" s="90" t="s">
        <v>26</v>
      </c>
      <c r="J18" s="91"/>
      <c r="K18" s="91"/>
      <c r="L18" s="263">
        <v>0.6</v>
      </c>
      <c r="M18" s="263">
        <v>0.6</v>
      </c>
      <c r="N18" s="263">
        <v>0.7</v>
      </c>
      <c r="O18" s="91">
        <v>0.7</v>
      </c>
      <c r="P18" s="91">
        <v>0.7</v>
      </c>
      <c r="Q18" s="91">
        <v>0.7</v>
      </c>
      <c r="R18" s="91">
        <v>0.7</v>
      </c>
      <c r="S18" s="91">
        <v>0.7</v>
      </c>
      <c r="T18" s="91">
        <v>0.7</v>
      </c>
      <c r="U18" s="91">
        <v>0.7</v>
      </c>
      <c r="V18" s="91">
        <v>0.7</v>
      </c>
      <c r="W18" s="91">
        <v>0.7</v>
      </c>
      <c r="X18" s="91">
        <v>0.7</v>
      </c>
      <c r="Y18" s="91">
        <v>0.7</v>
      </c>
      <c r="Z18" s="91">
        <v>0.7</v>
      </c>
      <c r="AA18" s="91">
        <v>0.7</v>
      </c>
      <c r="AB18" s="91">
        <v>0.7</v>
      </c>
      <c r="AC18" s="91">
        <v>0.7</v>
      </c>
      <c r="AD18" s="91">
        <v>0.79</v>
      </c>
      <c r="AE18" s="91">
        <v>0.79</v>
      </c>
      <c r="AF18" s="91">
        <v>0.79</v>
      </c>
      <c r="AG18" s="91">
        <v>0.79</v>
      </c>
      <c r="AH18" s="91">
        <v>0.79</v>
      </c>
      <c r="AI18" s="91">
        <v>0.79</v>
      </c>
      <c r="AJ18" s="91">
        <v>0.79</v>
      </c>
      <c r="AK18" s="91">
        <v>0.79</v>
      </c>
      <c r="AL18" s="91">
        <v>0.79</v>
      </c>
      <c r="AM18" s="91">
        <v>0.79</v>
      </c>
      <c r="AN18" s="91">
        <v>0.79</v>
      </c>
      <c r="AO18" s="91">
        <v>0.79</v>
      </c>
      <c r="AP18" s="91">
        <v>0.79</v>
      </c>
      <c r="AQ18" s="91">
        <v>0.79</v>
      </c>
      <c r="AR18" s="91">
        <v>0.79</v>
      </c>
      <c r="AS18" s="91">
        <v>0.79</v>
      </c>
      <c r="AT18" s="91">
        <v>0.79</v>
      </c>
      <c r="AU18" s="91">
        <v>0.79</v>
      </c>
      <c r="AV18" s="91">
        <v>0.79</v>
      </c>
      <c r="AW18" s="91">
        <v>0.79</v>
      </c>
      <c r="AX18" s="91">
        <v>0.7</v>
      </c>
      <c r="AY18" s="91">
        <v>0.7</v>
      </c>
      <c r="AZ18" s="91">
        <v>0.7</v>
      </c>
      <c r="BA18" s="91">
        <v>0.7</v>
      </c>
      <c r="BB18" s="91">
        <v>0.7</v>
      </c>
      <c r="BC18" s="91">
        <v>0.7</v>
      </c>
      <c r="BD18" s="91">
        <v>0.7</v>
      </c>
      <c r="BE18" s="91">
        <v>0.7</v>
      </c>
      <c r="BF18" s="91">
        <v>0.65</v>
      </c>
      <c r="BG18" s="91">
        <v>0.65</v>
      </c>
      <c r="BH18" s="91">
        <v>0.65</v>
      </c>
      <c r="BI18" s="91">
        <v>0.65</v>
      </c>
      <c r="BJ18" s="91">
        <v>0.6</v>
      </c>
      <c r="BK18" s="91">
        <v>0.6</v>
      </c>
      <c r="BL18" s="91">
        <v>0.6</v>
      </c>
      <c r="BM18" s="91">
        <v>0.6</v>
      </c>
      <c r="BN18" s="91">
        <v>0.6</v>
      </c>
      <c r="BO18" s="91">
        <v>0.6</v>
      </c>
      <c r="BP18" s="91">
        <v>0.6</v>
      </c>
      <c r="BQ18" s="91">
        <v>0.6</v>
      </c>
      <c r="BR18" s="91">
        <v>0.6</v>
      </c>
      <c r="BS18" s="91">
        <v>0.6</v>
      </c>
      <c r="BT18" s="276">
        <v>0.6</v>
      </c>
      <c r="BU18" s="276">
        <v>0.6</v>
      </c>
      <c r="BV18" s="276">
        <v>0.6</v>
      </c>
      <c r="BW18" s="91"/>
      <c r="BX18" s="91"/>
      <c r="BY18" s="91"/>
      <c r="BZ18" s="91"/>
      <c r="CA18" s="91"/>
    </row>
    <row r="19" spans="1:93" s="87" customFormat="1" x14ac:dyDescent="0.2">
      <c r="A19" s="81"/>
      <c r="B19" s="82"/>
      <c r="C19" s="83"/>
      <c r="D19" s="86"/>
      <c r="E19" s="87" t="s">
        <v>66</v>
      </c>
      <c r="G19" s="90" t="s">
        <v>26</v>
      </c>
      <c r="J19" s="91"/>
      <c r="K19" s="91"/>
      <c r="L19" s="263">
        <v>0.7</v>
      </c>
      <c r="M19" s="263">
        <v>0.7</v>
      </c>
      <c r="N19" s="263">
        <v>0.7</v>
      </c>
      <c r="O19" s="91">
        <v>0.7</v>
      </c>
      <c r="P19" s="91">
        <v>0.7</v>
      </c>
      <c r="Q19" s="91">
        <v>0.7</v>
      </c>
      <c r="R19" s="91">
        <v>0.7</v>
      </c>
      <c r="S19" s="91">
        <v>0.7</v>
      </c>
      <c r="T19" s="91">
        <v>0.66</v>
      </c>
      <c r="U19" s="91">
        <v>0.66</v>
      </c>
      <c r="V19" s="91">
        <v>0.66</v>
      </c>
      <c r="W19" s="91">
        <v>0.66</v>
      </c>
      <c r="X19" s="91">
        <v>0.66</v>
      </c>
      <c r="Y19" s="91">
        <v>0.66</v>
      </c>
      <c r="Z19" s="91">
        <v>0.66</v>
      </c>
      <c r="AA19" s="91">
        <v>0.66</v>
      </c>
      <c r="AB19" s="91">
        <v>0.66</v>
      </c>
      <c r="AC19" s="91">
        <v>0.66</v>
      </c>
      <c r="AD19" s="91">
        <v>0.68</v>
      </c>
      <c r="AE19" s="91">
        <v>0.68</v>
      </c>
      <c r="AF19" s="91">
        <v>0.68</v>
      </c>
      <c r="AG19" s="91">
        <v>0.68</v>
      </c>
      <c r="AH19" s="91">
        <v>0.68</v>
      </c>
      <c r="AI19" s="91">
        <v>0.68</v>
      </c>
      <c r="AJ19" s="91">
        <v>0.68</v>
      </c>
      <c r="AK19" s="91">
        <v>0.68</v>
      </c>
      <c r="AL19" s="91">
        <v>0.68</v>
      </c>
      <c r="AM19" s="91">
        <v>0.68</v>
      </c>
      <c r="AN19" s="91">
        <v>0.7</v>
      </c>
      <c r="AO19" s="91">
        <v>0.7</v>
      </c>
      <c r="AP19" s="91">
        <v>0.7</v>
      </c>
      <c r="AQ19" s="91">
        <v>0.7</v>
      </c>
      <c r="AR19" s="91">
        <v>0.7</v>
      </c>
      <c r="AS19" s="91">
        <v>0.7</v>
      </c>
      <c r="AT19" s="91">
        <v>0.7</v>
      </c>
      <c r="AU19" s="91">
        <v>0.7</v>
      </c>
      <c r="AV19" s="91">
        <v>0.7</v>
      </c>
      <c r="AW19" s="91">
        <v>0.7</v>
      </c>
      <c r="AX19" s="91">
        <v>0.72</v>
      </c>
      <c r="AY19" s="91">
        <v>0.72</v>
      </c>
      <c r="AZ19" s="91">
        <v>0.72</v>
      </c>
      <c r="BA19" s="91">
        <v>0.72</v>
      </c>
      <c r="BB19" s="91">
        <v>0.72</v>
      </c>
      <c r="BC19" s="91">
        <v>0.72</v>
      </c>
      <c r="BD19" s="91">
        <v>0.72</v>
      </c>
      <c r="BE19" s="91">
        <v>0.72</v>
      </c>
      <c r="BF19" s="91">
        <v>0.72</v>
      </c>
      <c r="BG19" s="91">
        <v>0.72</v>
      </c>
      <c r="BH19" s="91">
        <v>0.72</v>
      </c>
      <c r="BI19" s="91">
        <v>0.72</v>
      </c>
      <c r="BJ19" s="91">
        <v>0.72</v>
      </c>
      <c r="BK19" s="91">
        <v>0.72</v>
      </c>
      <c r="BL19" s="91">
        <v>0.72</v>
      </c>
      <c r="BM19" s="91">
        <v>0.72</v>
      </c>
      <c r="BN19" s="91">
        <v>0.72</v>
      </c>
      <c r="BO19" s="91">
        <v>0.72</v>
      </c>
      <c r="BP19" s="91">
        <v>0.72</v>
      </c>
      <c r="BQ19" s="91">
        <v>0.72</v>
      </c>
      <c r="BR19" s="91">
        <v>0.72</v>
      </c>
      <c r="BS19" s="91">
        <v>0.72</v>
      </c>
      <c r="BT19" s="276">
        <v>0.72</v>
      </c>
      <c r="BU19" s="276">
        <v>0.72</v>
      </c>
      <c r="BV19" s="276">
        <v>0.72</v>
      </c>
      <c r="BW19" s="91"/>
      <c r="BX19" s="91"/>
      <c r="BY19" s="91"/>
      <c r="BZ19" s="91"/>
      <c r="CA19" s="91"/>
    </row>
    <row r="20" spans="1:93" s="87" customFormat="1" x14ac:dyDescent="0.2">
      <c r="A20" s="81"/>
      <c r="B20" s="82"/>
      <c r="C20" s="83"/>
      <c r="D20" s="86"/>
      <c r="E20" s="87" t="s">
        <v>68</v>
      </c>
      <c r="G20" s="90" t="s">
        <v>26</v>
      </c>
      <c r="J20" s="91"/>
      <c r="K20" s="91"/>
      <c r="L20" s="263">
        <v>0.65</v>
      </c>
      <c r="M20" s="263">
        <v>0.6</v>
      </c>
      <c r="N20" s="263">
        <v>0.65</v>
      </c>
      <c r="O20" s="91">
        <v>0.6</v>
      </c>
      <c r="P20" s="91">
        <v>0.65</v>
      </c>
      <c r="Q20" s="91">
        <v>0.6</v>
      </c>
      <c r="R20" s="91">
        <v>0.65</v>
      </c>
      <c r="S20" s="91">
        <v>0.6</v>
      </c>
      <c r="T20" s="91">
        <v>0.65</v>
      </c>
      <c r="U20" s="91">
        <v>0.6</v>
      </c>
      <c r="V20" s="91">
        <v>0.65</v>
      </c>
      <c r="W20" s="91">
        <v>0.6</v>
      </c>
      <c r="X20" s="91">
        <v>0.65</v>
      </c>
      <c r="Y20" s="91">
        <v>0.6</v>
      </c>
      <c r="Z20" s="91">
        <v>0.65</v>
      </c>
      <c r="AA20" s="91">
        <v>0.6</v>
      </c>
      <c r="AB20" s="91">
        <v>0.65</v>
      </c>
      <c r="AC20" s="91">
        <v>0.6</v>
      </c>
      <c r="AD20" s="91">
        <v>0.65</v>
      </c>
      <c r="AE20" s="91">
        <v>0.6</v>
      </c>
      <c r="AF20" s="91">
        <v>0.65</v>
      </c>
      <c r="AG20" s="91">
        <v>0.6</v>
      </c>
      <c r="AH20" s="91">
        <v>0.65</v>
      </c>
      <c r="AI20" s="91">
        <v>0.6</v>
      </c>
      <c r="AJ20" s="91">
        <v>0.65</v>
      </c>
      <c r="AK20" s="91">
        <v>0.6</v>
      </c>
      <c r="AL20" s="91">
        <v>0.65</v>
      </c>
      <c r="AM20" s="91">
        <v>0.6</v>
      </c>
      <c r="AN20" s="91">
        <v>0.65</v>
      </c>
      <c r="AO20" s="91">
        <v>0.6</v>
      </c>
      <c r="AP20" s="91">
        <v>0.65</v>
      </c>
      <c r="AQ20" s="91">
        <v>0.6</v>
      </c>
      <c r="AR20" s="91">
        <v>0.65</v>
      </c>
      <c r="AS20" s="91">
        <v>0.6</v>
      </c>
      <c r="AT20" s="91">
        <v>0.65</v>
      </c>
      <c r="AU20" s="91">
        <v>0.6</v>
      </c>
      <c r="AV20" s="91">
        <v>0.65</v>
      </c>
      <c r="AW20" s="91">
        <v>0.6</v>
      </c>
      <c r="AX20" s="91">
        <v>0.65</v>
      </c>
      <c r="AY20" s="91">
        <v>0.6</v>
      </c>
      <c r="AZ20" s="91">
        <v>0.65</v>
      </c>
      <c r="BA20" s="91">
        <v>0.6</v>
      </c>
      <c r="BB20" s="91">
        <v>0.65</v>
      </c>
      <c r="BC20" s="91">
        <v>0.6</v>
      </c>
      <c r="BD20" s="91">
        <v>0.65</v>
      </c>
      <c r="BE20" s="91">
        <v>0.6</v>
      </c>
      <c r="BF20" s="91">
        <v>0.65</v>
      </c>
      <c r="BG20" s="91">
        <v>0.6</v>
      </c>
      <c r="BH20" s="91">
        <v>0.65</v>
      </c>
      <c r="BI20" s="91">
        <v>0.6</v>
      </c>
      <c r="BJ20" s="91">
        <v>0.65</v>
      </c>
      <c r="BK20" s="91">
        <v>0.6</v>
      </c>
      <c r="BL20" s="91">
        <v>0.65</v>
      </c>
      <c r="BM20" s="91">
        <v>0.6</v>
      </c>
      <c r="BN20" s="91">
        <v>0.65</v>
      </c>
      <c r="BO20" s="91">
        <v>0.6</v>
      </c>
      <c r="BP20" s="91">
        <v>0.65</v>
      </c>
      <c r="BQ20" s="91">
        <v>0.6</v>
      </c>
      <c r="BR20" s="91">
        <v>0.65</v>
      </c>
      <c r="BS20" s="91">
        <v>0.6</v>
      </c>
      <c r="BT20" s="276">
        <v>0.6</v>
      </c>
      <c r="BU20" s="276">
        <v>0.6</v>
      </c>
      <c r="BV20" s="276">
        <v>0.6</v>
      </c>
      <c r="BW20" s="91"/>
      <c r="BX20" s="91"/>
      <c r="BY20" s="91"/>
      <c r="BZ20" s="91"/>
      <c r="CA20" s="91"/>
      <c r="CB20" s="91">
        <v>0.55000000000000004</v>
      </c>
      <c r="CC20" s="91">
        <v>0.5</v>
      </c>
      <c r="CD20" s="91">
        <v>0.55000000000000004</v>
      </c>
      <c r="CE20" s="91">
        <v>0.5</v>
      </c>
      <c r="CF20" s="91">
        <v>0.55000000000000004</v>
      </c>
      <c r="CG20" s="91">
        <v>0.5</v>
      </c>
      <c r="CH20" s="91">
        <v>0.55000000000000004</v>
      </c>
      <c r="CI20" s="91">
        <v>0.5</v>
      </c>
      <c r="CJ20" s="91">
        <v>0.55000000000000004</v>
      </c>
      <c r="CK20" s="91">
        <v>0.5</v>
      </c>
      <c r="CL20" s="91">
        <v>0.55000000000000004</v>
      </c>
      <c r="CM20" s="91">
        <v>0.5</v>
      </c>
      <c r="CN20" s="91">
        <v>0.55000000000000004</v>
      </c>
      <c r="CO20" s="91">
        <v>0.5</v>
      </c>
    </row>
    <row r="21" spans="1:93" s="87" customFormat="1" x14ac:dyDescent="0.2">
      <c r="A21" s="81"/>
      <c r="B21" s="82"/>
      <c r="C21" s="83"/>
      <c r="D21" s="86"/>
      <c r="E21" s="87" t="s">
        <v>67</v>
      </c>
      <c r="G21" s="90" t="s">
        <v>26</v>
      </c>
      <c r="J21" s="91"/>
      <c r="K21" s="91"/>
      <c r="L21" s="263">
        <v>0.65</v>
      </c>
      <c r="M21" s="263">
        <v>0.65</v>
      </c>
      <c r="N21" s="263">
        <v>0.65</v>
      </c>
      <c r="O21" s="91">
        <v>0.65</v>
      </c>
      <c r="P21" s="91">
        <v>0.65</v>
      </c>
      <c r="Q21" s="91">
        <v>0.65</v>
      </c>
      <c r="R21" s="91">
        <v>0.65</v>
      </c>
      <c r="S21" s="91">
        <v>0.65</v>
      </c>
      <c r="T21" s="91">
        <v>0.65</v>
      </c>
      <c r="U21" s="91">
        <v>0.65</v>
      </c>
      <c r="V21" s="91">
        <v>0.65</v>
      </c>
      <c r="W21" s="91">
        <v>0.65</v>
      </c>
      <c r="X21" s="91">
        <v>0.65</v>
      </c>
      <c r="Y21" s="91">
        <v>0.65</v>
      </c>
      <c r="Z21" s="91">
        <v>0.65</v>
      </c>
      <c r="AA21" s="91">
        <v>0.65</v>
      </c>
      <c r="AB21" s="91">
        <v>0.65</v>
      </c>
      <c r="AC21" s="91">
        <v>0.65</v>
      </c>
      <c r="AD21" s="91">
        <v>0.65</v>
      </c>
      <c r="AE21" s="91">
        <v>0.65</v>
      </c>
      <c r="AF21" s="91">
        <v>0.65</v>
      </c>
      <c r="AG21" s="91">
        <v>0.65</v>
      </c>
      <c r="AH21" s="91">
        <v>0.65</v>
      </c>
      <c r="AI21" s="91">
        <v>0.65</v>
      </c>
      <c r="AJ21" s="91">
        <v>0.65</v>
      </c>
      <c r="AK21" s="91">
        <v>0.65</v>
      </c>
      <c r="AL21" s="91">
        <v>0.65</v>
      </c>
      <c r="AM21" s="91">
        <v>0.65</v>
      </c>
      <c r="AN21" s="91">
        <v>0.65</v>
      </c>
      <c r="AO21" s="91">
        <v>0.65</v>
      </c>
      <c r="AP21" s="91">
        <v>0.65</v>
      </c>
      <c r="AQ21" s="91">
        <v>0.65</v>
      </c>
      <c r="AR21" s="91">
        <v>0.65</v>
      </c>
      <c r="AS21" s="91">
        <v>0.65</v>
      </c>
      <c r="AT21" s="91">
        <v>0.65</v>
      </c>
      <c r="AU21" s="91">
        <v>0.65</v>
      </c>
      <c r="AV21" s="91">
        <v>0.65</v>
      </c>
      <c r="AW21" s="91">
        <v>0.65</v>
      </c>
      <c r="AX21" s="91">
        <v>0.7</v>
      </c>
      <c r="AY21" s="91">
        <v>0.7</v>
      </c>
      <c r="AZ21" s="91">
        <v>0.7</v>
      </c>
      <c r="BA21" s="91">
        <v>0.7</v>
      </c>
      <c r="BB21" s="91">
        <v>0.7</v>
      </c>
      <c r="BC21" s="91">
        <v>0.7</v>
      </c>
      <c r="BD21" s="91">
        <v>0.7</v>
      </c>
      <c r="BE21" s="91">
        <v>0.7</v>
      </c>
      <c r="BF21" s="91">
        <v>0.7</v>
      </c>
      <c r="BG21" s="91">
        <v>0.7</v>
      </c>
      <c r="BH21" s="91">
        <v>0.7</v>
      </c>
      <c r="BI21" s="91">
        <v>0.7</v>
      </c>
      <c r="BJ21" s="91">
        <v>0.7</v>
      </c>
      <c r="BK21" s="91">
        <v>0.7</v>
      </c>
      <c r="BL21" s="91">
        <v>0.7</v>
      </c>
      <c r="BM21" s="91">
        <v>0.7</v>
      </c>
      <c r="BN21" s="91">
        <v>0.7</v>
      </c>
      <c r="BO21" s="91">
        <v>0.7</v>
      </c>
      <c r="BP21" s="91">
        <v>0.7</v>
      </c>
      <c r="BQ21" s="91">
        <v>0.7</v>
      </c>
      <c r="BR21" s="91">
        <v>0.7</v>
      </c>
      <c r="BS21" s="91">
        <v>0.7</v>
      </c>
      <c r="BT21" s="276">
        <v>0.7</v>
      </c>
      <c r="BU21" s="276">
        <v>0.7</v>
      </c>
      <c r="BV21" s="276">
        <v>0.7</v>
      </c>
      <c r="BW21" s="91"/>
      <c r="BX21" s="91"/>
      <c r="BY21" s="91"/>
      <c r="BZ21" s="91"/>
      <c r="CA21" s="91"/>
    </row>
    <row r="24" spans="1:93" x14ac:dyDescent="0.2">
      <c r="A24" s="81" t="s">
        <v>160</v>
      </c>
    </row>
    <row r="26" spans="1:93" s="96" customFormat="1" x14ac:dyDescent="0.2">
      <c r="A26" s="92"/>
      <c r="B26" s="93"/>
      <c r="C26" s="94"/>
      <c r="D26" s="95"/>
      <c r="E26" s="96" t="str">
        <f xml:space="preserve"> 'T&amp;E'!E$29</f>
        <v>Senior debt term / ratio calc date flag</v>
      </c>
      <c r="F26" s="96">
        <f xml:space="preserve"> 'T&amp;E'!F$29</f>
        <v>0</v>
      </c>
      <c r="G26" s="96" t="str">
        <f xml:space="preserve"> 'T&amp;E'!G$29</f>
        <v>flag</v>
      </c>
      <c r="H26" s="96">
        <f xml:space="preserve"> 'T&amp;E'!H$29</f>
        <v>40</v>
      </c>
      <c r="I26" s="96">
        <f xml:space="preserve"> 'T&amp;E'!I$29</f>
        <v>0</v>
      </c>
      <c r="J26" s="96">
        <f xml:space="preserve"> 'T&amp;E'!J$29</f>
        <v>0</v>
      </c>
      <c r="K26" s="96">
        <f xml:space="preserve"> 'T&amp;E'!K$29</f>
        <v>0</v>
      </c>
      <c r="L26" s="96">
        <f xml:space="preserve"> 'T&amp;E'!L$29</f>
        <v>0</v>
      </c>
      <c r="M26" s="96">
        <f xml:space="preserve"> 'T&amp;E'!M$29</f>
        <v>0</v>
      </c>
      <c r="N26" s="96">
        <f xml:space="preserve"> 'T&amp;E'!N$29</f>
        <v>0</v>
      </c>
      <c r="O26" s="96">
        <f xml:space="preserve"> 'T&amp;E'!O$29</f>
        <v>1</v>
      </c>
      <c r="P26" s="96">
        <f xml:space="preserve"> 'T&amp;E'!P$29</f>
        <v>1</v>
      </c>
      <c r="Q26" s="96">
        <f xml:space="preserve"> 'T&amp;E'!Q$29</f>
        <v>1</v>
      </c>
      <c r="R26" s="96">
        <f xml:space="preserve"> 'T&amp;E'!R$29</f>
        <v>1</v>
      </c>
      <c r="S26" s="96">
        <f xml:space="preserve"> 'T&amp;E'!S$29</f>
        <v>1</v>
      </c>
      <c r="T26" s="96">
        <f xml:space="preserve"> 'T&amp;E'!T$29</f>
        <v>1</v>
      </c>
      <c r="U26" s="96">
        <f xml:space="preserve"> 'T&amp;E'!U$29</f>
        <v>1</v>
      </c>
      <c r="V26" s="96">
        <f xml:space="preserve"> 'T&amp;E'!V$29</f>
        <v>1</v>
      </c>
      <c r="W26" s="96">
        <f xml:space="preserve"> 'T&amp;E'!W$29</f>
        <v>1</v>
      </c>
      <c r="X26" s="96">
        <f xml:space="preserve"> 'T&amp;E'!X$29</f>
        <v>1</v>
      </c>
      <c r="Y26" s="96">
        <f xml:space="preserve"> 'T&amp;E'!Y$29</f>
        <v>1</v>
      </c>
      <c r="Z26" s="96">
        <f xml:space="preserve"> 'T&amp;E'!Z$29</f>
        <v>1</v>
      </c>
      <c r="AA26" s="96">
        <f xml:space="preserve"> 'T&amp;E'!AA$29</f>
        <v>1</v>
      </c>
      <c r="AB26" s="96">
        <f xml:space="preserve"> 'T&amp;E'!AB$29</f>
        <v>1</v>
      </c>
      <c r="AC26" s="96">
        <f xml:space="preserve"> 'T&amp;E'!AC$29</f>
        <v>1</v>
      </c>
      <c r="AD26" s="96">
        <f xml:space="preserve"> 'T&amp;E'!AD$29</f>
        <v>1</v>
      </c>
      <c r="AE26" s="96">
        <f xml:space="preserve"> 'T&amp;E'!AE$29</f>
        <v>1</v>
      </c>
      <c r="AF26" s="96">
        <f xml:space="preserve"> 'T&amp;E'!AF$29</f>
        <v>1</v>
      </c>
      <c r="AG26" s="96">
        <f xml:space="preserve"> 'T&amp;E'!AG$29</f>
        <v>1</v>
      </c>
      <c r="AH26" s="96">
        <f xml:space="preserve"> 'T&amp;E'!AH$29</f>
        <v>1</v>
      </c>
      <c r="AI26" s="96">
        <f xml:space="preserve"> 'T&amp;E'!AI$29</f>
        <v>1</v>
      </c>
      <c r="AJ26" s="96">
        <f xml:space="preserve"> 'T&amp;E'!AJ$29</f>
        <v>1</v>
      </c>
      <c r="AK26" s="96">
        <f xml:space="preserve"> 'T&amp;E'!AK$29</f>
        <v>1</v>
      </c>
      <c r="AL26" s="96">
        <f xml:space="preserve"> 'T&amp;E'!AL$29</f>
        <v>1</v>
      </c>
      <c r="AM26" s="96">
        <f xml:space="preserve"> 'T&amp;E'!AM$29</f>
        <v>1</v>
      </c>
      <c r="AN26" s="96">
        <f xml:space="preserve"> 'T&amp;E'!AN$29</f>
        <v>1</v>
      </c>
      <c r="AO26" s="96">
        <f xml:space="preserve"> 'T&amp;E'!AO$29</f>
        <v>1</v>
      </c>
      <c r="AP26" s="96">
        <f xml:space="preserve"> 'T&amp;E'!AP$29</f>
        <v>1</v>
      </c>
      <c r="AQ26" s="96">
        <f xml:space="preserve"> 'T&amp;E'!AQ$29</f>
        <v>1</v>
      </c>
      <c r="AR26" s="96">
        <f xml:space="preserve"> 'T&amp;E'!AR$29</f>
        <v>1</v>
      </c>
      <c r="AS26" s="96">
        <f xml:space="preserve"> 'T&amp;E'!AS$29</f>
        <v>1</v>
      </c>
      <c r="AT26" s="96">
        <f xml:space="preserve"> 'T&amp;E'!AT$29</f>
        <v>1</v>
      </c>
      <c r="AU26" s="96">
        <f xml:space="preserve"> 'T&amp;E'!AU$29</f>
        <v>1</v>
      </c>
      <c r="AV26" s="96">
        <f xml:space="preserve"> 'T&amp;E'!AV$29</f>
        <v>1</v>
      </c>
      <c r="AW26" s="96">
        <f xml:space="preserve"> 'T&amp;E'!AW$29</f>
        <v>1</v>
      </c>
      <c r="AX26" s="96">
        <f xml:space="preserve"> 'T&amp;E'!AX$29</f>
        <v>1</v>
      </c>
      <c r="AY26" s="96">
        <f xml:space="preserve"> 'T&amp;E'!AY$29</f>
        <v>1</v>
      </c>
      <c r="AZ26" s="96">
        <f xml:space="preserve"> 'T&amp;E'!AZ$29</f>
        <v>1</v>
      </c>
      <c r="BA26" s="96">
        <f xml:space="preserve"> 'T&amp;E'!BA$29</f>
        <v>1</v>
      </c>
      <c r="BB26" s="96">
        <f xml:space="preserve"> 'T&amp;E'!BB$29</f>
        <v>1</v>
      </c>
      <c r="BC26" s="96">
        <f xml:space="preserve"> 'T&amp;E'!BC$29</f>
        <v>0</v>
      </c>
      <c r="BD26" s="96">
        <f xml:space="preserve"> 'T&amp;E'!BD$29</f>
        <v>0</v>
      </c>
      <c r="BE26" s="96">
        <f xml:space="preserve"> 'T&amp;E'!BE$29</f>
        <v>0</v>
      </c>
      <c r="BF26" s="96">
        <f xml:space="preserve"> 'T&amp;E'!BF$29</f>
        <v>0</v>
      </c>
      <c r="BG26" s="96">
        <f xml:space="preserve"> 'T&amp;E'!BG$29</f>
        <v>0</v>
      </c>
      <c r="BH26" s="96">
        <f xml:space="preserve"> 'T&amp;E'!BH$29</f>
        <v>0</v>
      </c>
      <c r="BI26" s="96">
        <f xml:space="preserve"> 'T&amp;E'!BI$29</f>
        <v>0</v>
      </c>
      <c r="BJ26" s="96">
        <f xml:space="preserve"> 'T&amp;E'!BJ$29</f>
        <v>0</v>
      </c>
      <c r="BK26" s="96">
        <f xml:space="preserve"> 'T&amp;E'!BK$29</f>
        <v>0</v>
      </c>
      <c r="BL26" s="96">
        <f xml:space="preserve"> 'T&amp;E'!BL$29</f>
        <v>0</v>
      </c>
      <c r="BM26" s="96">
        <f xml:space="preserve"> 'T&amp;E'!BM$29</f>
        <v>0</v>
      </c>
      <c r="BN26" s="96">
        <f xml:space="preserve"> 'T&amp;E'!BN$29</f>
        <v>0</v>
      </c>
      <c r="BO26" s="96">
        <f xml:space="preserve"> 'T&amp;E'!BO$29</f>
        <v>0</v>
      </c>
      <c r="BP26" s="96">
        <f xml:space="preserve"> 'T&amp;E'!BP$29</f>
        <v>0</v>
      </c>
      <c r="BQ26" s="96">
        <f xml:space="preserve"> 'T&amp;E'!BQ$29</f>
        <v>0</v>
      </c>
      <c r="BR26" s="96">
        <f xml:space="preserve"> 'T&amp;E'!BR$29</f>
        <v>0</v>
      </c>
      <c r="BS26" s="96">
        <f xml:space="preserve"> 'T&amp;E'!BS$29</f>
        <v>0</v>
      </c>
      <c r="BT26" s="96">
        <f xml:space="preserve"> 'T&amp;E'!BT$29</f>
        <v>0</v>
      </c>
      <c r="BU26" s="96">
        <f xml:space="preserve"> 'T&amp;E'!BU$29</f>
        <v>0</v>
      </c>
      <c r="BV26" s="96">
        <f xml:space="preserve"> 'T&amp;E'!BV$29</f>
        <v>0</v>
      </c>
      <c r="BW26" s="96">
        <f xml:space="preserve"> 'T&amp;E'!BW$29</f>
        <v>0</v>
      </c>
      <c r="BX26" s="96">
        <f xml:space="preserve"> 'T&amp;E'!BX$29</f>
        <v>0</v>
      </c>
      <c r="BY26" s="96">
        <f xml:space="preserve"> 'T&amp;E'!BY$29</f>
        <v>0</v>
      </c>
      <c r="BZ26" s="96">
        <f xml:space="preserve"> 'T&amp;E'!BZ$29</f>
        <v>0</v>
      </c>
      <c r="CA26" s="96">
        <f xml:space="preserve"> 'T&amp;E'!CA$29</f>
        <v>0</v>
      </c>
    </row>
    <row r="28" spans="1:93" s="96" customFormat="1" x14ac:dyDescent="0.2">
      <c r="A28" s="92"/>
      <c r="B28" s="93"/>
      <c r="C28" s="94"/>
      <c r="D28" s="95"/>
      <c r="E28" s="96" t="str">
        <f>InpC!E$41</f>
        <v>Senior principal repayment selection switch</v>
      </c>
      <c r="F28" s="96">
        <f>InpC!F$41</f>
        <v>5</v>
      </c>
      <c r="G28" s="96" t="str">
        <f>InpC!G$41</f>
        <v>switch</v>
      </c>
    </row>
    <row r="29" spans="1:93" s="100" customFormat="1" x14ac:dyDescent="0.2">
      <c r="A29" s="97"/>
      <c r="B29" s="97"/>
      <c r="C29" s="98"/>
      <c r="D29" s="99"/>
      <c r="E29" s="100" t="s">
        <v>111</v>
      </c>
      <c r="H29" s="100">
        <f>SUM(J29:CA29)</f>
        <v>1.0000000000000004</v>
      </c>
      <c r="J29" s="358"/>
      <c r="K29" s="358"/>
      <c r="L29" s="358"/>
      <c r="M29" s="358"/>
      <c r="N29" s="358"/>
      <c r="O29" s="101">
        <f xml:space="preserve"> 1 / 40</f>
        <v>2.5000000000000001E-2</v>
      </c>
      <c r="P29" s="101">
        <f t="shared" ref="P29:BB29" si="0" xml:space="preserve"> 1 / 40</f>
        <v>2.5000000000000001E-2</v>
      </c>
      <c r="Q29" s="101">
        <f t="shared" si="0"/>
        <v>2.5000000000000001E-2</v>
      </c>
      <c r="R29" s="101">
        <f t="shared" si="0"/>
        <v>2.5000000000000001E-2</v>
      </c>
      <c r="S29" s="101">
        <f t="shared" si="0"/>
        <v>2.5000000000000001E-2</v>
      </c>
      <c r="T29" s="101">
        <f t="shared" si="0"/>
        <v>2.5000000000000001E-2</v>
      </c>
      <c r="U29" s="101">
        <f t="shared" si="0"/>
        <v>2.5000000000000001E-2</v>
      </c>
      <c r="V29" s="101">
        <f t="shared" si="0"/>
        <v>2.5000000000000001E-2</v>
      </c>
      <c r="W29" s="101">
        <f t="shared" si="0"/>
        <v>2.5000000000000001E-2</v>
      </c>
      <c r="X29" s="101">
        <f t="shared" si="0"/>
        <v>2.5000000000000001E-2</v>
      </c>
      <c r="Y29" s="101">
        <f t="shared" si="0"/>
        <v>2.5000000000000001E-2</v>
      </c>
      <c r="Z29" s="101">
        <f t="shared" si="0"/>
        <v>2.5000000000000001E-2</v>
      </c>
      <c r="AA29" s="101">
        <f t="shared" si="0"/>
        <v>2.5000000000000001E-2</v>
      </c>
      <c r="AB29" s="101">
        <f t="shared" si="0"/>
        <v>2.5000000000000001E-2</v>
      </c>
      <c r="AC29" s="101">
        <f t="shared" si="0"/>
        <v>2.5000000000000001E-2</v>
      </c>
      <c r="AD29" s="101">
        <f t="shared" si="0"/>
        <v>2.5000000000000001E-2</v>
      </c>
      <c r="AE29" s="101">
        <f t="shared" si="0"/>
        <v>2.5000000000000001E-2</v>
      </c>
      <c r="AF29" s="101">
        <f t="shared" si="0"/>
        <v>2.5000000000000001E-2</v>
      </c>
      <c r="AG29" s="101">
        <f t="shared" si="0"/>
        <v>2.5000000000000001E-2</v>
      </c>
      <c r="AH29" s="101">
        <f t="shared" si="0"/>
        <v>2.5000000000000001E-2</v>
      </c>
      <c r="AI29" s="101">
        <f t="shared" si="0"/>
        <v>2.5000000000000001E-2</v>
      </c>
      <c r="AJ29" s="101">
        <f t="shared" si="0"/>
        <v>2.5000000000000001E-2</v>
      </c>
      <c r="AK29" s="101">
        <f t="shared" si="0"/>
        <v>2.5000000000000001E-2</v>
      </c>
      <c r="AL29" s="101">
        <f t="shared" si="0"/>
        <v>2.5000000000000001E-2</v>
      </c>
      <c r="AM29" s="101">
        <f t="shared" si="0"/>
        <v>2.5000000000000001E-2</v>
      </c>
      <c r="AN29" s="101">
        <f t="shared" si="0"/>
        <v>2.5000000000000001E-2</v>
      </c>
      <c r="AO29" s="101">
        <f t="shared" si="0"/>
        <v>2.5000000000000001E-2</v>
      </c>
      <c r="AP29" s="101">
        <f t="shared" si="0"/>
        <v>2.5000000000000001E-2</v>
      </c>
      <c r="AQ29" s="101">
        <f t="shared" si="0"/>
        <v>2.5000000000000001E-2</v>
      </c>
      <c r="AR29" s="101">
        <f t="shared" si="0"/>
        <v>2.5000000000000001E-2</v>
      </c>
      <c r="AS29" s="101">
        <f t="shared" si="0"/>
        <v>2.5000000000000001E-2</v>
      </c>
      <c r="AT29" s="101">
        <f t="shared" si="0"/>
        <v>2.5000000000000001E-2</v>
      </c>
      <c r="AU29" s="101">
        <f t="shared" si="0"/>
        <v>2.5000000000000001E-2</v>
      </c>
      <c r="AV29" s="101">
        <f t="shared" si="0"/>
        <v>2.5000000000000001E-2</v>
      </c>
      <c r="AW29" s="101">
        <f t="shared" si="0"/>
        <v>2.5000000000000001E-2</v>
      </c>
      <c r="AX29" s="101">
        <f t="shared" si="0"/>
        <v>2.5000000000000001E-2</v>
      </c>
      <c r="AY29" s="101">
        <f t="shared" si="0"/>
        <v>2.5000000000000001E-2</v>
      </c>
      <c r="AZ29" s="101">
        <f t="shared" si="0"/>
        <v>2.5000000000000001E-2</v>
      </c>
      <c r="BA29" s="101">
        <f t="shared" si="0"/>
        <v>2.5000000000000001E-2</v>
      </c>
      <c r="BB29" s="101">
        <f t="shared" si="0"/>
        <v>2.5000000000000001E-2</v>
      </c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</row>
    <row r="30" spans="1:93" s="100" customFormat="1" x14ac:dyDescent="0.2">
      <c r="A30" s="97"/>
      <c r="B30" s="97"/>
      <c r="C30" s="98"/>
      <c r="D30" s="99"/>
      <c r="E30" s="100" t="s">
        <v>262</v>
      </c>
      <c r="H30" s="100">
        <f>SUM(J30:CA30)</f>
        <v>1.0000000000000004</v>
      </c>
      <c r="J30" s="358"/>
      <c r="K30" s="358"/>
      <c r="L30" s="358"/>
      <c r="M30" s="358"/>
      <c r="N30" s="358"/>
      <c r="O30" s="101">
        <v>0.02</v>
      </c>
      <c r="P30" s="101">
        <v>0.02</v>
      </c>
      <c r="Q30" s="101">
        <v>0.02</v>
      </c>
      <c r="R30" s="101">
        <v>0.02</v>
      </c>
      <c r="S30" s="101">
        <v>0.02</v>
      </c>
      <c r="T30" s="101">
        <v>0.02</v>
      </c>
      <c r="U30" s="101">
        <v>0.02</v>
      </c>
      <c r="V30" s="101">
        <v>0.02</v>
      </c>
      <c r="W30" s="101">
        <v>0.02</v>
      </c>
      <c r="X30" s="101">
        <v>0.02</v>
      </c>
      <c r="Y30" s="101">
        <v>0.02</v>
      </c>
      <c r="Z30" s="101">
        <v>0.02</v>
      </c>
      <c r="AA30" s="101">
        <v>0.02</v>
      </c>
      <c r="AB30" s="101">
        <v>0.02</v>
      </c>
      <c r="AC30" s="101">
        <v>0.02</v>
      </c>
      <c r="AD30" s="101">
        <v>0.02</v>
      </c>
      <c r="AE30" s="101">
        <v>0.02</v>
      </c>
      <c r="AF30" s="101">
        <v>0.02</v>
      </c>
      <c r="AG30" s="101">
        <v>0.02</v>
      </c>
      <c r="AH30" s="101">
        <v>0.02</v>
      </c>
      <c r="AI30" s="101">
        <v>0.03</v>
      </c>
      <c r="AJ30" s="101">
        <v>0.03</v>
      </c>
      <c r="AK30" s="101">
        <v>0.03</v>
      </c>
      <c r="AL30" s="101">
        <v>0.03</v>
      </c>
      <c r="AM30" s="101">
        <v>0.03</v>
      </c>
      <c r="AN30" s="101">
        <v>0.03</v>
      </c>
      <c r="AO30" s="101">
        <v>0.03</v>
      </c>
      <c r="AP30" s="101">
        <v>0.03</v>
      </c>
      <c r="AQ30" s="101">
        <v>0.03</v>
      </c>
      <c r="AR30" s="101">
        <v>0.03</v>
      </c>
      <c r="AS30" s="101">
        <v>0.03</v>
      </c>
      <c r="AT30" s="101">
        <v>0.03</v>
      </c>
      <c r="AU30" s="101">
        <v>0.03</v>
      </c>
      <c r="AV30" s="101">
        <v>0.03</v>
      </c>
      <c r="AW30" s="101">
        <v>0.03</v>
      </c>
      <c r="AX30" s="101">
        <v>0.03</v>
      </c>
      <c r="AY30" s="101">
        <v>0.03</v>
      </c>
      <c r="AZ30" s="101">
        <v>0.03</v>
      </c>
      <c r="BA30" s="101">
        <v>0.03</v>
      </c>
      <c r="BB30" s="101">
        <v>0.03</v>
      </c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</row>
    <row r="31" spans="1:93" s="100" customFormat="1" x14ac:dyDescent="0.2">
      <c r="A31" s="97"/>
      <c r="B31" s="97"/>
      <c r="C31" s="98"/>
      <c r="D31" s="99"/>
      <c r="E31" s="100" t="s">
        <v>112</v>
      </c>
      <c r="H31" s="100">
        <f>SUM(J31:CA31)</f>
        <v>1</v>
      </c>
      <c r="J31" s="358"/>
      <c r="K31" s="358"/>
      <c r="L31" s="359"/>
      <c r="M31" s="358"/>
      <c r="N31" s="358"/>
      <c r="O31" s="101">
        <v>0</v>
      </c>
      <c r="P31" s="101">
        <v>0</v>
      </c>
      <c r="Q31" s="101">
        <v>0</v>
      </c>
      <c r="R31" s="101">
        <v>0</v>
      </c>
      <c r="S31" s="101">
        <v>0</v>
      </c>
      <c r="T31" s="101">
        <v>0</v>
      </c>
      <c r="U31" s="101">
        <v>0</v>
      </c>
      <c r="V31" s="101">
        <v>0</v>
      </c>
      <c r="W31" s="101">
        <f xml:space="preserve"> 1 / 32</f>
        <v>3.125E-2</v>
      </c>
      <c r="X31" s="101">
        <f t="shared" ref="X31:BB31" si="1" xml:space="preserve"> 1 / 32</f>
        <v>3.125E-2</v>
      </c>
      <c r="Y31" s="101">
        <f t="shared" si="1"/>
        <v>3.125E-2</v>
      </c>
      <c r="Z31" s="101">
        <f t="shared" si="1"/>
        <v>3.125E-2</v>
      </c>
      <c r="AA31" s="101">
        <f t="shared" si="1"/>
        <v>3.125E-2</v>
      </c>
      <c r="AB31" s="101">
        <f t="shared" si="1"/>
        <v>3.125E-2</v>
      </c>
      <c r="AC31" s="101">
        <f t="shared" si="1"/>
        <v>3.125E-2</v>
      </c>
      <c r="AD31" s="101">
        <f t="shared" si="1"/>
        <v>3.125E-2</v>
      </c>
      <c r="AE31" s="101">
        <f t="shared" si="1"/>
        <v>3.125E-2</v>
      </c>
      <c r="AF31" s="101">
        <f t="shared" si="1"/>
        <v>3.125E-2</v>
      </c>
      <c r="AG31" s="101">
        <f t="shared" si="1"/>
        <v>3.125E-2</v>
      </c>
      <c r="AH31" s="101">
        <f t="shared" si="1"/>
        <v>3.125E-2</v>
      </c>
      <c r="AI31" s="101">
        <f t="shared" si="1"/>
        <v>3.125E-2</v>
      </c>
      <c r="AJ31" s="101">
        <f t="shared" si="1"/>
        <v>3.125E-2</v>
      </c>
      <c r="AK31" s="101">
        <f t="shared" si="1"/>
        <v>3.125E-2</v>
      </c>
      <c r="AL31" s="101">
        <f t="shared" si="1"/>
        <v>3.125E-2</v>
      </c>
      <c r="AM31" s="101">
        <f t="shared" si="1"/>
        <v>3.125E-2</v>
      </c>
      <c r="AN31" s="101">
        <f t="shared" si="1"/>
        <v>3.125E-2</v>
      </c>
      <c r="AO31" s="101">
        <f t="shared" si="1"/>
        <v>3.125E-2</v>
      </c>
      <c r="AP31" s="101">
        <f t="shared" si="1"/>
        <v>3.125E-2</v>
      </c>
      <c r="AQ31" s="101">
        <f t="shared" si="1"/>
        <v>3.125E-2</v>
      </c>
      <c r="AR31" s="101">
        <f t="shared" si="1"/>
        <v>3.125E-2</v>
      </c>
      <c r="AS31" s="101">
        <f t="shared" si="1"/>
        <v>3.125E-2</v>
      </c>
      <c r="AT31" s="101">
        <f t="shared" si="1"/>
        <v>3.125E-2</v>
      </c>
      <c r="AU31" s="101">
        <f t="shared" si="1"/>
        <v>3.125E-2</v>
      </c>
      <c r="AV31" s="101">
        <f t="shared" si="1"/>
        <v>3.125E-2</v>
      </c>
      <c r="AW31" s="101">
        <f t="shared" si="1"/>
        <v>3.125E-2</v>
      </c>
      <c r="AX31" s="101">
        <f t="shared" si="1"/>
        <v>3.125E-2</v>
      </c>
      <c r="AY31" s="101">
        <f t="shared" si="1"/>
        <v>3.125E-2</v>
      </c>
      <c r="AZ31" s="101">
        <f t="shared" si="1"/>
        <v>3.125E-2</v>
      </c>
      <c r="BA31" s="101">
        <f t="shared" si="1"/>
        <v>3.125E-2</v>
      </c>
      <c r="BB31" s="101">
        <f t="shared" si="1"/>
        <v>3.125E-2</v>
      </c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</row>
    <row r="32" spans="1:93" s="100" customFormat="1" x14ac:dyDescent="0.2">
      <c r="A32" s="97"/>
      <c r="B32" s="97"/>
      <c r="C32" s="98"/>
      <c r="D32" s="99"/>
      <c r="E32" s="100" t="s">
        <v>304</v>
      </c>
      <c r="H32" s="100">
        <f>SUM(J32:CA32)</f>
        <v>1.0000000000000004</v>
      </c>
      <c r="J32" s="358"/>
      <c r="K32" s="358"/>
      <c r="L32" s="359"/>
      <c r="M32" s="358"/>
      <c r="N32" s="358"/>
      <c r="O32" s="101">
        <v>5.0000000000000001E-3</v>
      </c>
      <c r="P32" s="101">
        <v>5.0000000000000001E-3</v>
      </c>
      <c r="Q32" s="101">
        <v>0.04</v>
      </c>
      <c r="R32" s="101">
        <v>5.0000000000000001E-3</v>
      </c>
      <c r="S32" s="101"/>
      <c r="T32" s="101">
        <v>3.5000000000000003E-2</v>
      </c>
      <c r="U32" s="101">
        <v>3.5000000000000003E-2</v>
      </c>
      <c r="V32" s="101">
        <v>3.5000000000000003E-2</v>
      </c>
      <c r="W32" s="101">
        <v>3.5000000000000003E-2</v>
      </c>
      <c r="X32" s="101">
        <v>2.5000000000000001E-2</v>
      </c>
      <c r="Y32" s="101">
        <v>2.5000000000000001E-2</v>
      </c>
      <c r="Z32" s="101">
        <v>2.5000000000000001E-2</v>
      </c>
      <c r="AA32" s="101">
        <v>2.5000000000000001E-2</v>
      </c>
      <c r="AB32" s="101"/>
      <c r="AC32" s="101"/>
      <c r="AD32" s="101">
        <v>1.4999999999999999E-2</v>
      </c>
      <c r="AE32" s="101">
        <v>1.4999999999999999E-2</v>
      </c>
      <c r="AF32" s="380">
        <v>0</v>
      </c>
      <c r="AG32" s="101">
        <v>2.5000000000000001E-2</v>
      </c>
      <c r="AH32" s="101">
        <v>2.5000000000000001E-2</v>
      </c>
      <c r="AI32" s="380">
        <v>0.06</v>
      </c>
      <c r="AJ32" s="101">
        <v>2.5000000000000001E-2</v>
      </c>
      <c r="AK32" s="101">
        <v>0.04</v>
      </c>
      <c r="AL32" s="101">
        <v>0.04</v>
      </c>
      <c r="AM32" s="101">
        <v>0.04</v>
      </c>
      <c r="AN32" s="101">
        <v>0.04</v>
      </c>
      <c r="AO32" s="101">
        <v>0.04</v>
      </c>
      <c r="AP32" s="101">
        <v>0.04</v>
      </c>
      <c r="AQ32" s="101">
        <v>2.5000000000000001E-2</v>
      </c>
      <c r="AR32" s="101">
        <v>2.5000000000000001E-2</v>
      </c>
      <c r="AS32" s="101">
        <v>2.5000000000000001E-2</v>
      </c>
      <c r="AT32" s="101">
        <v>2.5000000000000001E-2</v>
      </c>
      <c r="AU32" s="101">
        <v>2.5000000000000001E-2</v>
      </c>
      <c r="AV32" s="101">
        <v>2.5000000000000001E-2</v>
      </c>
      <c r="AW32" s="101">
        <v>2.5000000000000001E-2</v>
      </c>
      <c r="AX32" s="101">
        <v>2.5000000000000001E-2</v>
      </c>
      <c r="AY32" s="101">
        <v>2.5000000000000001E-2</v>
      </c>
      <c r="AZ32" s="101">
        <v>2.5000000000000001E-2</v>
      </c>
      <c r="BA32" s="101">
        <v>2.5000000000000001E-2</v>
      </c>
      <c r="BB32" s="101">
        <v>2.5000000000000001E-2</v>
      </c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</row>
    <row r="33" spans="1:79" s="400" customFormat="1" x14ac:dyDescent="0.2">
      <c r="A33" s="387"/>
      <c r="B33" s="387"/>
      <c r="C33" s="388"/>
      <c r="D33" s="399"/>
      <c r="E33" s="400" t="s">
        <v>317</v>
      </c>
      <c r="H33" s="100">
        <f t="shared" ref="H33" si="2">SUM(J33:CA33)</f>
        <v>1</v>
      </c>
      <c r="J33" s="359"/>
      <c r="K33" s="359"/>
      <c r="L33" s="359"/>
      <c r="M33" s="359"/>
      <c r="N33" s="359"/>
      <c r="O33" s="401">
        <v>9.41E-3</v>
      </c>
      <c r="P33" s="401">
        <v>1.009E-2</v>
      </c>
      <c r="Q33" s="401">
        <v>1.12E-2</v>
      </c>
      <c r="R33" s="401">
        <v>8.1200000000000005E-3</v>
      </c>
      <c r="S33" s="401">
        <v>8.8500000000000002E-3</v>
      </c>
      <c r="T33" s="401">
        <v>8.2299999999999995E-3</v>
      </c>
      <c r="U33" s="401">
        <v>8.8500000000000002E-3</v>
      </c>
      <c r="V33" s="401">
        <v>8.8999999999999999E-3</v>
      </c>
      <c r="W33" s="401">
        <v>9.5300000000000003E-3</v>
      </c>
      <c r="X33" s="401">
        <v>1.059E-2</v>
      </c>
      <c r="Y33" s="401">
        <v>1.3050000000000001E-2</v>
      </c>
      <c r="Z33" s="401">
        <v>1.306E-2</v>
      </c>
      <c r="AA33" s="401">
        <v>1.3860000000000001E-2</v>
      </c>
      <c r="AB33" s="401">
        <v>1.421E-2</v>
      </c>
      <c r="AC33" s="401">
        <v>1.511E-2</v>
      </c>
      <c r="AD33" s="401">
        <v>1.6590000000000001E-2</v>
      </c>
      <c r="AE33" s="401">
        <v>1.7690000000000001E-2</v>
      </c>
      <c r="AF33" s="401">
        <v>1.821E-2</v>
      </c>
      <c r="AG33" s="401">
        <v>1.942E-2</v>
      </c>
      <c r="AH33" s="401">
        <v>2.0029999999999999E-2</v>
      </c>
      <c r="AI33" s="401">
        <v>2.282E-2</v>
      </c>
      <c r="AJ33" s="401">
        <v>2.3529999999999999E-2</v>
      </c>
      <c r="AK33" s="401">
        <v>2.4979999999999999E-2</v>
      </c>
      <c r="AL33" s="401">
        <v>2.579E-2</v>
      </c>
      <c r="AM33" s="401">
        <v>2.7359999999999999E-2</v>
      </c>
      <c r="AN33" s="401">
        <v>2.9069999999999999E-2</v>
      </c>
      <c r="AO33" s="401">
        <v>3.0859999999999999E-2</v>
      </c>
      <c r="AP33" s="401">
        <v>3.1870000000000002E-2</v>
      </c>
      <c r="AQ33" s="401">
        <v>3.3799999999999997E-2</v>
      </c>
      <c r="AR33" s="401">
        <v>3.492E-2</v>
      </c>
      <c r="AS33" s="401">
        <v>3.6990000000000002E-2</v>
      </c>
      <c r="AT33" s="401">
        <v>3.8240000000000003E-2</v>
      </c>
      <c r="AU33" s="401">
        <v>4.0469999999999999E-2</v>
      </c>
      <c r="AV33" s="401">
        <v>4.1849999999999998E-2</v>
      </c>
      <c r="AW33" s="401">
        <v>4.4240000000000002E-2</v>
      </c>
      <c r="AX33" s="401">
        <v>4.6980000000000001E-2</v>
      </c>
      <c r="AY33" s="401">
        <v>4.9669999999999999E-2</v>
      </c>
      <c r="AZ33" s="401">
        <v>5.1330000000000001E-2</v>
      </c>
      <c r="BA33" s="401">
        <v>5.4199999999999998E-2</v>
      </c>
      <c r="BB33" s="401">
        <v>5.6030000000000024E-2</v>
      </c>
      <c r="BC33" s="401"/>
      <c r="BD33" s="401"/>
      <c r="BE33" s="401"/>
      <c r="BF33" s="401"/>
      <c r="BG33" s="401"/>
      <c r="BH33" s="401"/>
      <c r="BI33" s="401"/>
      <c r="BJ33" s="401"/>
      <c r="BK33" s="401"/>
      <c r="BL33" s="401"/>
      <c r="BM33" s="401"/>
      <c r="BN33" s="401"/>
      <c r="BO33" s="401"/>
      <c r="BP33" s="401"/>
      <c r="BQ33" s="401"/>
      <c r="BR33" s="401"/>
      <c r="BS33" s="401"/>
      <c r="BT33" s="401"/>
      <c r="BU33" s="401"/>
      <c r="BV33" s="401"/>
      <c r="BW33" s="401"/>
      <c r="BX33" s="401"/>
      <c r="BY33" s="401"/>
      <c r="BZ33" s="401"/>
      <c r="CA33" s="401"/>
    </row>
    <row r="34" spans="1:79" s="379" customFormat="1" x14ac:dyDescent="0.2">
      <c r="A34" s="376"/>
      <c r="B34" s="376"/>
      <c r="C34" s="377"/>
      <c r="D34" s="378"/>
      <c r="E34" s="379" t="s">
        <v>302</v>
      </c>
      <c r="J34" s="379" t="s">
        <v>303</v>
      </c>
      <c r="K34" s="379" t="s">
        <v>303</v>
      </c>
      <c r="L34" s="379" t="s">
        <v>303</v>
      </c>
      <c r="M34" s="379" t="s">
        <v>303</v>
      </c>
      <c r="N34" s="379" t="s">
        <v>303</v>
      </c>
      <c r="O34" s="379" t="s">
        <v>303</v>
      </c>
      <c r="P34" s="379" t="s">
        <v>303</v>
      </c>
      <c r="Q34" s="379" t="s">
        <v>303</v>
      </c>
      <c r="R34" s="379" t="s">
        <v>303</v>
      </c>
      <c r="S34" s="379" t="s">
        <v>303</v>
      </c>
      <c r="T34" s="379" t="s">
        <v>303</v>
      </c>
      <c r="U34" s="379" t="s">
        <v>303</v>
      </c>
      <c r="V34" s="379" t="s">
        <v>303</v>
      </c>
      <c r="W34" s="379" t="s">
        <v>303</v>
      </c>
      <c r="X34" s="379" t="s">
        <v>303</v>
      </c>
      <c r="Y34" s="379" t="s">
        <v>303</v>
      </c>
      <c r="Z34" s="379" t="s">
        <v>303</v>
      </c>
      <c r="AA34" s="379" t="s">
        <v>303</v>
      </c>
      <c r="AB34" s="379" t="s">
        <v>303</v>
      </c>
      <c r="AC34" s="379" t="s">
        <v>303</v>
      </c>
      <c r="AD34" s="379" t="s">
        <v>303</v>
      </c>
      <c r="AE34" s="379" t="s">
        <v>303</v>
      </c>
      <c r="AF34" s="379" t="s">
        <v>303</v>
      </c>
      <c r="AG34" s="379" t="s">
        <v>303</v>
      </c>
      <c r="AH34" s="379" t="s">
        <v>303</v>
      </c>
      <c r="AI34" s="379" t="s">
        <v>303</v>
      </c>
      <c r="AJ34" s="379" t="s">
        <v>303</v>
      </c>
      <c r="AK34" s="379" t="s">
        <v>303</v>
      </c>
      <c r="AL34" s="379" t="s">
        <v>303</v>
      </c>
      <c r="AM34" s="379" t="s">
        <v>303</v>
      </c>
      <c r="AN34" s="379" t="s">
        <v>303</v>
      </c>
      <c r="AO34" s="379" t="s">
        <v>303</v>
      </c>
      <c r="AP34" s="379" t="s">
        <v>303</v>
      </c>
      <c r="AQ34" s="379" t="s">
        <v>303</v>
      </c>
      <c r="AR34" s="379" t="s">
        <v>303</v>
      </c>
      <c r="AS34" s="379" t="s">
        <v>303</v>
      </c>
      <c r="AT34" s="379" t="s">
        <v>303</v>
      </c>
      <c r="AU34" s="379" t="s">
        <v>303</v>
      </c>
      <c r="AV34" s="379" t="s">
        <v>303</v>
      </c>
      <c r="AW34" s="379" t="s">
        <v>303</v>
      </c>
      <c r="AX34" s="379" t="s">
        <v>303</v>
      </c>
      <c r="AY34" s="379" t="s">
        <v>303</v>
      </c>
      <c r="AZ34" s="379" t="s">
        <v>303</v>
      </c>
      <c r="BA34" s="379" t="s">
        <v>303</v>
      </c>
      <c r="BB34" s="379" t="s">
        <v>303</v>
      </c>
      <c r="BC34" s="379" t="s">
        <v>303</v>
      </c>
      <c r="BD34" s="379" t="s">
        <v>303</v>
      </c>
      <c r="BE34" s="379" t="s">
        <v>303</v>
      </c>
      <c r="BF34" s="379" t="s">
        <v>303</v>
      </c>
      <c r="BG34" s="379" t="s">
        <v>303</v>
      </c>
      <c r="BH34" s="379" t="s">
        <v>303</v>
      </c>
      <c r="BI34" s="379" t="s">
        <v>303</v>
      </c>
      <c r="BJ34" s="379" t="s">
        <v>303</v>
      </c>
      <c r="BK34" s="379" t="s">
        <v>303</v>
      </c>
      <c r="BL34" s="379" t="s">
        <v>303</v>
      </c>
      <c r="BM34" s="379" t="s">
        <v>303</v>
      </c>
      <c r="BN34" s="379" t="s">
        <v>303</v>
      </c>
      <c r="BO34" s="379" t="s">
        <v>303</v>
      </c>
      <c r="BP34" s="379" t="s">
        <v>303</v>
      </c>
      <c r="BQ34" s="379" t="s">
        <v>303</v>
      </c>
      <c r="BR34" s="379" t="s">
        <v>303</v>
      </c>
      <c r="BS34" s="379" t="s">
        <v>303</v>
      </c>
      <c r="BT34" s="379" t="s">
        <v>303</v>
      </c>
      <c r="BU34" s="379" t="s">
        <v>303</v>
      </c>
      <c r="BV34" s="379" t="s">
        <v>303</v>
      </c>
      <c r="BW34" s="379" t="s">
        <v>303</v>
      </c>
      <c r="BX34" s="379" t="s">
        <v>303</v>
      </c>
      <c r="BY34" s="379" t="s">
        <v>303</v>
      </c>
      <c r="BZ34" s="379" t="s">
        <v>303</v>
      </c>
      <c r="CA34" s="379" t="s">
        <v>303</v>
      </c>
    </row>
    <row r="35" spans="1:79" s="106" customFormat="1" x14ac:dyDescent="0.2">
      <c r="A35" s="102"/>
      <c r="B35" s="103"/>
      <c r="C35" s="104"/>
      <c r="D35" s="105"/>
      <c r="E35" s="106" t="s">
        <v>305</v>
      </c>
      <c r="H35" s="106">
        <f>SUM(J35:CA35)</f>
        <v>1</v>
      </c>
      <c r="J35" s="106">
        <f t="shared" ref="J35:AO35" si="3" xml:space="preserve"> INDEX(J29:J34, $F28)</f>
        <v>0</v>
      </c>
      <c r="K35" s="106">
        <f t="shared" si="3"/>
        <v>0</v>
      </c>
      <c r="L35" s="106">
        <f t="shared" si="3"/>
        <v>0</v>
      </c>
      <c r="M35" s="106">
        <f t="shared" si="3"/>
        <v>0</v>
      </c>
      <c r="N35" s="106">
        <f t="shared" si="3"/>
        <v>0</v>
      </c>
      <c r="O35" s="106">
        <f t="shared" si="3"/>
        <v>9.41E-3</v>
      </c>
      <c r="P35" s="106">
        <f t="shared" si="3"/>
        <v>1.009E-2</v>
      </c>
      <c r="Q35" s="106">
        <f t="shared" si="3"/>
        <v>1.12E-2</v>
      </c>
      <c r="R35" s="106">
        <f t="shared" si="3"/>
        <v>8.1200000000000005E-3</v>
      </c>
      <c r="S35" s="106">
        <f t="shared" si="3"/>
        <v>8.8500000000000002E-3</v>
      </c>
      <c r="T35" s="106">
        <f t="shared" si="3"/>
        <v>8.2299999999999995E-3</v>
      </c>
      <c r="U35" s="106">
        <f t="shared" si="3"/>
        <v>8.8500000000000002E-3</v>
      </c>
      <c r="V35" s="106">
        <f t="shared" si="3"/>
        <v>8.8999999999999999E-3</v>
      </c>
      <c r="W35" s="106">
        <f t="shared" si="3"/>
        <v>9.5300000000000003E-3</v>
      </c>
      <c r="X35" s="106">
        <f t="shared" si="3"/>
        <v>1.059E-2</v>
      </c>
      <c r="Y35" s="106">
        <f t="shared" si="3"/>
        <v>1.3050000000000001E-2</v>
      </c>
      <c r="Z35" s="106">
        <f t="shared" si="3"/>
        <v>1.306E-2</v>
      </c>
      <c r="AA35" s="106">
        <f t="shared" si="3"/>
        <v>1.3860000000000001E-2</v>
      </c>
      <c r="AB35" s="106">
        <f t="shared" si="3"/>
        <v>1.421E-2</v>
      </c>
      <c r="AC35" s="106">
        <f t="shared" si="3"/>
        <v>1.511E-2</v>
      </c>
      <c r="AD35" s="106">
        <f t="shared" si="3"/>
        <v>1.6590000000000001E-2</v>
      </c>
      <c r="AE35" s="106">
        <f t="shared" si="3"/>
        <v>1.7690000000000001E-2</v>
      </c>
      <c r="AF35" s="106">
        <f t="shared" si="3"/>
        <v>1.821E-2</v>
      </c>
      <c r="AG35" s="106">
        <f t="shared" si="3"/>
        <v>1.942E-2</v>
      </c>
      <c r="AH35" s="106">
        <f t="shared" si="3"/>
        <v>2.0029999999999999E-2</v>
      </c>
      <c r="AI35" s="106">
        <f t="shared" si="3"/>
        <v>2.282E-2</v>
      </c>
      <c r="AJ35" s="106">
        <f t="shared" si="3"/>
        <v>2.3529999999999999E-2</v>
      </c>
      <c r="AK35" s="106">
        <f t="shared" si="3"/>
        <v>2.4979999999999999E-2</v>
      </c>
      <c r="AL35" s="106">
        <f t="shared" si="3"/>
        <v>2.579E-2</v>
      </c>
      <c r="AM35" s="106">
        <f t="shared" si="3"/>
        <v>2.7359999999999999E-2</v>
      </c>
      <c r="AN35" s="106">
        <f t="shared" si="3"/>
        <v>2.9069999999999999E-2</v>
      </c>
      <c r="AO35" s="106">
        <f t="shared" si="3"/>
        <v>3.0859999999999999E-2</v>
      </c>
      <c r="AP35" s="106">
        <f t="shared" ref="AP35:BU35" si="4" xml:space="preserve"> INDEX(AP29:AP34, $F28)</f>
        <v>3.1870000000000002E-2</v>
      </c>
      <c r="AQ35" s="106">
        <f t="shared" si="4"/>
        <v>3.3799999999999997E-2</v>
      </c>
      <c r="AR35" s="106">
        <f t="shared" si="4"/>
        <v>3.492E-2</v>
      </c>
      <c r="AS35" s="106">
        <f t="shared" si="4"/>
        <v>3.6990000000000002E-2</v>
      </c>
      <c r="AT35" s="106">
        <f t="shared" si="4"/>
        <v>3.8240000000000003E-2</v>
      </c>
      <c r="AU35" s="106">
        <f t="shared" si="4"/>
        <v>4.0469999999999999E-2</v>
      </c>
      <c r="AV35" s="106">
        <f t="shared" si="4"/>
        <v>4.1849999999999998E-2</v>
      </c>
      <c r="AW35" s="106">
        <f t="shared" si="4"/>
        <v>4.4240000000000002E-2</v>
      </c>
      <c r="AX35" s="106">
        <f t="shared" si="4"/>
        <v>4.6980000000000001E-2</v>
      </c>
      <c r="AY35" s="106">
        <f t="shared" si="4"/>
        <v>4.9669999999999999E-2</v>
      </c>
      <c r="AZ35" s="106">
        <f t="shared" si="4"/>
        <v>5.1330000000000001E-2</v>
      </c>
      <c r="BA35" s="106">
        <f t="shared" si="4"/>
        <v>5.4199999999999998E-2</v>
      </c>
      <c r="BB35" s="106">
        <f t="shared" si="4"/>
        <v>5.6030000000000024E-2</v>
      </c>
      <c r="BC35" s="106">
        <f t="shared" si="4"/>
        <v>0</v>
      </c>
      <c r="BD35" s="106">
        <f t="shared" si="4"/>
        <v>0</v>
      </c>
      <c r="BE35" s="106">
        <f t="shared" si="4"/>
        <v>0</v>
      </c>
      <c r="BF35" s="106">
        <f t="shared" si="4"/>
        <v>0</v>
      </c>
      <c r="BG35" s="106">
        <f t="shared" si="4"/>
        <v>0</v>
      </c>
      <c r="BH35" s="106">
        <f t="shared" si="4"/>
        <v>0</v>
      </c>
      <c r="BI35" s="106">
        <f t="shared" si="4"/>
        <v>0</v>
      </c>
      <c r="BJ35" s="106">
        <f t="shared" si="4"/>
        <v>0</v>
      </c>
      <c r="BK35" s="106">
        <f t="shared" si="4"/>
        <v>0</v>
      </c>
      <c r="BL35" s="106">
        <f t="shared" si="4"/>
        <v>0</v>
      </c>
      <c r="BM35" s="106">
        <f t="shared" si="4"/>
        <v>0</v>
      </c>
      <c r="BN35" s="106">
        <f t="shared" si="4"/>
        <v>0</v>
      </c>
      <c r="BO35" s="106">
        <f t="shared" si="4"/>
        <v>0</v>
      </c>
      <c r="BP35" s="106">
        <f t="shared" si="4"/>
        <v>0</v>
      </c>
      <c r="BQ35" s="106">
        <f t="shared" si="4"/>
        <v>0</v>
      </c>
      <c r="BR35" s="106">
        <f t="shared" si="4"/>
        <v>0</v>
      </c>
      <c r="BS35" s="106">
        <f t="shared" si="4"/>
        <v>0</v>
      </c>
      <c r="BT35" s="106">
        <f t="shared" si="4"/>
        <v>0</v>
      </c>
      <c r="BU35" s="106">
        <f t="shared" si="4"/>
        <v>0</v>
      </c>
      <c r="BV35" s="106">
        <f t="shared" ref="BV35:CA35" si="5" xml:space="preserve"> INDEX(BV29:BV34, $F28)</f>
        <v>0</v>
      </c>
      <c r="BW35" s="106">
        <f t="shared" si="5"/>
        <v>0</v>
      </c>
      <c r="BX35" s="106">
        <f t="shared" si="5"/>
        <v>0</v>
      </c>
      <c r="BY35" s="106">
        <f t="shared" si="5"/>
        <v>0</v>
      </c>
      <c r="BZ35" s="106">
        <f t="shared" si="5"/>
        <v>0</v>
      </c>
      <c r="CA35" s="106">
        <f t="shared" si="5"/>
        <v>0</v>
      </c>
    </row>
    <row r="37" spans="1:79" s="398" customFormat="1" x14ac:dyDescent="0.2">
      <c r="A37" s="395"/>
      <c r="B37" s="395"/>
      <c r="C37" s="396"/>
      <c r="D37" s="397"/>
      <c r="E37" s="398" t="str">
        <f>SrDebt!E$52</f>
        <v>Sculpted repayment profile COPY TARGET</v>
      </c>
      <c r="F37" s="398">
        <f>SrDebt!F$52</f>
        <v>0</v>
      </c>
      <c r="G37" s="398">
        <f>SrDebt!G$52</f>
        <v>0</v>
      </c>
      <c r="H37" s="398">
        <f>SrDebt!H$52</f>
        <v>1</v>
      </c>
      <c r="I37" s="398">
        <f>SrDebt!I$52</f>
        <v>0</v>
      </c>
      <c r="J37" s="398">
        <f>SrDebt!J$52</f>
        <v>0</v>
      </c>
      <c r="K37" s="398">
        <f>SrDebt!K$52</f>
        <v>0</v>
      </c>
      <c r="L37" s="398">
        <f>SrDebt!L$52</f>
        <v>0</v>
      </c>
      <c r="M37" s="398">
        <f>SrDebt!M$52</f>
        <v>0</v>
      </c>
      <c r="N37" s="398">
        <f>SrDebt!N$52</f>
        <v>0</v>
      </c>
      <c r="O37" s="398">
        <f>SrDebt!O$52</f>
        <v>9.41E-3</v>
      </c>
      <c r="P37" s="398">
        <f>SrDebt!P$52</f>
        <v>1.01E-2</v>
      </c>
      <c r="Q37" s="398">
        <f>SrDebt!Q$52</f>
        <v>1.12E-2</v>
      </c>
      <c r="R37" s="398">
        <f>SrDebt!R$52</f>
        <v>8.1200000000000005E-3</v>
      </c>
      <c r="S37" s="398">
        <f>SrDebt!S$52</f>
        <v>8.8500000000000002E-3</v>
      </c>
      <c r="T37" s="398">
        <f>SrDebt!T$52</f>
        <v>8.2299999999999995E-3</v>
      </c>
      <c r="U37" s="398">
        <f>SrDebt!U$52</f>
        <v>8.8500000000000002E-3</v>
      </c>
      <c r="V37" s="398">
        <f>SrDebt!V$52</f>
        <v>8.8999999999999999E-3</v>
      </c>
      <c r="W37" s="398">
        <f>SrDebt!W$52</f>
        <v>9.5300000000000003E-3</v>
      </c>
      <c r="X37" s="398">
        <f>SrDebt!X$52</f>
        <v>1.059E-2</v>
      </c>
      <c r="Y37" s="398">
        <f>SrDebt!Y$52</f>
        <v>1.3050000000000001E-2</v>
      </c>
      <c r="Z37" s="398">
        <f>SrDebt!Z$52</f>
        <v>1.306E-2</v>
      </c>
      <c r="AA37" s="398">
        <f>SrDebt!AA$52</f>
        <v>1.3860000000000001E-2</v>
      </c>
      <c r="AB37" s="398">
        <f>SrDebt!AB$52</f>
        <v>1.421E-2</v>
      </c>
      <c r="AC37" s="398">
        <f>SrDebt!AC$52</f>
        <v>1.511E-2</v>
      </c>
      <c r="AD37" s="398">
        <f>SrDebt!AD$52</f>
        <v>1.6590000000000001E-2</v>
      </c>
      <c r="AE37" s="398">
        <f>SrDebt!AE$52</f>
        <v>1.7690000000000001E-2</v>
      </c>
      <c r="AF37" s="398">
        <f>SrDebt!AF$52</f>
        <v>1.821E-2</v>
      </c>
      <c r="AG37" s="398">
        <f>SrDebt!AG$52</f>
        <v>1.942E-2</v>
      </c>
      <c r="AH37" s="398">
        <f>SrDebt!AH$52</f>
        <v>2.0029999999999999E-2</v>
      </c>
      <c r="AI37" s="398">
        <f>SrDebt!AI$52</f>
        <v>2.282E-2</v>
      </c>
      <c r="AJ37" s="398">
        <f>SrDebt!AJ$52</f>
        <v>2.3529999999999999E-2</v>
      </c>
      <c r="AK37" s="398">
        <f>SrDebt!AK$52</f>
        <v>2.4979999999999999E-2</v>
      </c>
      <c r="AL37" s="398">
        <f>SrDebt!AL$52</f>
        <v>2.579E-2</v>
      </c>
      <c r="AM37" s="398">
        <f>SrDebt!AM$52</f>
        <v>2.7359999999999999E-2</v>
      </c>
      <c r="AN37" s="398">
        <f>SrDebt!AN$52</f>
        <v>2.9069999999999999E-2</v>
      </c>
      <c r="AO37" s="398">
        <f>SrDebt!AO$52</f>
        <v>3.0859999999999999E-2</v>
      </c>
      <c r="AP37" s="398">
        <f>SrDebt!AP$52</f>
        <v>3.1870000000000002E-2</v>
      </c>
      <c r="AQ37" s="398">
        <f>SrDebt!AQ$52</f>
        <v>3.3799999999999997E-2</v>
      </c>
      <c r="AR37" s="398">
        <f>SrDebt!AR$52</f>
        <v>3.492E-2</v>
      </c>
      <c r="AS37" s="398">
        <f>SrDebt!AS$52</f>
        <v>3.6990000000000002E-2</v>
      </c>
      <c r="AT37" s="398">
        <f>SrDebt!AT$52</f>
        <v>3.8240000000000003E-2</v>
      </c>
      <c r="AU37" s="398">
        <f>SrDebt!AU$52</f>
        <v>4.0469999999999999E-2</v>
      </c>
      <c r="AV37" s="398">
        <f>SrDebt!AV$52</f>
        <v>4.1849999999999998E-2</v>
      </c>
      <c r="AW37" s="398">
        <f>SrDebt!AW$52</f>
        <v>4.4240000000000002E-2</v>
      </c>
      <c r="AX37" s="398">
        <f>SrDebt!AX$52</f>
        <v>4.6980000000000001E-2</v>
      </c>
      <c r="AY37" s="398">
        <f>SrDebt!AY$52</f>
        <v>4.9669999999999999E-2</v>
      </c>
      <c r="AZ37" s="398">
        <f>SrDebt!AZ$52</f>
        <v>5.1330000000000001E-2</v>
      </c>
      <c r="BA37" s="398">
        <f>SrDebt!BA$52</f>
        <v>5.4199999999999998E-2</v>
      </c>
      <c r="BB37" s="398">
        <f>SrDebt!BB$52</f>
        <v>5.6019999999999959E-2</v>
      </c>
      <c r="BC37" s="398">
        <f>SrDebt!BC$52</f>
        <v>0</v>
      </c>
      <c r="BD37" s="398">
        <f>SrDebt!BD$52</f>
        <v>0</v>
      </c>
      <c r="BE37" s="398">
        <f>SrDebt!BE$52</f>
        <v>0</v>
      </c>
      <c r="BF37" s="398">
        <f>SrDebt!BF$52</f>
        <v>0</v>
      </c>
      <c r="BG37" s="398">
        <f>SrDebt!BG$52</f>
        <v>0</v>
      </c>
      <c r="BH37" s="398">
        <f>SrDebt!BH$52</f>
        <v>0</v>
      </c>
      <c r="BI37" s="398">
        <f>SrDebt!BI$52</f>
        <v>0</v>
      </c>
      <c r="BJ37" s="398">
        <f>SrDebt!BJ$52</f>
        <v>0</v>
      </c>
      <c r="BK37" s="398">
        <f>SrDebt!BK$52</f>
        <v>0</v>
      </c>
      <c r="BL37" s="398">
        <f>SrDebt!BL$52</f>
        <v>0</v>
      </c>
      <c r="BM37" s="398">
        <f>SrDebt!BM$52</f>
        <v>0</v>
      </c>
      <c r="BN37" s="398">
        <f>SrDebt!BN$52</f>
        <v>0</v>
      </c>
      <c r="BO37" s="398">
        <f>SrDebt!BO$52</f>
        <v>0</v>
      </c>
      <c r="BP37" s="398">
        <f>SrDebt!BP$52</f>
        <v>0</v>
      </c>
      <c r="BQ37" s="398">
        <f>SrDebt!BQ$52</f>
        <v>0</v>
      </c>
      <c r="BR37" s="398">
        <f>SrDebt!BR$52</f>
        <v>0</v>
      </c>
      <c r="BS37" s="398">
        <f>SrDebt!BS$52</f>
        <v>0</v>
      </c>
      <c r="BT37" s="398">
        <f>SrDebt!BT$52</f>
        <v>0</v>
      </c>
      <c r="BU37" s="398">
        <f>SrDebt!BU$52</f>
        <v>0</v>
      </c>
      <c r="BV37" s="398">
        <f>SrDebt!BV$52</f>
        <v>0</v>
      </c>
      <c r="BW37" s="398">
        <f>SrDebt!BW$52</f>
        <v>0</v>
      </c>
      <c r="BX37" s="398">
        <f>SrDebt!BX$52</f>
        <v>0</v>
      </c>
      <c r="BY37" s="398">
        <f>SrDebt!BY$52</f>
        <v>0</v>
      </c>
      <c r="BZ37" s="398">
        <f>SrDebt!BZ$52</f>
        <v>0</v>
      </c>
      <c r="CA37" s="398">
        <f>SrDebt!CA$52</f>
        <v>0</v>
      </c>
    </row>
  </sheetData>
  <phoneticPr fontId="2" type="noConversion"/>
  <printOptions heading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&amp;L&amp;"Arial,Bold"&amp;14Financial Mechanics Training Model&amp;C&amp;"Arial,Bold"&amp;14Sheet: &amp;A&amp;R&amp;"Arial,Bold"&amp;14STRICTLY NOT CONFIDENTIAL</oddHeader>
    <oddFooter>&amp;L&amp;12&amp;F (Printed on &amp;D at &amp;T) &amp;C&amp;12Page &amp;P of &amp;N&amp;R&amp;12© 2008 Financial Mechanics Ltd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  <outlinePr summaryBelow="0" summaryRight="0"/>
  </sheetPr>
  <dimension ref="A1:AZ30"/>
  <sheetViews>
    <sheetView defaultGridColor="0" colorId="22" workbookViewId="0">
      <pane xSplit="6" ySplit="4" topLeftCell="G5" activePane="bottomRight" state="frozen"/>
      <selection activeCell="G5" sqref="G5"/>
      <selection pane="topRight" activeCell="G5" sqref="G5"/>
      <selection pane="bottomLeft" activeCell="G5" sqref="G5"/>
      <selection pane="bottomRight" activeCell="E9" sqref="E9"/>
    </sheetView>
  </sheetViews>
  <sheetFormatPr defaultColWidth="0" defaultRowHeight="12.75" x14ac:dyDescent="0.2"/>
  <cols>
    <col min="1" max="1" width="1.28515625" style="81" customWidth="1"/>
    <col min="2" max="2" width="1.28515625" style="82" customWidth="1"/>
    <col min="3" max="3" width="1.28515625" style="83" customWidth="1"/>
    <col min="4" max="4" width="1.28515625" style="84" customWidth="1"/>
    <col min="5" max="5" width="40.7109375" style="85" customWidth="1"/>
    <col min="6" max="6" width="12.7109375" style="85" customWidth="1"/>
    <col min="7" max="8" width="11.7109375" style="85" customWidth="1"/>
    <col min="9" max="9" width="2.7109375" style="85" customWidth="1"/>
    <col min="10" max="31" width="11.7109375" style="85" customWidth="1"/>
    <col min="32" max="32" width="11.7109375" style="135" customWidth="1"/>
    <col min="33" max="52" width="11.7109375" style="85" customWidth="1"/>
    <col min="53" max="16384" width="0" style="85" hidden="1"/>
  </cols>
  <sheetData>
    <row r="1" spans="1:52" s="72" customFormat="1" x14ac:dyDescent="0.2">
      <c r="A1" s="69" t="str">
        <f ca="1" xml:space="preserve"> RIGHT(CELL("filename", A1), LEN(CELL("filename", A1)) - SEARCH("]", CELL("filename", A1)))</f>
        <v>ConTime</v>
      </c>
      <c r="B1" s="69"/>
      <c r="C1" s="70"/>
      <c r="D1" s="71"/>
      <c r="F1" s="73"/>
      <c r="G1" s="73"/>
      <c r="H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</row>
    <row r="2" spans="1:52" s="74" customFormat="1" x14ac:dyDescent="0.2">
      <c r="A2" s="75"/>
      <c r="B2" s="75"/>
      <c r="C2" s="107"/>
      <c r="D2" s="77"/>
      <c r="E2" s="74" t="str">
        <f t="shared" ref="E2:AZ2" si="0">E$18</f>
        <v>Construction / availability period flag</v>
      </c>
      <c r="F2" s="74">
        <f t="shared" si="0"/>
        <v>0</v>
      </c>
      <c r="G2" s="74">
        <f t="shared" si="0"/>
        <v>0</v>
      </c>
      <c r="H2" s="74">
        <f t="shared" si="0"/>
        <v>22</v>
      </c>
      <c r="I2" s="74">
        <f t="shared" si="0"/>
        <v>0</v>
      </c>
      <c r="J2" s="74">
        <f t="shared" si="0"/>
        <v>0</v>
      </c>
      <c r="K2" s="74">
        <f t="shared" si="0"/>
        <v>1</v>
      </c>
      <c r="L2" s="74">
        <f t="shared" si="0"/>
        <v>1</v>
      </c>
      <c r="M2" s="74">
        <f t="shared" si="0"/>
        <v>1</v>
      </c>
      <c r="N2" s="74">
        <f t="shared" si="0"/>
        <v>1</v>
      </c>
      <c r="O2" s="74">
        <f t="shared" si="0"/>
        <v>1</v>
      </c>
      <c r="P2" s="74">
        <f t="shared" si="0"/>
        <v>1</v>
      </c>
      <c r="Q2" s="74">
        <f t="shared" si="0"/>
        <v>1</v>
      </c>
      <c r="R2" s="74">
        <f t="shared" si="0"/>
        <v>1</v>
      </c>
      <c r="S2" s="74">
        <f t="shared" si="0"/>
        <v>1</v>
      </c>
      <c r="T2" s="74">
        <f t="shared" si="0"/>
        <v>1</v>
      </c>
      <c r="U2" s="74">
        <f t="shared" si="0"/>
        <v>1</v>
      </c>
      <c r="V2" s="74">
        <f t="shared" si="0"/>
        <v>1</v>
      </c>
      <c r="W2" s="74">
        <f t="shared" si="0"/>
        <v>1</v>
      </c>
      <c r="X2" s="74">
        <f t="shared" si="0"/>
        <v>1</v>
      </c>
      <c r="Y2" s="74">
        <f t="shared" si="0"/>
        <v>1</v>
      </c>
      <c r="Z2" s="74">
        <f t="shared" si="0"/>
        <v>1</v>
      </c>
      <c r="AA2" s="74">
        <f t="shared" si="0"/>
        <v>1</v>
      </c>
      <c r="AB2" s="74">
        <f t="shared" si="0"/>
        <v>1</v>
      </c>
      <c r="AC2" s="74">
        <f t="shared" si="0"/>
        <v>1</v>
      </c>
      <c r="AD2" s="74">
        <f t="shared" si="0"/>
        <v>1</v>
      </c>
      <c r="AE2" s="74">
        <f t="shared" si="0"/>
        <v>1</v>
      </c>
      <c r="AF2" s="74">
        <f t="shared" si="0"/>
        <v>1</v>
      </c>
      <c r="AG2" s="74">
        <f t="shared" si="0"/>
        <v>0</v>
      </c>
      <c r="AH2" s="74">
        <f t="shared" si="0"/>
        <v>0</v>
      </c>
      <c r="AI2" s="74">
        <f t="shared" si="0"/>
        <v>0</v>
      </c>
      <c r="AJ2" s="74">
        <f t="shared" si="0"/>
        <v>0</v>
      </c>
      <c r="AK2" s="74">
        <f t="shared" si="0"/>
        <v>0</v>
      </c>
      <c r="AL2" s="74">
        <f t="shared" si="0"/>
        <v>0</v>
      </c>
      <c r="AM2" s="74">
        <f t="shared" si="0"/>
        <v>0</v>
      </c>
      <c r="AN2" s="74">
        <f t="shared" si="0"/>
        <v>0</v>
      </c>
      <c r="AO2" s="74">
        <f t="shared" si="0"/>
        <v>0</v>
      </c>
      <c r="AP2" s="74">
        <f t="shared" si="0"/>
        <v>0</v>
      </c>
      <c r="AQ2" s="74">
        <f t="shared" si="0"/>
        <v>0</v>
      </c>
      <c r="AR2" s="74">
        <f t="shared" si="0"/>
        <v>0</v>
      </c>
      <c r="AS2" s="74">
        <f t="shared" si="0"/>
        <v>0</v>
      </c>
      <c r="AT2" s="74">
        <f t="shared" si="0"/>
        <v>0</v>
      </c>
      <c r="AU2" s="74">
        <f t="shared" si="0"/>
        <v>0</v>
      </c>
      <c r="AV2" s="74">
        <f t="shared" si="0"/>
        <v>0</v>
      </c>
      <c r="AW2" s="74">
        <f t="shared" si="0"/>
        <v>0</v>
      </c>
      <c r="AX2" s="74">
        <f t="shared" si="0"/>
        <v>0</v>
      </c>
      <c r="AY2" s="74">
        <f t="shared" si="0"/>
        <v>0</v>
      </c>
      <c r="AZ2" s="74">
        <f t="shared" si="0"/>
        <v>0</v>
      </c>
    </row>
    <row r="3" spans="1:52" s="74" customFormat="1" x14ac:dyDescent="0.2">
      <c r="A3" s="75"/>
      <c r="B3" s="75"/>
      <c r="C3" s="107"/>
      <c r="D3" s="77"/>
      <c r="E3" s="74" t="str">
        <f t="shared" ref="E3:AZ3" si="1" xml:space="preserve"> E$8</f>
        <v>Construction period counter</v>
      </c>
      <c r="F3" s="74">
        <f t="shared" si="1"/>
        <v>0</v>
      </c>
      <c r="G3" s="74">
        <f t="shared" si="1"/>
        <v>0</v>
      </c>
      <c r="H3" s="74">
        <f t="shared" si="1"/>
        <v>0</v>
      </c>
      <c r="I3" s="74">
        <f t="shared" si="1"/>
        <v>0</v>
      </c>
      <c r="J3" s="74">
        <f t="shared" si="1"/>
        <v>1</v>
      </c>
      <c r="K3" s="74">
        <f t="shared" si="1"/>
        <v>2</v>
      </c>
      <c r="L3" s="74">
        <f t="shared" si="1"/>
        <v>3</v>
      </c>
      <c r="M3" s="74">
        <f t="shared" si="1"/>
        <v>4</v>
      </c>
      <c r="N3" s="74">
        <f t="shared" si="1"/>
        <v>5</v>
      </c>
      <c r="O3" s="74">
        <f t="shared" si="1"/>
        <v>6</v>
      </c>
      <c r="P3" s="74">
        <f t="shared" si="1"/>
        <v>7</v>
      </c>
      <c r="Q3" s="74">
        <f t="shared" si="1"/>
        <v>8</v>
      </c>
      <c r="R3" s="74">
        <f t="shared" si="1"/>
        <v>9</v>
      </c>
      <c r="S3" s="74">
        <f t="shared" si="1"/>
        <v>10</v>
      </c>
      <c r="T3" s="74">
        <f t="shared" si="1"/>
        <v>11</v>
      </c>
      <c r="U3" s="74">
        <f t="shared" si="1"/>
        <v>12</v>
      </c>
      <c r="V3" s="74">
        <f t="shared" si="1"/>
        <v>13</v>
      </c>
      <c r="W3" s="74">
        <f t="shared" si="1"/>
        <v>14</v>
      </c>
      <c r="X3" s="74">
        <f t="shared" si="1"/>
        <v>15</v>
      </c>
      <c r="Y3" s="74">
        <f t="shared" si="1"/>
        <v>16</v>
      </c>
      <c r="Z3" s="74">
        <f t="shared" si="1"/>
        <v>17</v>
      </c>
      <c r="AA3" s="74">
        <f t="shared" si="1"/>
        <v>18</v>
      </c>
      <c r="AB3" s="74">
        <f t="shared" si="1"/>
        <v>19</v>
      </c>
      <c r="AC3" s="74">
        <f t="shared" si="1"/>
        <v>20</v>
      </c>
      <c r="AD3" s="74">
        <f t="shared" si="1"/>
        <v>21</v>
      </c>
      <c r="AE3" s="74">
        <f t="shared" si="1"/>
        <v>22</v>
      </c>
      <c r="AF3" s="74">
        <f t="shared" si="1"/>
        <v>23</v>
      </c>
      <c r="AG3" s="74">
        <f t="shared" si="1"/>
        <v>24</v>
      </c>
      <c r="AH3" s="74">
        <f t="shared" si="1"/>
        <v>25</v>
      </c>
      <c r="AI3" s="74">
        <f t="shared" si="1"/>
        <v>26</v>
      </c>
      <c r="AJ3" s="74">
        <f t="shared" si="1"/>
        <v>27</v>
      </c>
      <c r="AK3" s="74">
        <f t="shared" si="1"/>
        <v>28</v>
      </c>
      <c r="AL3" s="74">
        <f t="shared" si="1"/>
        <v>29</v>
      </c>
      <c r="AM3" s="74">
        <f t="shared" si="1"/>
        <v>30</v>
      </c>
      <c r="AN3" s="74">
        <f t="shared" si="1"/>
        <v>31</v>
      </c>
      <c r="AO3" s="74">
        <f t="shared" si="1"/>
        <v>32</v>
      </c>
      <c r="AP3" s="74">
        <f t="shared" si="1"/>
        <v>33</v>
      </c>
      <c r="AQ3" s="74">
        <f t="shared" si="1"/>
        <v>34</v>
      </c>
      <c r="AR3" s="74">
        <f t="shared" si="1"/>
        <v>35</v>
      </c>
      <c r="AS3" s="74">
        <f t="shared" si="1"/>
        <v>36</v>
      </c>
      <c r="AT3" s="74">
        <f t="shared" si="1"/>
        <v>37</v>
      </c>
      <c r="AU3" s="74">
        <f t="shared" si="1"/>
        <v>38</v>
      </c>
      <c r="AV3" s="74">
        <f t="shared" si="1"/>
        <v>39</v>
      </c>
      <c r="AW3" s="74">
        <f t="shared" si="1"/>
        <v>40</v>
      </c>
      <c r="AX3" s="74">
        <f t="shared" si="1"/>
        <v>41</v>
      </c>
      <c r="AY3" s="74">
        <f t="shared" si="1"/>
        <v>42</v>
      </c>
      <c r="AZ3" s="74">
        <f t="shared" si="1"/>
        <v>43</v>
      </c>
    </row>
    <row r="4" spans="1:52" s="78" customFormat="1" x14ac:dyDescent="0.2">
      <c r="C4" s="79"/>
      <c r="D4" s="80"/>
      <c r="E4" s="78" t="str">
        <f t="shared" ref="E4:AZ4" si="2">E$13</f>
        <v>Construction period month ending</v>
      </c>
      <c r="F4" s="80">
        <f t="shared" si="2"/>
        <v>0</v>
      </c>
      <c r="G4" s="78">
        <f t="shared" si="2"/>
        <v>0</v>
      </c>
      <c r="H4" s="80">
        <f t="shared" si="2"/>
        <v>0</v>
      </c>
      <c r="I4" s="78">
        <f t="shared" si="2"/>
        <v>0</v>
      </c>
      <c r="J4" s="78">
        <f t="shared" si="2"/>
        <v>41698</v>
      </c>
      <c r="K4" s="78">
        <f t="shared" si="2"/>
        <v>41729</v>
      </c>
      <c r="L4" s="78">
        <f t="shared" si="2"/>
        <v>41759</v>
      </c>
      <c r="M4" s="78">
        <f t="shared" si="2"/>
        <v>41790</v>
      </c>
      <c r="N4" s="78">
        <f t="shared" si="2"/>
        <v>41820</v>
      </c>
      <c r="O4" s="78">
        <f t="shared" si="2"/>
        <v>41851</v>
      </c>
      <c r="P4" s="78">
        <f t="shared" si="2"/>
        <v>41882</v>
      </c>
      <c r="Q4" s="78">
        <f t="shared" si="2"/>
        <v>41912</v>
      </c>
      <c r="R4" s="78">
        <f t="shared" si="2"/>
        <v>41943</v>
      </c>
      <c r="S4" s="78">
        <f t="shared" si="2"/>
        <v>41973</v>
      </c>
      <c r="T4" s="78">
        <f t="shared" si="2"/>
        <v>42004</v>
      </c>
      <c r="U4" s="78">
        <f t="shared" si="2"/>
        <v>42035</v>
      </c>
      <c r="V4" s="78">
        <f t="shared" si="2"/>
        <v>42063</v>
      </c>
      <c r="W4" s="78">
        <f t="shared" si="2"/>
        <v>42094</v>
      </c>
      <c r="X4" s="78">
        <f t="shared" si="2"/>
        <v>42124</v>
      </c>
      <c r="Y4" s="78">
        <f t="shared" si="2"/>
        <v>42155</v>
      </c>
      <c r="Z4" s="78">
        <f t="shared" si="2"/>
        <v>42185</v>
      </c>
      <c r="AA4" s="78">
        <f t="shared" si="2"/>
        <v>42216</v>
      </c>
      <c r="AB4" s="78">
        <f t="shared" si="2"/>
        <v>42247</v>
      </c>
      <c r="AC4" s="78">
        <f t="shared" si="2"/>
        <v>42277</v>
      </c>
      <c r="AD4" s="78">
        <f t="shared" si="2"/>
        <v>42308</v>
      </c>
      <c r="AE4" s="78">
        <f t="shared" si="2"/>
        <v>42338</v>
      </c>
      <c r="AF4" s="78">
        <f t="shared" si="2"/>
        <v>42369</v>
      </c>
      <c r="AG4" s="78">
        <f t="shared" si="2"/>
        <v>42400</v>
      </c>
      <c r="AH4" s="78">
        <f t="shared" si="2"/>
        <v>42429</v>
      </c>
      <c r="AI4" s="78">
        <f t="shared" si="2"/>
        <v>42460</v>
      </c>
      <c r="AJ4" s="78">
        <f t="shared" si="2"/>
        <v>42490</v>
      </c>
      <c r="AK4" s="78">
        <f t="shared" si="2"/>
        <v>42521</v>
      </c>
      <c r="AL4" s="78">
        <f t="shared" si="2"/>
        <v>42551</v>
      </c>
      <c r="AM4" s="78">
        <f t="shared" si="2"/>
        <v>42582</v>
      </c>
      <c r="AN4" s="78">
        <f t="shared" si="2"/>
        <v>42613</v>
      </c>
      <c r="AO4" s="78">
        <f t="shared" si="2"/>
        <v>42643</v>
      </c>
      <c r="AP4" s="78">
        <f t="shared" si="2"/>
        <v>42674</v>
      </c>
      <c r="AQ4" s="78">
        <f t="shared" si="2"/>
        <v>42704</v>
      </c>
      <c r="AR4" s="78">
        <f t="shared" si="2"/>
        <v>42735</v>
      </c>
      <c r="AS4" s="78">
        <f t="shared" si="2"/>
        <v>42766</v>
      </c>
      <c r="AT4" s="78">
        <f t="shared" si="2"/>
        <v>42794</v>
      </c>
      <c r="AU4" s="78">
        <f t="shared" si="2"/>
        <v>42825</v>
      </c>
      <c r="AV4" s="78">
        <f t="shared" si="2"/>
        <v>42855</v>
      </c>
      <c r="AW4" s="78">
        <f t="shared" si="2"/>
        <v>42886</v>
      </c>
      <c r="AX4" s="78">
        <f t="shared" si="2"/>
        <v>42916</v>
      </c>
      <c r="AY4" s="78">
        <f t="shared" si="2"/>
        <v>42947</v>
      </c>
      <c r="AZ4" s="78">
        <f t="shared" si="2"/>
        <v>42978</v>
      </c>
    </row>
    <row r="6" spans="1:52" x14ac:dyDescent="0.2">
      <c r="A6" s="81" t="s">
        <v>205</v>
      </c>
    </row>
    <row r="8" spans="1:52" s="140" customFormat="1" x14ac:dyDescent="0.2">
      <c r="A8" s="137"/>
      <c r="B8" s="145"/>
      <c r="C8" s="146"/>
      <c r="D8" s="139"/>
      <c r="E8" s="140" t="s">
        <v>175</v>
      </c>
      <c r="I8" s="223"/>
      <c r="J8" s="140">
        <f t="shared" ref="J8:AZ8" si="3" xml:space="preserve"> I8 + 1</f>
        <v>1</v>
      </c>
      <c r="K8" s="140">
        <f t="shared" si="3"/>
        <v>2</v>
      </c>
      <c r="L8" s="140">
        <f t="shared" si="3"/>
        <v>3</v>
      </c>
      <c r="M8" s="140">
        <f t="shared" si="3"/>
        <v>4</v>
      </c>
      <c r="N8" s="140">
        <f t="shared" si="3"/>
        <v>5</v>
      </c>
      <c r="O8" s="140">
        <f t="shared" si="3"/>
        <v>6</v>
      </c>
      <c r="P8" s="140">
        <f t="shared" si="3"/>
        <v>7</v>
      </c>
      <c r="Q8" s="140">
        <f t="shared" si="3"/>
        <v>8</v>
      </c>
      <c r="R8" s="140">
        <f t="shared" si="3"/>
        <v>9</v>
      </c>
      <c r="S8" s="140">
        <f t="shared" si="3"/>
        <v>10</v>
      </c>
      <c r="T8" s="140">
        <f t="shared" si="3"/>
        <v>11</v>
      </c>
      <c r="U8" s="140">
        <f t="shared" si="3"/>
        <v>12</v>
      </c>
      <c r="V8" s="140">
        <f t="shared" si="3"/>
        <v>13</v>
      </c>
      <c r="W8" s="140">
        <f t="shared" si="3"/>
        <v>14</v>
      </c>
      <c r="X8" s="140">
        <f t="shared" si="3"/>
        <v>15</v>
      </c>
      <c r="Y8" s="140">
        <f t="shared" si="3"/>
        <v>16</v>
      </c>
      <c r="Z8" s="140">
        <f t="shared" si="3"/>
        <v>17</v>
      </c>
      <c r="AA8" s="140">
        <f t="shared" si="3"/>
        <v>18</v>
      </c>
      <c r="AB8" s="140">
        <f t="shared" si="3"/>
        <v>19</v>
      </c>
      <c r="AC8" s="140">
        <f t="shared" si="3"/>
        <v>20</v>
      </c>
      <c r="AD8" s="140">
        <f t="shared" si="3"/>
        <v>21</v>
      </c>
      <c r="AE8" s="140">
        <f t="shared" si="3"/>
        <v>22</v>
      </c>
      <c r="AF8" s="248">
        <f t="shared" si="3"/>
        <v>23</v>
      </c>
      <c r="AG8" s="140">
        <f t="shared" si="3"/>
        <v>24</v>
      </c>
      <c r="AH8" s="140">
        <f t="shared" si="3"/>
        <v>25</v>
      </c>
      <c r="AI8" s="140">
        <f t="shared" si="3"/>
        <v>26</v>
      </c>
      <c r="AJ8" s="140">
        <f t="shared" si="3"/>
        <v>27</v>
      </c>
      <c r="AK8" s="140">
        <f t="shared" si="3"/>
        <v>28</v>
      </c>
      <c r="AL8" s="140">
        <f t="shared" si="3"/>
        <v>29</v>
      </c>
      <c r="AM8" s="140">
        <f t="shared" si="3"/>
        <v>30</v>
      </c>
      <c r="AN8" s="140">
        <f t="shared" si="3"/>
        <v>31</v>
      </c>
      <c r="AO8" s="140">
        <f t="shared" si="3"/>
        <v>32</v>
      </c>
      <c r="AP8" s="140">
        <f t="shared" si="3"/>
        <v>33</v>
      </c>
      <c r="AQ8" s="140">
        <f t="shared" si="3"/>
        <v>34</v>
      </c>
      <c r="AR8" s="140">
        <f t="shared" si="3"/>
        <v>35</v>
      </c>
      <c r="AS8" s="140">
        <f t="shared" si="3"/>
        <v>36</v>
      </c>
      <c r="AT8" s="140">
        <f t="shared" si="3"/>
        <v>37</v>
      </c>
      <c r="AU8" s="140">
        <f t="shared" si="3"/>
        <v>38</v>
      </c>
      <c r="AV8" s="140">
        <f t="shared" si="3"/>
        <v>39</v>
      </c>
      <c r="AW8" s="140">
        <f t="shared" si="3"/>
        <v>40</v>
      </c>
      <c r="AX8" s="140">
        <f t="shared" si="3"/>
        <v>41</v>
      </c>
      <c r="AY8" s="140">
        <f t="shared" si="3"/>
        <v>42</v>
      </c>
      <c r="AZ8" s="140">
        <f t="shared" si="3"/>
        <v>43</v>
      </c>
    </row>
    <row r="9" spans="1:52" x14ac:dyDescent="0.2">
      <c r="E9" s="85" t="s">
        <v>176</v>
      </c>
      <c r="J9" s="85">
        <f t="shared" ref="J9:AZ9" si="4" xml:space="preserve"> J8 - 1</f>
        <v>0</v>
      </c>
      <c r="K9" s="85">
        <f t="shared" si="4"/>
        <v>1</v>
      </c>
      <c r="L9" s="85">
        <f t="shared" si="4"/>
        <v>2</v>
      </c>
      <c r="M9" s="85">
        <f t="shared" si="4"/>
        <v>3</v>
      </c>
      <c r="N9" s="85">
        <f t="shared" si="4"/>
        <v>4</v>
      </c>
      <c r="O9" s="85">
        <f t="shared" si="4"/>
        <v>5</v>
      </c>
      <c r="P9" s="85">
        <f t="shared" si="4"/>
        <v>6</v>
      </c>
      <c r="Q9" s="85">
        <f t="shared" si="4"/>
        <v>7</v>
      </c>
      <c r="R9" s="85">
        <f t="shared" si="4"/>
        <v>8</v>
      </c>
      <c r="S9" s="85">
        <f t="shared" si="4"/>
        <v>9</v>
      </c>
      <c r="T9" s="85">
        <f t="shared" si="4"/>
        <v>10</v>
      </c>
      <c r="U9" s="85">
        <f t="shared" si="4"/>
        <v>11</v>
      </c>
      <c r="V9" s="85">
        <f t="shared" si="4"/>
        <v>12</v>
      </c>
      <c r="W9" s="85">
        <f t="shared" si="4"/>
        <v>13</v>
      </c>
      <c r="X9" s="85">
        <f t="shared" si="4"/>
        <v>14</v>
      </c>
      <c r="Y9" s="85">
        <f t="shared" si="4"/>
        <v>15</v>
      </c>
      <c r="Z9" s="85">
        <f t="shared" si="4"/>
        <v>16</v>
      </c>
      <c r="AA9" s="85">
        <f t="shared" si="4"/>
        <v>17</v>
      </c>
      <c r="AB9" s="85">
        <f t="shared" si="4"/>
        <v>18</v>
      </c>
      <c r="AC9" s="85">
        <f t="shared" si="4"/>
        <v>19</v>
      </c>
      <c r="AD9" s="85">
        <f t="shared" si="4"/>
        <v>20</v>
      </c>
      <c r="AE9" s="85">
        <f t="shared" si="4"/>
        <v>21</v>
      </c>
      <c r="AF9" s="135">
        <f t="shared" si="4"/>
        <v>22</v>
      </c>
      <c r="AG9" s="85">
        <f t="shared" si="4"/>
        <v>23</v>
      </c>
      <c r="AH9" s="85">
        <f t="shared" si="4"/>
        <v>24</v>
      </c>
      <c r="AI9" s="85">
        <f t="shared" si="4"/>
        <v>25</v>
      </c>
      <c r="AJ9" s="85">
        <f t="shared" si="4"/>
        <v>26</v>
      </c>
      <c r="AK9" s="85">
        <f t="shared" si="4"/>
        <v>27</v>
      </c>
      <c r="AL9" s="85">
        <f t="shared" si="4"/>
        <v>28</v>
      </c>
      <c r="AM9" s="85">
        <f t="shared" si="4"/>
        <v>29</v>
      </c>
      <c r="AN9" s="85">
        <f t="shared" si="4"/>
        <v>30</v>
      </c>
      <c r="AO9" s="85">
        <f t="shared" si="4"/>
        <v>31</v>
      </c>
      <c r="AP9" s="85">
        <f t="shared" si="4"/>
        <v>32</v>
      </c>
      <c r="AQ9" s="85">
        <f t="shared" si="4"/>
        <v>33</v>
      </c>
      <c r="AR9" s="85">
        <f t="shared" si="4"/>
        <v>34</v>
      </c>
      <c r="AS9" s="85">
        <f t="shared" si="4"/>
        <v>35</v>
      </c>
      <c r="AT9" s="85">
        <f t="shared" si="4"/>
        <v>36</v>
      </c>
      <c r="AU9" s="85">
        <f t="shared" si="4"/>
        <v>37</v>
      </c>
      <c r="AV9" s="85">
        <f t="shared" si="4"/>
        <v>38</v>
      </c>
      <c r="AW9" s="85">
        <f t="shared" si="4"/>
        <v>39</v>
      </c>
      <c r="AX9" s="85">
        <f t="shared" si="4"/>
        <v>40</v>
      </c>
      <c r="AY9" s="85">
        <f t="shared" si="4"/>
        <v>41</v>
      </c>
      <c r="AZ9" s="85">
        <f t="shared" si="4"/>
        <v>42</v>
      </c>
    </row>
    <row r="11" spans="1:52" s="256" customFormat="1" x14ac:dyDescent="0.2">
      <c r="A11" s="226"/>
      <c r="B11" s="225"/>
      <c r="C11" s="246"/>
      <c r="D11" s="255"/>
      <c r="E11" s="256" t="str">
        <f>InpC!E$10</f>
        <v>Financial close date</v>
      </c>
      <c r="F11" s="256">
        <f>InpC!F$10</f>
        <v>41698</v>
      </c>
      <c r="G11" s="256" t="str">
        <f>InpC!G$10</f>
        <v>EOM</v>
      </c>
      <c r="AF11" s="250"/>
    </row>
    <row r="12" spans="1:52" s="87" customFormat="1" x14ac:dyDescent="0.2">
      <c r="A12" s="81"/>
      <c r="B12" s="82"/>
      <c r="C12" s="83"/>
      <c r="D12" s="86"/>
      <c r="E12" s="87" t="str">
        <f xml:space="preserve"> E$9</f>
        <v>Construction period month no.</v>
      </c>
      <c r="F12" s="87">
        <f t="shared" ref="F12:AZ12" si="5" xml:space="preserve"> F$9</f>
        <v>0</v>
      </c>
      <c r="G12" s="87">
        <f t="shared" si="5"/>
        <v>0</v>
      </c>
      <c r="H12" s="87">
        <f t="shared" si="5"/>
        <v>0</v>
      </c>
      <c r="I12" s="87">
        <f t="shared" si="5"/>
        <v>0</v>
      </c>
      <c r="J12" s="87">
        <f t="shared" si="5"/>
        <v>0</v>
      </c>
      <c r="K12" s="87">
        <f t="shared" si="5"/>
        <v>1</v>
      </c>
      <c r="L12" s="87">
        <f t="shared" si="5"/>
        <v>2</v>
      </c>
      <c r="M12" s="87">
        <f t="shared" si="5"/>
        <v>3</v>
      </c>
      <c r="N12" s="87">
        <f t="shared" si="5"/>
        <v>4</v>
      </c>
      <c r="O12" s="87">
        <f t="shared" si="5"/>
        <v>5</v>
      </c>
      <c r="P12" s="87">
        <f t="shared" si="5"/>
        <v>6</v>
      </c>
      <c r="Q12" s="87">
        <f t="shared" si="5"/>
        <v>7</v>
      </c>
      <c r="R12" s="87">
        <f t="shared" si="5"/>
        <v>8</v>
      </c>
      <c r="S12" s="87">
        <f t="shared" si="5"/>
        <v>9</v>
      </c>
      <c r="T12" s="87">
        <f t="shared" si="5"/>
        <v>10</v>
      </c>
      <c r="U12" s="87">
        <f t="shared" si="5"/>
        <v>11</v>
      </c>
      <c r="V12" s="87">
        <f t="shared" si="5"/>
        <v>12</v>
      </c>
      <c r="W12" s="87">
        <f t="shared" si="5"/>
        <v>13</v>
      </c>
      <c r="X12" s="87">
        <f t="shared" si="5"/>
        <v>14</v>
      </c>
      <c r="Y12" s="87">
        <f t="shared" si="5"/>
        <v>15</v>
      </c>
      <c r="Z12" s="87">
        <f t="shared" si="5"/>
        <v>16</v>
      </c>
      <c r="AA12" s="87">
        <f t="shared" si="5"/>
        <v>17</v>
      </c>
      <c r="AB12" s="87">
        <f t="shared" si="5"/>
        <v>18</v>
      </c>
      <c r="AC12" s="87">
        <f t="shared" si="5"/>
        <v>19</v>
      </c>
      <c r="AD12" s="87">
        <f t="shared" si="5"/>
        <v>20</v>
      </c>
      <c r="AE12" s="87">
        <f t="shared" si="5"/>
        <v>21</v>
      </c>
      <c r="AF12" s="87">
        <f t="shared" si="5"/>
        <v>22</v>
      </c>
      <c r="AG12" s="87">
        <f t="shared" si="5"/>
        <v>23</v>
      </c>
      <c r="AH12" s="87">
        <f t="shared" si="5"/>
        <v>24</v>
      </c>
      <c r="AI12" s="87">
        <f t="shared" si="5"/>
        <v>25</v>
      </c>
      <c r="AJ12" s="87">
        <f t="shared" si="5"/>
        <v>26</v>
      </c>
      <c r="AK12" s="87">
        <f t="shared" si="5"/>
        <v>27</v>
      </c>
      <c r="AL12" s="87">
        <f t="shared" si="5"/>
        <v>28</v>
      </c>
      <c r="AM12" s="87">
        <f t="shared" si="5"/>
        <v>29</v>
      </c>
      <c r="AN12" s="87">
        <f t="shared" si="5"/>
        <v>30</v>
      </c>
      <c r="AO12" s="87">
        <f t="shared" si="5"/>
        <v>31</v>
      </c>
      <c r="AP12" s="87">
        <f t="shared" si="5"/>
        <v>32</v>
      </c>
      <c r="AQ12" s="87">
        <f t="shared" si="5"/>
        <v>33</v>
      </c>
      <c r="AR12" s="87">
        <f t="shared" si="5"/>
        <v>34</v>
      </c>
      <c r="AS12" s="87">
        <f t="shared" si="5"/>
        <v>35</v>
      </c>
      <c r="AT12" s="87">
        <f t="shared" si="5"/>
        <v>36</v>
      </c>
      <c r="AU12" s="87">
        <f t="shared" si="5"/>
        <v>37</v>
      </c>
      <c r="AV12" s="87">
        <f t="shared" si="5"/>
        <v>38</v>
      </c>
      <c r="AW12" s="87">
        <f t="shared" si="5"/>
        <v>39</v>
      </c>
      <c r="AX12" s="87">
        <f t="shared" si="5"/>
        <v>40</v>
      </c>
      <c r="AY12" s="87">
        <f t="shared" si="5"/>
        <v>41</v>
      </c>
      <c r="AZ12" s="87">
        <f t="shared" si="5"/>
        <v>42</v>
      </c>
    </row>
    <row r="13" spans="1:52" s="234" customFormat="1" x14ac:dyDescent="0.2">
      <c r="A13" s="231"/>
      <c r="B13" s="231"/>
      <c r="C13" s="232"/>
      <c r="D13" s="233"/>
      <c r="E13" s="234" t="s">
        <v>203</v>
      </c>
      <c r="J13" s="234">
        <f t="shared" ref="J13" si="6" xml:space="preserve"> IF( J12 = 0, $F11, EOMONTH(I13, 1))</f>
        <v>41698</v>
      </c>
      <c r="K13" s="234">
        <f xml:space="preserve"> IF( K12 = 0, $F11, EOMONTH(J13, 1))</f>
        <v>41729</v>
      </c>
      <c r="L13" s="234">
        <f t="shared" ref="L13:AZ13" si="7" xml:space="preserve"> IF( L12 = 0, $F11, EOMONTH(K13, 1))</f>
        <v>41759</v>
      </c>
      <c r="M13" s="234">
        <f t="shared" si="7"/>
        <v>41790</v>
      </c>
      <c r="N13" s="234">
        <f t="shared" si="7"/>
        <v>41820</v>
      </c>
      <c r="O13" s="234">
        <f t="shared" si="7"/>
        <v>41851</v>
      </c>
      <c r="P13" s="234">
        <f t="shared" si="7"/>
        <v>41882</v>
      </c>
      <c r="Q13" s="234">
        <f t="shared" si="7"/>
        <v>41912</v>
      </c>
      <c r="R13" s="234">
        <f t="shared" si="7"/>
        <v>41943</v>
      </c>
      <c r="S13" s="234">
        <f t="shared" si="7"/>
        <v>41973</v>
      </c>
      <c r="T13" s="234">
        <f t="shared" si="7"/>
        <v>42004</v>
      </c>
      <c r="U13" s="234">
        <f t="shared" si="7"/>
        <v>42035</v>
      </c>
      <c r="V13" s="234">
        <f t="shared" si="7"/>
        <v>42063</v>
      </c>
      <c r="W13" s="234">
        <f t="shared" si="7"/>
        <v>42094</v>
      </c>
      <c r="X13" s="234">
        <f t="shared" si="7"/>
        <v>42124</v>
      </c>
      <c r="Y13" s="234">
        <f t="shared" si="7"/>
        <v>42155</v>
      </c>
      <c r="Z13" s="234">
        <f t="shared" si="7"/>
        <v>42185</v>
      </c>
      <c r="AA13" s="234">
        <f t="shared" si="7"/>
        <v>42216</v>
      </c>
      <c r="AB13" s="234">
        <f t="shared" si="7"/>
        <v>42247</v>
      </c>
      <c r="AC13" s="234">
        <f t="shared" si="7"/>
        <v>42277</v>
      </c>
      <c r="AD13" s="234">
        <f t="shared" si="7"/>
        <v>42308</v>
      </c>
      <c r="AE13" s="234">
        <f t="shared" si="7"/>
        <v>42338</v>
      </c>
      <c r="AF13" s="234">
        <f t="shared" si="7"/>
        <v>42369</v>
      </c>
      <c r="AG13" s="234">
        <f t="shared" si="7"/>
        <v>42400</v>
      </c>
      <c r="AH13" s="234">
        <f t="shared" si="7"/>
        <v>42429</v>
      </c>
      <c r="AI13" s="234">
        <f t="shared" si="7"/>
        <v>42460</v>
      </c>
      <c r="AJ13" s="234">
        <f t="shared" si="7"/>
        <v>42490</v>
      </c>
      <c r="AK13" s="234">
        <f t="shared" si="7"/>
        <v>42521</v>
      </c>
      <c r="AL13" s="234">
        <f t="shared" si="7"/>
        <v>42551</v>
      </c>
      <c r="AM13" s="234">
        <f t="shared" si="7"/>
        <v>42582</v>
      </c>
      <c r="AN13" s="234">
        <f t="shared" si="7"/>
        <v>42613</v>
      </c>
      <c r="AO13" s="234">
        <f t="shared" si="7"/>
        <v>42643</v>
      </c>
      <c r="AP13" s="234">
        <f t="shared" si="7"/>
        <v>42674</v>
      </c>
      <c r="AQ13" s="234">
        <f t="shared" si="7"/>
        <v>42704</v>
      </c>
      <c r="AR13" s="234">
        <f t="shared" si="7"/>
        <v>42735</v>
      </c>
      <c r="AS13" s="234">
        <f t="shared" si="7"/>
        <v>42766</v>
      </c>
      <c r="AT13" s="234">
        <f t="shared" si="7"/>
        <v>42794</v>
      </c>
      <c r="AU13" s="234">
        <f t="shared" si="7"/>
        <v>42825</v>
      </c>
      <c r="AV13" s="234">
        <f t="shared" si="7"/>
        <v>42855</v>
      </c>
      <c r="AW13" s="234">
        <f t="shared" si="7"/>
        <v>42886</v>
      </c>
      <c r="AX13" s="234">
        <f t="shared" si="7"/>
        <v>42916</v>
      </c>
      <c r="AY13" s="234">
        <f t="shared" si="7"/>
        <v>42947</v>
      </c>
      <c r="AZ13" s="234">
        <f t="shared" si="7"/>
        <v>42978</v>
      </c>
    </row>
    <row r="15" spans="1:52" s="256" customFormat="1" x14ac:dyDescent="0.2">
      <c r="A15" s="226"/>
      <c r="B15" s="225"/>
      <c r="C15" s="246"/>
      <c r="D15" s="255"/>
      <c r="E15" s="256" t="str">
        <f>InpC!E$10</f>
        <v>Financial close date</v>
      </c>
      <c r="F15" s="256">
        <f>InpC!F$10</f>
        <v>41698</v>
      </c>
      <c r="G15" s="256" t="str">
        <f>InpC!G$10</f>
        <v>EOM</v>
      </c>
      <c r="AF15" s="250"/>
    </row>
    <row r="16" spans="1:52" s="256" customFormat="1" x14ac:dyDescent="0.2">
      <c r="A16" s="226"/>
      <c r="B16" s="225"/>
      <c r="C16" s="246"/>
      <c r="D16" s="255"/>
      <c r="E16" s="256" t="str">
        <f>InpC!E$12</f>
        <v>Construction period end / conversion date</v>
      </c>
      <c r="F16" s="256">
        <f>InpC!F$12</f>
        <v>42369</v>
      </c>
      <c r="G16" s="256" t="str">
        <f>InpC!G$12</f>
        <v>date</v>
      </c>
      <c r="AF16" s="250"/>
    </row>
    <row r="17" spans="1:52" s="309" customFormat="1" x14ac:dyDescent="0.2">
      <c r="A17" s="240"/>
      <c r="B17" s="236"/>
      <c r="C17" s="273"/>
      <c r="D17" s="308"/>
      <c r="E17" s="309" t="str">
        <f xml:space="preserve"> E$13</f>
        <v>Construction period month ending</v>
      </c>
      <c r="F17" s="309">
        <f t="shared" ref="F17:AZ17" si="8" xml:space="preserve"> F$13</f>
        <v>0</v>
      </c>
      <c r="G17" s="309">
        <f t="shared" si="8"/>
        <v>0</v>
      </c>
      <c r="H17" s="309">
        <f t="shared" si="8"/>
        <v>0</v>
      </c>
      <c r="I17" s="309">
        <f t="shared" si="8"/>
        <v>0</v>
      </c>
      <c r="J17" s="309">
        <f t="shared" si="8"/>
        <v>41698</v>
      </c>
      <c r="K17" s="309">
        <f t="shared" si="8"/>
        <v>41729</v>
      </c>
      <c r="L17" s="309">
        <f t="shared" si="8"/>
        <v>41759</v>
      </c>
      <c r="M17" s="309">
        <f t="shared" si="8"/>
        <v>41790</v>
      </c>
      <c r="N17" s="309">
        <f t="shared" si="8"/>
        <v>41820</v>
      </c>
      <c r="O17" s="309">
        <f t="shared" si="8"/>
        <v>41851</v>
      </c>
      <c r="P17" s="309">
        <f t="shared" si="8"/>
        <v>41882</v>
      </c>
      <c r="Q17" s="309">
        <f t="shared" si="8"/>
        <v>41912</v>
      </c>
      <c r="R17" s="309">
        <f t="shared" si="8"/>
        <v>41943</v>
      </c>
      <c r="S17" s="309">
        <f t="shared" si="8"/>
        <v>41973</v>
      </c>
      <c r="T17" s="309">
        <f t="shared" si="8"/>
        <v>42004</v>
      </c>
      <c r="U17" s="309">
        <f t="shared" si="8"/>
        <v>42035</v>
      </c>
      <c r="V17" s="309">
        <f t="shared" si="8"/>
        <v>42063</v>
      </c>
      <c r="W17" s="309">
        <f t="shared" si="8"/>
        <v>42094</v>
      </c>
      <c r="X17" s="309">
        <f t="shared" si="8"/>
        <v>42124</v>
      </c>
      <c r="Y17" s="309">
        <f t="shared" si="8"/>
        <v>42155</v>
      </c>
      <c r="Z17" s="309">
        <f t="shared" si="8"/>
        <v>42185</v>
      </c>
      <c r="AA17" s="309">
        <f t="shared" si="8"/>
        <v>42216</v>
      </c>
      <c r="AB17" s="309">
        <f t="shared" si="8"/>
        <v>42247</v>
      </c>
      <c r="AC17" s="309">
        <f t="shared" si="8"/>
        <v>42277</v>
      </c>
      <c r="AD17" s="309">
        <f t="shared" si="8"/>
        <v>42308</v>
      </c>
      <c r="AE17" s="309">
        <f t="shared" si="8"/>
        <v>42338</v>
      </c>
      <c r="AF17" s="309">
        <f t="shared" si="8"/>
        <v>42369</v>
      </c>
      <c r="AG17" s="309">
        <f t="shared" si="8"/>
        <v>42400</v>
      </c>
      <c r="AH17" s="309">
        <f t="shared" si="8"/>
        <v>42429</v>
      </c>
      <c r="AI17" s="309">
        <f t="shared" si="8"/>
        <v>42460</v>
      </c>
      <c r="AJ17" s="309">
        <f t="shared" si="8"/>
        <v>42490</v>
      </c>
      <c r="AK17" s="309">
        <f t="shared" si="8"/>
        <v>42521</v>
      </c>
      <c r="AL17" s="309">
        <f t="shared" si="8"/>
        <v>42551</v>
      </c>
      <c r="AM17" s="309">
        <f t="shared" si="8"/>
        <v>42582</v>
      </c>
      <c r="AN17" s="309">
        <f t="shared" si="8"/>
        <v>42613</v>
      </c>
      <c r="AO17" s="309">
        <f t="shared" si="8"/>
        <v>42643</v>
      </c>
      <c r="AP17" s="309">
        <f t="shared" si="8"/>
        <v>42674</v>
      </c>
      <c r="AQ17" s="309">
        <f t="shared" si="8"/>
        <v>42704</v>
      </c>
      <c r="AR17" s="309">
        <f t="shared" si="8"/>
        <v>42735</v>
      </c>
      <c r="AS17" s="309">
        <f t="shared" si="8"/>
        <v>42766</v>
      </c>
      <c r="AT17" s="309">
        <f t="shared" si="8"/>
        <v>42794</v>
      </c>
      <c r="AU17" s="309">
        <f t="shared" si="8"/>
        <v>42825</v>
      </c>
      <c r="AV17" s="309">
        <f t="shared" si="8"/>
        <v>42855</v>
      </c>
      <c r="AW17" s="309">
        <f t="shared" si="8"/>
        <v>42886</v>
      </c>
      <c r="AX17" s="309">
        <f t="shared" si="8"/>
        <v>42916</v>
      </c>
      <c r="AY17" s="309">
        <f t="shared" si="8"/>
        <v>42947</v>
      </c>
      <c r="AZ17" s="309">
        <f t="shared" si="8"/>
        <v>42978</v>
      </c>
    </row>
    <row r="18" spans="1:52" s="248" customFormat="1" x14ac:dyDescent="0.2">
      <c r="A18" s="145"/>
      <c r="B18" s="145"/>
      <c r="C18" s="146"/>
      <c r="D18" s="310"/>
      <c r="E18" s="248" t="s">
        <v>212</v>
      </c>
      <c r="H18" s="248">
        <f>SUM(J18:AZ18)</f>
        <v>22</v>
      </c>
      <c r="J18" s="248">
        <f xml:space="preserve"> IF( AND(J17 &gt; $F15, J17 &lt;= $F16), 1, 0)</f>
        <v>0</v>
      </c>
      <c r="K18" s="248">
        <f t="shared" ref="K18:AZ18" si="9" xml:space="preserve"> IF( AND(K17 &gt; $F15, K17 &lt;= $F16), 1, 0)</f>
        <v>1</v>
      </c>
      <c r="L18" s="248">
        <f t="shared" si="9"/>
        <v>1</v>
      </c>
      <c r="M18" s="248">
        <f t="shared" si="9"/>
        <v>1</v>
      </c>
      <c r="N18" s="248">
        <f t="shared" si="9"/>
        <v>1</v>
      </c>
      <c r="O18" s="248">
        <f t="shared" si="9"/>
        <v>1</v>
      </c>
      <c r="P18" s="248">
        <f t="shared" si="9"/>
        <v>1</v>
      </c>
      <c r="Q18" s="248">
        <f t="shared" si="9"/>
        <v>1</v>
      </c>
      <c r="R18" s="248">
        <f t="shared" si="9"/>
        <v>1</v>
      </c>
      <c r="S18" s="248">
        <f t="shared" si="9"/>
        <v>1</v>
      </c>
      <c r="T18" s="248">
        <f t="shared" si="9"/>
        <v>1</v>
      </c>
      <c r="U18" s="248">
        <f t="shared" si="9"/>
        <v>1</v>
      </c>
      <c r="V18" s="248">
        <f t="shared" si="9"/>
        <v>1</v>
      </c>
      <c r="W18" s="248">
        <f t="shared" si="9"/>
        <v>1</v>
      </c>
      <c r="X18" s="248">
        <f t="shared" si="9"/>
        <v>1</v>
      </c>
      <c r="Y18" s="248">
        <f t="shared" si="9"/>
        <v>1</v>
      </c>
      <c r="Z18" s="248">
        <f t="shared" si="9"/>
        <v>1</v>
      </c>
      <c r="AA18" s="248">
        <f t="shared" si="9"/>
        <v>1</v>
      </c>
      <c r="AB18" s="248">
        <f t="shared" si="9"/>
        <v>1</v>
      </c>
      <c r="AC18" s="248">
        <f t="shared" si="9"/>
        <v>1</v>
      </c>
      <c r="AD18" s="248">
        <f t="shared" si="9"/>
        <v>1</v>
      </c>
      <c r="AE18" s="248">
        <f t="shared" si="9"/>
        <v>1</v>
      </c>
      <c r="AF18" s="248">
        <f t="shared" si="9"/>
        <v>1</v>
      </c>
      <c r="AG18" s="248">
        <f t="shared" si="9"/>
        <v>0</v>
      </c>
      <c r="AH18" s="248">
        <f t="shared" si="9"/>
        <v>0</v>
      </c>
      <c r="AI18" s="248">
        <f t="shared" si="9"/>
        <v>0</v>
      </c>
      <c r="AJ18" s="248">
        <f t="shared" si="9"/>
        <v>0</v>
      </c>
      <c r="AK18" s="248">
        <f t="shared" si="9"/>
        <v>0</v>
      </c>
      <c r="AL18" s="248">
        <f t="shared" si="9"/>
        <v>0</v>
      </c>
      <c r="AM18" s="248">
        <f t="shared" si="9"/>
        <v>0</v>
      </c>
      <c r="AN18" s="248">
        <f t="shared" si="9"/>
        <v>0</v>
      </c>
      <c r="AO18" s="248">
        <f t="shared" si="9"/>
        <v>0</v>
      </c>
      <c r="AP18" s="248">
        <f t="shared" si="9"/>
        <v>0</v>
      </c>
      <c r="AQ18" s="248">
        <f t="shared" si="9"/>
        <v>0</v>
      </c>
      <c r="AR18" s="248">
        <f t="shared" si="9"/>
        <v>0</v>
      </c>
      <c r="AS18" s="248">
        <f t="shared" si="9"/>
        <v>0</v>
      </c>
      <c r="AT18" s="248">
        <f t="shared" si="9"/>
        <v>0</v>
      </c>
      <c r="AU18" s="248">
        <f t="shared" si="9"/>
        <v>0</v>
      </c>
      <c r="AV18" s="248">
        <f t="shared" si="9"/>
        <v>0</v>
      </c>
      <c r="AW18" s="248">
        <f t="shared" si="9"/>
        <v>0</v>
      </c>
      <c r="AX18" s="248">
        <f t="shared" si="9"/>
        <v>0</v>
      </c>
      <c r="AY18" s="248">
        <f t="shared" si="9"/>
        <v>0</v>
      </c>
      <c r="AZ18" s="248">
        <f t="shared" si="9"/>
        <v>0</v>
      </c>
    </row>
    <row r="20" spans="1:52" s="256" customFormat="1" x14ac:dyDescent="0.2">
      <c r="A20" s="226"/>
      <c r="B20" s="225"/>
      <c r="C20" s="246"/>
      <c r="D20" s="255"/>
      <c r="E20" s="256" t="str">
        <f>InpC!E$10</f>
        <v>Financial close date</v>
      </c>
      <c r="F20" s="256">
        <f>InpC!F$10</f>
        <v>41698</v>
      </c>
      <c r="G20" s="256" t="str">
        <f>InpC!G$10</f>
        <v>EOM</v>
      </c>
      <c r="AF20" s="250"/>
    </row>
    <row r="21" spans="1:52" s="269" customFormat="1" x14ac:dyDescent="0.2">
      <c r="A21" s="240"/>
      <c r="B21" s="236"/>
      <c r="C21" s="273"/>
      <c r="D21" s="274"/>
      <c r="E21" s="269" t="str">
        <f t="shared" ref="E21:AZ21" si="10" xml:space="preserve"> E$13</f>
        <v>Construction period month ending</v>
      </c>
      <c r="F21" s="269">
        <f t="shared" si="10"/>
        <v>0</v>
      </c>
      <c r="G21" s="269">
        <f t="shared" si="10"/>
        <v>0</v>
      </c>
      <c r="H21" s="269">
        <f t="shared" si="10"/>
        <v>0</v>
      </c>
      <c r="I21" s="269">
        <f t="shared" si="10"/>
        <v>0</v>
      </c>
      <c r="J21" s="269">
        <f t="shared" si="10"/>
        <v>41698</v>
      </c>
      <c r="K21" s="269">
        <f t="shared" si="10"/>
        <v>41729</v>
      </c>
      <c r="L21" s="269">
        <f t="shared" si="10"/>
        <v>41759</v>
      </c>
      <c r="M21" s="269">
        <f t="shared" si="10"/>
        <v>41790</v>
      </c>
      <c r="N21" s="269">
        <f t="shared" si="10"/>
        <v>41820</v>
      </c>
      <c r="O21" s="269">
        <f t="shared" si="10"/>
        <v>41851</v>
      </c>
      <c r="P21" s="269">
        <f t="shared" si="10"/>
        <v>41882</v>
      </c>
      <c r="Q21" s="269">
        <f t="shared" si="10"/>
        <v>41912</v>
      </c>
      <c r="R21" s="269">
        <f t="shared" si="10"/>
        <v>41943</v>
      </c>
      <c r="S21" s="269">
        <f t="shared" si="10"/>
        <v>41973</v>
      </c>
      <c r="T21" s="269">
        <f t="shared" si="10"/>
        <v>42004</v>
      </c>
      <c r="U21" s="269">
        <f t="shared" si="10"/>
        <v>42035</v>
      </c>
      <c r="V21" s="269">
        <f t="shared" si="10"/>
        <v>42063</v>
      </c>
      <c r="W21" s="269">
        <f t="shared" si="10"/>
        <v>42094</v>
      </c>
      <c r="X21" s="269">
        <f t="shared" si="10"/>
        <v>42124</v>
      </c>
      <c r="Y21" s="269">
        <f t="shared" si="10"/>
        <v>42155</v>
      </c>
      <c r="Z21" s="269">
        <f t="shared" si="10"/>
        <v>42185</v>
      </c>
      <c r="AA21" s="269">
        <f t="shared" si="10"/>
        <v>42216</v>
      </c>
      <c r="AB21" s="269">
        <f t="shared" si="10"/>
        <v>42247</v>
      </c>
      <c r="AC21" s="269">
        <f t="shared" si="10"/>
        <v>42277</v>
      </c>
      <c r="AD21" s="269">
        <f t="shared" si="10"/>
        <v>42308</v>
      </c>
      <c r="AE21" s="269">
        <f t="shared" si="10"/>
        <v>42338</v>
      </c>
      <c r="AF21" s="269">
        <f t="shared" si="10"/>
        <v>42369</v>
      </c>
      <c r="AG21" s="269">
        <f t="shared" si="10"/>
        <v>42400</v>
      </c>
      <c r="AH21" s="269">
        <f t="shared" si="10"/>
        <v>42429</v>
      </c>
      <c r="AI21" s="269">
        <f t="shared" si="10"/>
        <v>42460</v>
      </c>
      <c r="AJ21" s="269">
        <f t="shared" si="10"/>
        <v>42490</v>
      </c>
      <c r="AK21" s="269">
        <f t="shared" si="10"/>
        <v>42521</v>
      </c>
      <c r="AL21" s="269">
        <f t="shared" si="10"/>
        <v>42551</v>
      </c>
      <c r="AM21" s="269">
        <f t="shared" si="10"/>
        <v>42582</v>
      </c>
      <c r="AN21" s="269">
        <f t="shared" si="10"/>
        <v>42613</v>
      </c>
      <c r="AO21" s="269">
        <f t="shared" si="10"/>
        <v>42643</v>
      </c>
      <c r="AP21" s="269">
        <f t="shared" si="10"/>
        <v>42674</v>
      </c>
      <c r="AQ21" s="269">
        <f t="shared" si="10"/>
        <v>42704</v>
      </c>
      <c r="AR21" s="269">
        <f t="shared" si="10"/>
        <v>42735</v>
      </c>
      <c r="AS21" s="269">
        <f t="shared" si="10"/>
        <v>42766</v>
      </c>
      <c r="AT21" s="269">
        <f t="shared" si="10"/>
        <v>42794</v>
      </c>
      <c r="AU21" s="269">
        <f t="shared" si="10"/>
        <v>42825</v>
      </c>
      <c r="AV21" s="269">
        <f t="shared" si="10"/>
        <v>42855</v>
      </c>
      <c r="AW21" s="269">
        <f t="shared" si="10"/>
        <v>42886</v>
      </c>
      <c r="AX21" s="269">
        <f t="shared" si="10"/>
        <v>42916</v>
      </c>
      <c r="AY21" s="269">
        <f t="shared" si="10"/>
        <v>42947</v>
      </c>
      <c r="AZ21" s="269">
        <f t="shared" si="10"/>
        <v>42978</v>
      </c>
    </row>
    <row r="22" spans="1:52" s="140" customFormat="1" x14ac:dyDescent="0.2">
      <c r="A22" s="137"/>
      <c r="B22" s="145"/>
      <c r="C22" s="146"/>
      <c r="D22" s="139"/>
      <c r="E22" s="248" t="s">
        <v>184</v>
      </c>
      <c r="H22" s="140">
        <f>SUM(J22:AZ22)</f>
        <v>1</v>
      </c>
      <c r="J22" s="140">
        <f t="shared" ref="J22:AZ22" si="11" xml:space="preserve"> IF(J21 = $F20, 1, 0)</f>
        <v>1</v>
      </c>
      <c r="K22" s="140">
        <f t="shared" si="11"/>
        <v>0</v>
      </c>
      <c r="L22" s="140">
        <f t="shared" si="11"/>
        <v>0</v>
      </c>
      <c r="M22" s="140">
        <f t="shared" si="11"/>
        <v>0</v>
      </c>
      <c r="N22" s="140">
        <f t="shared" si="11"/>
        <v>0</v>
      </c>
      <c r="O22" s="140">
        <f t="shared" si="11"/>
        <v>0</v>
      </c>
      <c r="P22" s="140">
        <f t="shared" si="11"/>
        <v>0</v>
      </c>
      <c r="Q22" s="140">
        <f t="shared" si="11"/>
        <v>0</v>
      </c>
      <c r="R22" s="140">
        <f t="shared" si="11"/>
        <v>0</v>
      </c>
      <c r="S22" s="140">
        <f t="shared" si="11"/>
        <v>0</v>
      </c>
      <c r="T22" s="140">
        <f t="shared" si="11"/>
        <v>0</v>
      </c>
      <c r="U22" s="140">
        <f t="shared" si="11"/>
        <v>0</v>
      </c>
      <c r="V22" s="140">
        <f t="shared" si="11"/>
        <v>0</v>
      </c>
      <c r="W22" s="140">
        <f t="shared" si="11"/>
        <v>0</v>
      </c>
      <c r="X22" s="140">
        <f t="shared" si="11"/>
        <v>0</v>
      </c>
      <c r="Y22" s="140">
        <f t="shared" si="11"/>
        <v>0</v>
      </c>
      <c r="Z22" s="140">
        <f t="shared" si="11"/>
        <v>0</v>
      </c>
      <c r="AA22" s="140">
        <f t="shared" si="11"/>
        <v>0</v>
      </c>
      <c r="AB22" s="140">
        <f t="shared" si="11"/>
        <v>0</v>
      </c>
      <c r="AC22" s="140">
        <f t="shared" si="11"/>
        <v>0</v>
      </c>
      <c r="AD22" s="140">
        <f t="shared" si="11"/>
        <v>0</v>
      </c>
      <c r="AE22" s="140">
        <f t="shared" si="11"/>
        <v>0</v>
      </c>
      <c r="AF22" s="140">
        <f t="shared" si="11"/>
        <v>0</v>
      </c>
      <c r="AG22" s="140">
        <f t="shared" si="11"/>
        <v>0</v>
      </c>
      <c r="AH22" s="140">
        <f t="shared" si="11"/>
        <v>0</v>
      </c>
      <c r="AI22" s="140">
        <f t="shared" si="11"/>
        <v>0</v>
      </c>
      <c r="AJ22" s="140">
        <f t="shared" si="11"/>
        <v>0</v>
      </c>
      <c r="AK22" s="140">
        <f t="shared" si="11"/>
        <v>0</v>
      </c>
      <c r="AL22" s="140">
        <f t="shared" si="11"/>
        <v>0</v>
      </c>
      <c r="AM22" s="140">
        <f t="shared" si="11"/>
        <v>0</v>
      </c>
      <c r="AN22" s="140">
        <f t="shared" si="11"/>
        <v>0</v>
      </c>
      <c r="AO22" s="140">
        <f t="shared" si="11"/>
        <v>0</v>
      </c>
      <c r="AP22" s="140">
        <f t="shared" si="11"/>
        <v>0</v>
      </c>
      <c r="AQ22" s="140">
        <f t="shared" si="11"/>
        <v>0</v>
      </c>
      <c r="AR22" s="140">
        <f t="shared" si="11"/>
        <v>0</v>
      </c>
      <c r="AS22" s="140">
        <f t="shared" si="11"/>
        <v>0</v>
      </c>
      <c r="AT22" s="140">
        <f t="shared" si="11"/>
        <v>0</v>
      </c>
      <c r="AU22" s="140">
        <f t="shared" si="11"/>
        <v>0</v>
      </c>
      <c r="AV22" s="140">
        <f t="shared" si="11"/>
        <v>0</v>
      </c>
      <c r="AW22" s="140">
        <f t="shared" si="11"/>
        <v>0</v>
      </c>
      <c r="AX22" s="140">
        <f t="shared" si="11"/>
        <v>0</v>
      </c>
      <c r="AY22" s="140">
        <f t="shared" si="11"/>
        <v>0</v>
      </c>
      <c r="AZ22" s="140">
        <f t="shared" si="11"/>
        <v>0</v>
      </c>
    </row>
    <row r="24" spans="1:52" s="256" customFormat="1" x14ac:dyDescent="0.2">
      <c r="A24" s="226"/>
      <c r="B24" s="225"/>
      <c r="C24" s="246"/>
      <c r="D24" s="255"/>
      <c r="E24" s="256" t="str">
        <f>InpC!E$12</f>
        <v>Construction period end / conversion date</v>
      </c>
      <c r="F24" s="256">
        <f>InpC!F$12</f>
        <v>42369</v>
      </c>
      <c r="G24" s="256" t="str">
        <f>InpC!G$12</f>
        <v>date</v>
      </c>
      <c r="AF24" s="250"/>
    </row>
    <row r="25" spans="1:52" s="269" customFormat="1" x14ac:dyDescent="0.2">
      <c r="A25" s="240"/>
      <c r="B25" s="236"/>
      <c r="C25" s="273"/>
      <c r="D25" s="274"/>
      <c r="E25" s="269" t="str">
        <f t="shared" ref="E25:AZ25" si="12" xml:space="preserve"> E$13</f>
        <v>Construction period month ending</v>
      </c>
      <c r="F25" s="269">
        <f t="shared" si="12"/>
        <v>0</v>
      </c>
      <c r="G25" s="269">
        <f t="shared" si="12"/>
        <v>0</v>
      </c>
      <c r="H25" s="269">
        <f t="shared" si="12"/>
        <v>0</v>
      </c>
      <c r="I25" s="269">
        <f t="shared" si="12"/>
        <v>0</v>
      </c>
      <c r="J25" s="269">
        <f t="shared" si="12"/>
        <v>41698</v>
      </c>
      <c r="K25" s="269">
        <f t="shared" si="12"/>
        <v>41729</v>
      </c>
      <c r="L25" s="269">
        <f t="shared" si="12"/>
        <v>41759</v>
      </c>
      <c r="M25" s="269">
        <f t="shared" si="12"/>
        <v>41790</v>
      </c>
      <c r="N25" s="269">
        <f t="shared" si="12"/>
        <v>41820</v>
      </c>
      <c r="O25" s="269">
        <f t="shared" si="12"/>
        <v>41851</v>
      </c>
      <c r="P25" s="269">
        <f t="shared" si="12"/>
        <v>41882</v>
      </c>
      <c r="Q25" s="269">
        <f t="shared" si="12"/>
        <v>41912</v>
      </c>
      <c r="R25" s="269">
        <f t="shared" si="12"/>
        <v>41943</v>
      </c>
      <c r="S25" s="269">
        <f t="shared" si="12"/>
        <v>41973</v>
      </c>
      <c r="T25" s="269">
        <f t="shared" si="12"/>
        <v>42004</v>
      </c>
      <c r="U25" s="269">
        <f t="shared" si="12"/>
        <v>42035</v>
      </c>
      <c r="V25" s="269">
        <f t="shared" si="12"/>
        <v>42063</v>
      </c>
      <c r="W25" s="269">
        <f t="shared" si="12"/>
        <v>42094</v>
      </c>
      <c r="X25" s="269">
        <f t="shared" si="12"/>
        <v>42124</v>
      </c>
      <c r="Y25" s="269">
        <f t="shared" si="12"/>
        <v>42155</v>
      </c>
      <c r="Z25" s="269">
        <f t="shared" si="12"/>
        <v>42185</v>
      </c>
      <c r="AA25" s="269">
        <f t="shared" si="12"/>
        <v>42216</v>
      </c>
      <c r="AB25" s="269">
        <f t="shared" si="12"/>
        <v>42247</v>
      </c>
      <c r="AC25" s="269">
        <f t="shared" si="12"/>
        <v>42277</v>
      </c>
      <c r="AD25" s="269">
        <f t="shared" si="12"/>
        <v>42308</v>
      </c>
      <c r="AE25" s="269">
        <f t="shared" si="12"/>
        <v>42338</v>
      </c>
      <c r="AF25" s="269">
        <f t="shared" si="12"/>
        <v>42369</v>
      </c>
      <c r="AG25" s="269">
        <f t="shared" si="12"/>
        <v>42400</v>
      </c>
      <c r="AH25" s="269">
        <f t="shared" si="12"/>
        <v>42429</v>
      </c>
      <c r="AI25" s="269">
        <f t="shared" si="12"/>
        <v>42460</v>
      </c>
      <c r="AJ25" s="269">
        <f t="shared" si="12"/>
        <v>42490</v>
      </c>
      <c r="AK25" s="269">
        <f t="shared" si="12"/>
        <v>42521</v>
      </c>
      <c r="AL25" s="269">
        <f t="shared" si="12"/>
        <v>42551</v>
      </c>
      <c r="AM25" s="269">
        <f t="shared" si="12"/>
        <v>42582</v>
      </c>
      <c r="AN25" s="269">
        <f t="shared" si="12"/>
        <v>42613</v>
      </c>
      <c r="AO25" s="269">
        <f t="shared" si="12"/>
        <v>42643</v>
      </c>
      <c r="AP25" s="269">
        <f t="shared" si="12"/>
        <v>42674</v>
      </c>
      <c r="AQ25" s="269">
        <f t="shared" si="12"/>
        <v>42704</v>
      </c>
      <c r="AR25" s="269">
        <f t="shared" si="12"/>
        <v>42735</v>
      </c>
      <c r="AS25" s="269">
        <f t="shared" si="12"/>
        <v>42766</v>
      </c>
      <c r="AT25" s="269">
        <f t="shared" si="12"/>
        <v>42794</v>
      </c>
      <c r="AU25" s="269">
        <f t="shared" si="12"/>
        <v>42825</v>
      </c>
      <c r="AV25" s="269">
        <f t="shared" si="12"/>
        <v>42855</v>
      </c>
      <c r="AW25" s="269">
        <f t="shared" si="12"/>
        <v>42886</v>
      </c>
      <c r="AX25" s="269">
        <f t="shared" si="12"/>
        <v>42916</v>
      </c>
      <c r="AY25" s="269">
        <f t="shared" si="12"/>
        <v>42947</v>
      </c>
      <c r="AZ25" s="269">
        <f t="shared" si="12"/>
        <v>42978</v>
      </c>
    </row>
    <row r="26" spans="1:52" s="140" customFormat="1" x14ac:dyDescent="0.2">
      <c r="A26" s="137"/>
      <c r="B26" s="145"/>
      <c r="C26" s="146"/>
      <c r="D26" s="139"/>
      <c r="E26" s="248" t="s">
        <v>211</v>
      </c>
      <c r="H26" s="140">
        <f>SUM(J26:AZ26)</f>
        <v>1</v>
      </c>
      <c r="J26" s="140">
        <f t="shared" ref="J26:AZ26" si="13" xml:space="preserve"> IF(J25 = $F24, 1, 0)</f>
        <v>0</v>
      </c>
      <c r="K26" s="140">
        <f t="shared" si="13"/>
        <v>0</v>
      </c>
      <c r="L26" s="140">
        <f t="shared" si="13"/>
        <v>0</v>
      </c>
      <c r="M26" s="140">
        <f t="shared" si="13"/>
        <v>0</v>
      </c>
      <c r="N26" s="140">
        <f t="shared" si="13"/>
        <v>0</v>
      </c>
      <c r="O26" s="140">
        <f t="shared" si="13"/>
        <v>0</v>
      </c>
      <c r="P26" s="140">
        <f t="shared" si="13"/>
        <v>0</v>
      </c>
      <c r="Q26" s="140">
        <f t="shared" si="13"/>
        <v>0</v>
      </c>
      <c r="R26" s="140">
        <f t="shared" si="13"/>
        <v>0</v>
      </c>
      <c r="S26" s="140">
        <f t="shared" si="13"/>
        <v>0</v>
      </c>
      <c r="T26" s="140">
        <f t="shared" si="13"/>
        <v>0</v>
      </c>
      <c r="U26" s="140">
        <f t="shared" si="13"/>
        <v>0</v>
      </c>
      <c r="V26" s="140">
        <f t="shared" si="13"/>
        <v>0</v>
      </c>
      <c r="W26" s="140">
        <f t="shared" si="13"/>
        <v>0</v>
      </c>
      <c r="X26" s="140">
        <f t="shared" si="13"/>
        <v>0</v>
      </c>
      <c r="Y26" s="140">
        <f t="shared" si="13"/>
        <v>0</v>
      </c>
      <c r="Z26" s="140">
        <f t="shared" si="13"/>
        <v>0</v>
      </c>
      <c r="AA26" s="140">
        <f t="shared" si="13"/>
        <v>0</v>
      </c>
      <c r="AB26" s="140">
        <f t="shared" si="13"/>
        <v>0</v>
      </c>
      <c r="AC26" s="140">
        <f t="shared" si="13"/>
        <v>0</v>
      </c>
      <c r="AD26" s="140">
        <f t="shared" si="13"/>
        <v>0</v>
      </c>
      <c r="AE26" s="140">
        <f t="shared" si="13"/>
        <v>0</v>
      </c>
      <c r="AF26" s="140">
        <f t="shared" si="13"/>
        <v>1</v>
      </c>
      <c r="AG26" s="140">
        <f t="shared" si="13"/>
        <v>0</v>
      </c>
      <c r="AH26" s="140">
        <f t="shared" si="13"/>
        <v>0</v>
      </c>
      <c r="AI26" s="140">
        <f t="shared" si="13"/>
        <v>0</v>
      </c>
      <c r="AJ26" s="140">
        <f t="shared" si="13"/>
        <v>0</v>
      </c>
      <c r="AK26" s="140">
        <f t="shared" si="13"/>
        <v>0</v>
      </c>
      <c r="AL26" s="140">
        <f t="shared" si="13"/>
        <v>0</v>
      </c>
      <c r="AM26" s="140">
        <f t="shared" si="13"/>
        <v>0</v>
      </c>
      <c r="AN26" s="140">
        <f t="shared" si="13"/>
        <v>0</v>
      </c>
      <c r="AO26" s="140">
        <f t="shared" si="13"/>
        <v>0</v>
      </c>
      <c r="AP26" s="140">
        <f t="shared" si="13"/>
        <v>0</v>
      </c>
      <c r="AQ26" s="140">
        <f t="shared" si="13"/>
        <v>0</v>
      </c>
      <c r="AR26" s="140">
        <f t="shared" si="13"/>
        <v>0</v>
      </c>
      <c r="AS26" s="140">
        <f t="shared" si="13"/>
        <v>0</v>
      </c>
      <c r="AT26" s="140">
        <f t="shared" si="13"/>
        <v>0</v>
      </c>
      <c r="AU26" s="140">
        <f t="shared" si="13"/>
        <v>0</v>
      </c>
      <c r="AV26" s="140">
        <f t="shared" si="13"/>
        <v>0</v>
      </c>
      <c r="AW26" s="140">
        <f t="shared" si="13"/>
        <v>0</v>
      </c>
      <c r="AX26" s="140">
        <f t="shared" si="13"/>
        <v>0</v>
      </c>
      <c r="AY26" s="140">
        <f t="shared" si="13"/>
        <v>0</v>
      </c>
      <c r="AZ26" s="140">
        <f t="shared" si="13"/>
        <v>0</v>
      </c>
    </row>
    <row r="28" spans="1:52" s="96" customFormat="1" x14ac:dyDescent="0.2">
      <c r="A28" s="92"/>
      <c r="B28" s="93"/>
      <c r="C28" s="94"/>
      <c r="D28" s="95"/>
      <c r="E28" s="96" t="str">
        <f xml:space="preserve"> InpC!E$11</f>
        <v>Length of construction period</v>
      </c>
      <c r="F28" s="96">
        <f xml:space="preserve"> InpC!F$11</f>
        <v>22</v>
      </c>
      <c r="G28" s="96" t="str">
        <f xml:space="preserve"> InpC!G$11</f>
        <v>months</v>
      </c>
      <c r="AF28" s="144"/>
    </row>
    <row r="29" spans="1:52" x14ac:dyDescent="0.2">
      <c r="E29" s="85" t="str">
        <f xml:space="preserve"> E$18</f>
        <v>Construction / availability period flag</v>
      </c>
      <c r="F29" s="85">
        <f t="shared" ref="F29:AZ29" si="14" xml:space="preserve"> F$18</f>
        <v>0</v>
      </c>
      <c r="G29" s="85">
        <f t="shared" si="14"/>
        <v>0</v>
      </c>
      <c r="H29" s="85">
        <f t="shared" si="14"/>
        <v>22</v>
      </c>
      <c r="I29" s="85">
        <f t="shared" si="14"/>
        <v>0</v>
      </c>
      <c r="J29" s="85">
        <f t="shared" si="14"/>
        <v>0</v>
      </c>
      <c r="K29" s="85">
        <f t="shared" si="14"/>
        <v>1</v>
      </c>
      <c r="L29" s="85">
        <f t="shared" si="14"/>
        <v>1</v>
      </c>
      <c r="M29" s="85">
        <f t="shared" si="14"/>
        <v>1</v>
      </c>
      <c r="N29" s="85">
        <f t="shared" si="14"/>
        <v>1</v>
      </c>
      <c r="O29" s="85">
        <f t="shared" si="14"/>
        <v>1</v>
      </c>
      <c r="P29" s="85">
        <f t="shared" si="14"/>
        <v>1</v>
      </c>
      <c r="Q29" s="85">
        <f t="shared" si="14"/>
        <v>1</v>
      </c>
      <c r="R29" s="85">
        <f t="shared" si="14"/>
        <v>1</v>
      </c>
      <c r="S29" s="85">
        <f t="shared" si="14"/>
        <v>1</v>
      </c>
      <c r="T29" s="85">
        <f t="shared" si="14"/>
        <v>1</v>
      </c>
      <c r="U29" s="85">
        <f t="shared" si="14"/>
        <v>1</v>
      </c>
      <c r="V29" s="85">
        <f t="shared" si="14"/>
        <v>1</v>
      </c>
      <c r="W29" s="85">
        <f t="shared" si="14"/>
        <v>1</v>
      </c>
      <c r="X29" s="85">
        <f t="shared" si="14"/>
        <v>1</v>
      </c>
      <c r="Y29" s="85">
        <f t="shared" si="14"/>
        <v>1</v>
      </c>
      <c r="Z29" s="85">
        <f t="shared" si="14"/>
        <v>1</v>
      </c>
      <c r="AA29" s="85">
        <f t="shared" si="14"/>
        <v>1</v>
      </c>
      <c r="AB29" s="85">
        <f t="shared" si="14"/>
        <v>1</v>
      </c>
      <c r="AC29" s="85">
        <f t="shared" si="14"/>
        <v>1</v>
      </c>
      <c r="AD29" s="85">
        <f t="shared" si="14"/>
        <v>1</v>
      </c>
      <c r="AE29" s="85">
        <f t="shared" si="14"/>
        <v>1</v>
      </c>
      <c r="AF29" s="85">
        <f t="shared" si="14"/>
        <v>1</v>
      </c>
      <c r="AG29" s="85">
        <f t="shared" si="14"/>
        <v>0</v>
      </c>
      <c r="AH29" s="85">
        <f t="shared" si="14"/>
        <v>0</v>
      </c>
      <c r="AI29" s="85">
        <f t="shared" si="14"/>
        <v>0</v>
      </c>
      <c r="AJ29" s="85">
        <f t="shared" si="14"/>
        <v>0</v>
      </c>
      <c r="AK29" s="85">
        <f t="shared" si="14"/>
        <v>0</v>
      </c>
      <c r="AL29" s="85">
        <f t="shared" si="14"/>
        <v>0</v>
      </c>
      <c r="AM29" s="85">
        <f t="shared" si="14"/>
        <v>0</v>
      </c>
      <c r="AN29" s="85">
        <f t="shared" si="14"/>
        <v>0</v>
      </c>
      <c r="AO29" s="85">
        <f t="shared" si="14"/>
        <v>0</v>
      </c>
      <c r="AP29" s="85">
        <f t="shared" si="14"/>
        <v>0</v>
      </c>
      <c r="AQ29" s="85">
        <f t="shared" si="14"/>
        <v>0</v>
      </c>
      <c r="AR29" s="85">
        <f t="shared" si="14"/>
        <v>0</v>
      </c>
      <c r="AS29" s="85">
        <f t="shared" si="14"/>
        <v>0</v>
      </c>
      <c r="AT29" s="85">
        <f t="shared" si="14"/>
        <v>0</v>
      </c>
      <c r="AU29" s="85">
        <f t="shared" si="14"/>
        <v>0</v>
      </c>
      <c r="AV29" s="85">
        <f t="shared" si="14"/>
        <v>0</v>
      </c>
      <c r="AW29" s="85">
        <f t="shared" si="14"/>
        <v>0</v>
      </c>
      <c r="AX29" s="85">
        <f t="shared" si="14"/>
        <v>0</v>
      </c>
      <c r="AY29" s="85">
        <f t="shared" si="14"/>
        <v>0</v>
      </c>
      <c r="AZ29" s="85">
        <f t="shared" si="14"/>
        <v>0</v>
      </c>
    </row>
    <row r="30" spans="1:52" s="312" customFormat="1" x14ac:dyDescent="0.2">
      <c r="A30" s="103"/>
      <c r="B30" s="103"/>
      <c r="C30" s="104"/>
      <c r="D30" s="311"/>
      <c r="E30" s="312" t="s">
        <v>204</v>
      </c>
      <c r="H30" s="312">
        <f>SUM(J30:AZ30)</f>
        <v>0.99999999999999967</v>
      </c>
      <c r="J30" s="312">
        <f xml:space="preserve"> J29 / $F28</f>
        <v>0</v>
      </c>
      <c r="K30" s="312">
        <f t="shared" ref="K30:AZ30" si="15" xml:space="preserve"> K29 / $F28</f>
        <v>4.5454545454545456E-2</v>
      </c>
      <c r="L30" s="312">
        <f t="shared" si="15"/>
        <v>4.5454545454545456E-2</v>
      </c>
      <c r="M30" s="312">
        <f t="shared" si="15"/>
        <v>4.5454545454545456E-2</v>
      </c>
      <c r="N30" s="312">
        <f t="shared" si="15"/>
        <v>4.5454545454545456E-2</v>
      </c>
      <c r="O30" s="312">
        <f t="shared" si="15"/>
        <v>4.5454545454545456E-2</v>
      </c>
      <c r="P30" s="312">
        <f t="shared" si="15"/>
        <v>4.5454545454545456E-2</v>
      </c>
      <c r="Q30" s="312">
        <f t="shared" si="15"/>
        <v>4.5454545454545456E-2</v>
      </c>
      <c r="R30" s="312">
        <f t="shared" si="15"/>
        <v>4.5454545454545456E-2</v>
      </c>
      <c r="S30" s="312">
        <f t="shared" si="15"/>
        <v>4.5454545454545456E-2</v>
      </c>
      <c r="T30" s="312">
        <f t="shared" si="15"/>
        <v>4.5454545454545456E-2</v>
      </c>
      <c r="U30" s="312">
        <f t="shared" si="15"/>
        <v>4.5454545454545456E-2</v>
      </c>
      <c r="V30" s="312">
        <f t="shared" si="15"/>
        <v>4.5454545454545456E-2</v>
      </c>
      <c r="W30" s="312">
        <f t="shared" si="15"/>
        <v>4.5454545454545456E-2</v>
      </c>
      <c r="X30" s="312">
        <f t="shared" si="15"/>
        <v>4.5454545454545456E-2</v>
      </c>
      <c r="Y30" s="312">
        <f t="shared" si="15"/>
        <v>4.5454545454545456E-2</v>
      </c>
      <c r="Z30" s="312">
        <f t="shared" si="15"/>
        <v>4.5454545454545456E-2</v>
      </c>
      <c r="AA30" s="312">
        <f t="shared" si="15"/>
        <v>4.5454545454545456E-2</v>
      </c>
      <c r="AB30" s="312">
        <f t="shared" si="15"/>
        <v>4.5454545454545456E-2</v>
      </c>
      <c r="AC30" s="312">
        <f t="shared" si="15"/>
        <v>4.5454545454545456E-2</v>
      </c>
      <c r="AD30" s="312">
        <f t="shared" si="15"/>
        <v>4.5454545454545456E-2</v>
      </c>
      <c r="AE30" s="312">
        <f t="shared" si="15"/>
        <v>4.5454545454545456E-2</v>
      </c>
      <c r="AF30" s="312">
        <f t="shared" si="15"/>
        <v>4.5454545454545456E-2</v>
      </c>
      <c r="AG30" s="312">
        <f t="shared" si="15"/>
        <v>0</v>
      </c>
      <c r="AH30" s="312">
        <f t="shared" si="15"/>
        <v>0</v>
      </c>
      <c r="AI30" s="312">
        <f t="shared" si="15"/>
        <v>0</v>
      </c>
      <c r="AJ30" s="312">
        <f t="shared" si="15"/>
        <v>0</v>
      </c>
      <c r="AK30" s="312">
        <f t="shared" si="15"/>
        <v>0</v>
      </c>
      <c r="AL30" s="312">
        <f t="shared" si="15"/>
        <v>0</v>
      </c>
      <c r="AM30" s="312">
        <f t="shared" si="15"/>
        <v>0</v>
      </c>
      <c r="AN30" s="312">
        <f t="shared" si="15"/>
        <v>0</v>
      </c>
      <c r="AO30" s="312">
        <f t="shared" si="15"/>
        <v>0</v>
      </c>
      <c r="AP30" s="312">
        <f t="shared" si="15"/>
        <v>0</v>
      </c>
      <c r="AQ30" s="312">
        <f t="shared" si="15"/>
        <v>0</v>
      </c>
      <c r="AR30" s="312">
        <f t="shared" si="15"/>
        <v>0</v>
      </c>
      <c r="AS30" s="312">
        <f t="shared" si="15"/>
        <v>0</v>
      </c>
      <c r="AT30" s="312">
        <f t="shared" si="15"/>
        <v>0</v>
      </c>
      <c r="AU30" s="312">
        <f t="shared" si="15"/>
        <v>0</v>
      </c>
      <c r="AV30" s="312">
        <f t="shared" si="15"/>
        <v>0</v>
      </c>
      <c r="AW30" s="312">
        <f t="shared" si="15"/>
        <v>0</v>
      </c>
      <c r="AX30" s="312">
        <f t="shared" si="15"/>
        <v>0</v>
      </c>
      <c r="AY30" s="312">
        <f t="shared" si="15"/>
        <v>0</v>
      </c>
      <c r="AZ30" s="312">
        <f t="shared" si="15"/>
        <v>0</v>
      </c>
    </row>
  </sheetData>
  <printOptions heading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&amp;L&amp;"Arial,Bold"&amp;14Financial Mechanics Training Model&amp;C&amp;"Arial,Bold"&amp;14Sheet: &amp;A&amp;R&amp;"Arial,Bold"&amp;14STRICTLY NOT CONFIDENTIAL</oddHeader>
    <oddFooter>&amp;L&amp;12&amp;F (Printed on &amp;D at &amp;T) &amp;C&amp;12Page &amp;P of &amp;N&amp;R&amp;12© 2008 Financial Mechanics Ltd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  <outlinePr summaryBelow="0" summaryRight="0"/>
  </sheetPr>
  <dimension ref="A1:AZ44"/>
  <sheetViews>
    <sheetView defaultGridColor="0" colorId="22" workbookViewId="0">
      <pane xSplit="6" ySplit="4" topLeftCell="G25" activePane="bottomRight" state="frozen"/>
      <selection activeCell="G5" sqref="G5"/>
      <selection pane="topRight" activeCell="G5" sqref="G5"/>
      <selection pane="bottomLeft" activeCell="G5" sqref="G5"/>
      <selection pane="bottomRight" activeCell="J43" sqref="A43:XFD45"/>
    </sheetView>
  </sheetViews>
  <sheetFormatPr defaultColWidth="0" defaultRowHeight="12.75" x14ac:dyDescent="0.2"/>
  <cols>
    <col min="1" max="1" width="1.28515625" style="81" customWidth="1"/>
    <col min="2" max="2" width="1.28515625" style="82" customWidth="1"/>
    <col min="3" max="3" width="1.28515625" style="83" customWidth="1"/>
    <col min="4" max="4" width="1.28515625" style="84" customWidth="1"/>
    <col min="5" max="5" width="40.7109375" style="85" customWidth="1"/>
    <col min="6" max="6" width="12.7109375" style="85" customWidth="1"/>
    <col min="7" max="8" width="11.7109375" style="85" customWidth="1"/>
    <col min="9" max="9" width="2.7109375" style="85" customWidth="1"/>
    <col min="10" max="31" width="11.7109375" style="85" customWidth="1"/>
    <col min="32" max="32" width="11.7109375" style="135" customWidth="1"/>
    <col min="33" max="52" width="11.7109375" style="85" customWidth="1"/>
    <col min="53" max="16384" width="0" style="85" hidden="1"/>
  </cols>
  <sheetData>
    <row r="1" spans="1:52" s="72" customFormat="1" x14ac:dyDescent="0.2">
      <c r="A1" s="69" t="str">
        <f ca="1" xml:space="preserve"> RIGHT(CELL("filename", A1), LEN(CELL("filename", A1)) - SEARCH("]", CELL("filename", A1)))</f>
        <v>ConCost</v>
      </c>
      <c r="B1" s="69"/>
      <c r="C1" s="70"/>
      <c r="D1" s="71"/>
      <c r="F1" s="73"/>
      <c r="G1" s="73"/>
      <c r="H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</row>
    <row r="2" spans="1:52" s="74" customFormat="1" x14ac:dyDescent="0.2">
      <c r="A2" s="75"/>
      <c r="B2" s="75"/>
      <c r="C2" s="107"/>
      <c r="D2" s="77"/>
      <c r="E2" s="74" t="str">
        <f>ConTime!E$18</f>
        <v>Construction / availability period flag</v>
      </c>
      <c r="F2" s="74">
        <f>ConTime!F$18</f>
        <v>0</v>
      </c>
      <c r="G2" s="74">
        <f>ConTime!G$18</f>
        <v>0</v>
      </c>
      <c r="H2" s="74">
        <f>ConTime!H$18</f>
        <v>22</v>
      </c>
      <c r="I2" s="74">
        <f>ConTime!I$18</f>
        <v>0</v>
      </c>
      <c r="J2" s="74">
        <f>ConTime!J$18</f>
        <v>0</v>
      </c>
      <c r="K2" s="74">
        <f>ConTime!K$18</f>
        <v>1</v>
      </c>
      <c r="L2" s="74">
        <f>ConTime!L$18</f>
        <v>1</v>
      </c>
      <c r="M2" s="74">
        <f>ConTime!M$18</f>
        <v>1</v>
      </c>
      <c r="N2" s="74">
        <f>ConTime!N$18</f>
        <v>1</v>
      </c>
      <c r="O2" s="74">
        <f>ConTime!O$18</f>
        <v>1</v>
      </c>
      <c r="P2" s="74">
        <f>ConTime!P$18</f>
        <v>1</v>
      </c>
      <c r="Q2" s="74">
        <f>ConTime!Q$18</f>
        <v>1</v>
      </c>
      <c r="R2" s="74">
        <f>ConTime!R$18</f>
        <v>1</v>
      </c>
      <c r="S2" s="74">
        <f>ConTime!S$18</f>
        <v>1</v>
      </c>
      <c r="T2" s="74">
        <f>ConTime!T$18</f>
        <v>1</v>
      </c>
      <c r="U2" s="74">
        <f>ConTime!U$18</f>
        <v>1</v>
      </c>
      <c r="V2" s="74">
        <f>ConTime!V$18</f>
        <v>1</v>
      </c>
      <c r="W2" s="74">
        <f>ConTime!W$18</f>
        <v>1</v>
      </c>
      <c r="X2" s="74">
        <f>ConTime!X$18</f>
        <v>1</v>
      </c>
      <c r="Y2" s="74">
        <f>ConTime!Y$18</f>
        <v>1</v>
      </c>
      <c r="Z2" s="74">
        <f>ConTime!Z$18</f>
        <v>1</v>
      </c>
      <c r="AA2" s="74">
        <f>ConTime!AA$18</f>
        <v>1</v>
      </c>
      <c r="AB2" s="74">
        <f>ConTime!AB$18</f>
        <v>1</v>
      </c>
      <c r="AC2" s="74">
        <f>ConTime!AC$18</f>
        <v>1</v>
      </c>
      <c r="AD2" s="74">
        <f>ConTime!AD$18</f>
        <v>1</v>
      </c>
      <c r="AE2" s="74">
        <f>ConTime!AE$18</f>
        <v>1</v>
      </c>
      <c r="AF2" s="74">
        <f>ConTime!AF$18</f>
        <v>1</v>
      </c>
      <c r="AG2" s="74">
        <f>ConTime!AG$18</f>
        <v>0</v>
      </c>
      <c r="AH2" s="74">
        <f>ConTime!AH$18</f>
        <v>0</v>
      </c>
      <c r="AI2" s="74">
        <f>ConTime!AI$18</f>
        <v>0</v>
      </c>
      <c r="AJ2" s="74">
        <f>ConTime!AJ$18</f>
        <v>0</v>
      </c>
      <c r="AK2" s="74">
        <f>ConTime!AK$18</f>
        <v>0</v>
      </c>
      <c r="AL2" s="74">
        <f>ConTime!AL$18</f>
        <v>0</v>
      </c>
      <c r="AM2" s="74">
        <f>ConTime!AM$18</f>
        <v>0</v>
      </c>
      <c r="AN2" s="74">
        <f>ConTime!AN$18</f>
        <v>0</v>
      </c>
      <c r="AO2" s="74">
        <f>ConTime!AO$18</f>
        <v>0</v>
      </c>
      <c r="AP2" s="74">
        <f>ConTime!AP$18</f>
        <v>0</v>
      </c>
      <c r="AQ2" s="74">
        <f>ConTime!AQ$18</f>
        <v>0</v>
      </c>
      <c r="AR2" s="74">
        <f>ConTime!AR$18</f>
        <v>0</v>
      </c>
      <c r="AS2" s="74">
        <f>ConTime!AS$18</f>
        <v>0</v>
      </c>
      <c r="AT2" s="74">
        <f>ConTime!AT$18</f>
        <v>0</v>
      </c>
      <c r="AU2" s="74">
        <f>ConTime!AU$18</f>
        <v>0</v>
      </c>
      <c r="AV2" s="74">
        <f>ConTime!AV$18</f>
        <v>0</v>
      </c>
      <c r="AW2" s="74">
        <f>ConTime!AW$18</f>
        <v>0</v>
      </c>
      <c r="AX2" s="74">
        <f>ConTime!AX$18</f>
        <v>0</v>
      </c>
      <c r="AY2" s="74">
        <f>ConTime!AY$18</f>
        <v>0</v>
      </c>
      <c r="AZ2" s="74">
        <f>ConTime!AZ$18</f>
        <v>0</v>
      </c>
    </row>
    <row r="3" spans="1:52" s="74" customFormat="1" x14ac:dyDescent="0.2">
      <c r="A3" s="75"/>
      <c r="B3" s="75"/>
      <c r="C3" s="107"/>
      <c r="D3" s="77"/>
      <c r="E3" s="74" t="str">
        <f xml:space="preserve"> ConTime!E$8</f>
        <v>Construction period counter</v>
      </c>
      <c r="F3" s="74">
        <f xml:space="preserve"> ConTime!F$8</f>
        <v>0</v>
      </c>
      <c r="G3" s="74">
        <f xml:space="preserve"> ConTime!G$8</f>
        <v>0</v>
      </c>
      <c r="H3" s="74">
        <f xml:space="preserve"> ConTime!H$8</f>
        <v>0</v>
      </c>
      <c r="I3" s="74">
        <f xml:space="preserve"> ConTime!I$8</f>
        <v>0</v>
      </c>
      <c r="J3" s="74">
        <f xml:space="preserve"> ConTime!J$8</f>
        <v>1</v>
      </c>
      <c r="K3" s="74">
        <f xml:space="preserve"> ConTime!K$8</f>
        <v>2</v>
      </c>
      <c r="L3" s="74">
        <f xml:space="preserve"> ConTime!L$8</f>
        <v>3</v>
      </c>
      <c r="M3" s="74">
        <f xml:space="preserve"> ConTime!M$8</f>
        <v>4</v>
      </c>
      <c r="N3" s="74">
        <f xml:space="preserve"> ConTime!N$8</f>
        <v>5</v>
      </c>
      <c r="O3" s="74">
        <f xml:space="preserve"> ConTime!O$8</f>
        <v>6</v>
      </c>
      <c r="P3" s="74">
        <f xml:space="preserve"> ConTime!P$8</f>
        <v>7</v>
      </c>
      <c r="Q3" s="74">
        <f xml:space="preserve"> ConTime!Q$8</f>
        <v>8</v>
      </c>
      <c r="R3" s="74">
        <f xml:space="preserve"> ConTime!R$8</f>
        <v>9</v>
      </c>
      <c r="S3" s="74">
        <f xml:space="preserve"> ConTime!S$8</f>
        <v>10</v>
      </c>
      <c r="T3" s="74">
        <f xml:space="preserve"> ConTime!T$8</f>
        <v>11</v>
      </c>
      <c r="U3" s="74">
        <f xml:space="preserve"> ConTime!U$8</f>
        <v>12</v>
      </c>
      <c r="V3" s="74">
        <f xml:space="preserve"> ConTime!V$8</f>
        <v>13</v>
      </c>
      <c r="W3" s="74">
        <f xml:space="preserve"> ConTime!W$8</f>
        <v>14</v>
      </c>
      <c r="X3" s="74">
        <f xml:space="preserve"> ConTime!X$8</f>
        <v>15</v>
      </c>
      <c r="Y3" s="74">
        <f xml:space="preserve"> ConTime!Y$8</f>
        <v>16</v>
      </c>
      <c r="Z3" s="74">
        <f xml:space="preserve"> ConTime!Z$8</f>
        <v>17</v>
      </c>
      <c r="AA3" s="74">
        <f xml:space="preserve"> ConTime!AA$8</f>
        <v>18</v>
      </c>
      <c r="AB3" s="74">
        <f xml:space="preserve"> ConTime!AB$8</f>
        <v>19</v>
      </c>
      <c r="AC3" s="74">
        <f xml:space="preserve"> ConTime!AC$8</f>
        <v>20</v>
      </c>
      <c r="AD3" s="74">
        <f xml:space="preserve"> ConTime!AD$8</f>
        <v>21</v>
      </c>
      <c r="AE3" s="74">
        <f xml:space="preserve"> ConTime!AE$8</f>
        <v>22</v>
      </c>
      <c r="AF3" s="74">
        <f xml:space="preserve"> ConTime!AF$8</f>
        <v>23</v>
      </c>
      <c r="AG3" s="74">
        <f xml:space="preserve"> ConTime!AG$8</f>
        <v>24</v>
      </c>
      <c r="AH3" s="74">
        <f xml:space="preserve"> ConTime!AH$8</f>
        <v>25</v>
      </c>
      <c r="AI3" s="74">
        <f xml:space="preserve"> ConTime!AI$8</f>
        <v>26</v>
      </c>
      <c r="AJ3" s="74">
        <f xml:space="preserve"> ConTime!AJ$8</f>
        <v>27</v>
      </c>
      <c r="AK3" s="74">
        <f xml:space="preserve"> ConTime!AK$8</f>
        <v>28</v>
      </c>
      <c r="AL3" s="74">
        <f xml:space="preserve"> ConTime!AL$8</f>
        <v>29</v>
      </c>
      <c r="AM3" s="74">
        <f xml:space="preserve"> ConTime!AM$8</f>
        <v>30</v>
      </c>
      <c r="AN3" s="74">
        <f xml:space="preserve"> ConTime!AN$8</f>
        <v>31</v>
      </c>
      <c r="AO3" s="74">
        <f xml:space="preserve"> ConTime!AO$8</f>
        <v>32</v>
      </c>
      <c r="AP3" s="74">
        <f xml:space="preserve"> ConTime!AP$8</f>
        <v>33</v>
      </c>
      <c r="AQ3" s="74">
        <f xml:space="preserve"> ConTime!AQ$8</f>
        <v>34</v>
      </c>
      <c r="AR3" s="74">
        <f xml:space="preserve"> ConTime!AR$8</f>
        <v>35</v>
      </c>
      <c r="AS3" s="74">
        <f xml:space="preserve"> ConTime!AS$8</f>
        <v>36</v>
      </c>
      <c r="AT3" s="74">
        <f xml:space="preserve"> ConTime!AT$8</f>
        <v>37</v>
      </c>
      <c r="AU3" s="74">
        <f xml:space="preserve"> ConTime!AU$8</f>
        <v>38</v>
      </c>
      <c r="AV3" s="74">
        <f xml:space="preserve"> ConTime!AV$8</f>
        <v>39</v>
      </c>
      <c r="AW3" s="74">
        <f xml:space="preserve"> ConTime!AW$8</f>
        <v>40</v>
      </c>
      <c r="AX3" s="74">
        <f xml:space="preserve"> ConTime!AX$8</f>
        <v>41</v>
      </c>
      <c r="AY3" s="74">
        <f xml:space="preserve"> ConTime!AY$8</f>
        <v>42</v>
      </c>
      <c r="AZ3" s="74">
        <f xml:space="preserve"> ConTime!AZ$8</f>
        <v>43</v>
      </c>
    </row>
    <row r="4" spans="1:52" s="78" customFormat="1" x14ac:dyDescent="0.2">
      <c r="C4" s="79"/>
      <c r="D4" s="80"/>
      <c r="E4" s="78" t="str">
        <f>ConTime!E$13</f>
        <v>Construction period month ending</v>
      </c>
      <c r="F4" s="80">
        <f>ConTime!F$13</f>
        <v>0</v>
      </c>
      <c r="G4" s="78">
        <f>ConTime!G$13</f>
        <v>0</v>
      </c>
      <c r="H4" s="80">
        <f>ConTime!H$13</f>
        <v>0</v>
      </c>
      <c r="I4" s="78">
        <f>ConTime!I$13</f>
        <v>0</v>
      </c>
      <c r="J4" s="78">
        <f>ConTime!J$13</f>
        <v>41698</v>
      </c>
      <c r="K4" s="78">
        <f>ConTime!K$13</f>
        <v>41729</v>
      </c>
      <c r="L4" s="78">
        <f>ConTime!L$13</f>
        <v>41759</v>
      </c>
      <c r="M4" s="78">
        <f>ConTime!M$13</f>
        <v>41790</v>
      </c>
      <c r="N4" s="78">
        <f>ConTime!N$13</f>
        <v>41820</v>
      </c>
      <c r="O4" s="78">
        <f>ConTime!O$13</f>
        <v>41851</v>
      </c>
      <c r="P4" s="78">
        <f>ConTime!P$13</f>
        <v>41882</v>
      </c>
      <c r="Q4" s="78">
        <f>ConTime!Q$13</f>
        <v>41912</v>
      </c>
      <c r="R4" s="78">
        <f>ConTime!R$13</f>
        <v>41943</v>
      </c>
      <c r="S4" s="78">
        <f>ConTime!S$13</f>
        <v>41973</v>
      </c>
      <c r="T4" s="78">
        <f>ConTime!T$13</f>
        <v>42004</v>
      </c>
      <c r="U4" s="78">
        <f>ConTime!U$13</f>
        <v>42035</v>
      </c>
      <c r="V4" s="78">
        <f>ConTime!V$13</f>
        <v>42063</v>
      </c>
      <c r="W4" s="78">
        <f>ConTime!W$13</f>
        <v>42094</v>
      </c>
      <c r="X4" s="78">
        <f>ConTime!X$13</f>
        <v>42124</v>
      </c>
      <c r="Y4" s="78">
        <f>ConTime!Y$13</f>
        <v>42155</v>
      </c>
      <c r="Z4" s="78">
        <f>ConTime!Z$13</f>
        <v>42185</v>
      </c>
      <c r="AA4" s="78">
        <f>ConTime!AA$13</f>
        <v>42216</v>
      </c>
      <c r="AB4" s="78">
        <f>ConTime!AB$13</f>
        <v>42247</v>
      </c>
      <c r="AC4" s="78">
        <f>ConTime!AC$13</f>
        <v>42277</v>
      </c>
      <c r="AD4" s="78">
        <f>ConTime!AD$13</f>
        <v>42308</v>
      </c>
      <c r="AE4" s="78">
        <f>ConTime!AE$13</f>
        <v>42338</v>
      </c>
      <c r="AF4" s="78">
        <f>ConTime!AF$13</f>
        <v>42369</v>
      </c>
      <c r="AG4" s="78">
        <f>ConTime!AG$13</f>
        <v>42400</v>
      </c>
      <c r="AH4" s="78">
        <f>ConTime!AH$13</f>
        <v>42429</v>
      </c>
      <c r="AI4" s="78">
        <f>ConTime!AI$13</f>
        <v>42460</v>
      </c>
      <c r="AJ4" s="78">
        <f>ConTime!AJ$13</f>
        <v>42490</v>
      </c>
      <c r="AK4" s="78">
        <f>ConTime!AK$13</f>
        <v>42521</v>
      </c>
      <c r="AL4" s="78">
        <f>ConTime!AL$13</f>
        <v>42551</v>
      </c>
      <c r="AM4" s="78">
        <f>ConTime!AM$13</f>
        <v>42582</v>
      </c>
      <c r="AN4" s="78">
        <f>ConTime!AN$13</f>
        <v>42613</v>
      </c>
      <c r="AO4" s="78">
        <f>ConTime!AO$13</f>
        <v>42643</v>
      </c>
      <c r="AP4" s="78">
        <f>ConTime!AP$13</f>
        <v>42674</v>
      </c>
      <c r="AQ4" s="78">
        <f>ConTime!AQ$13</f>
        <v>42704</v>
      </c>
      <c r="AR4" s="78">
        <f>ConTime!AR$13</f>
        <v>42735</v>
      </c>
      <c r="AS4" s="78">
        <f>ConTime!AS$13</f>
        <v>42766</v>
      </c>
      <c r="AT4" s="78">
        <f>ConTime!AT$13</f>
        <v>42794</v>
      </c>
      <c r="AU4" s="78">
        <f>ConTime!AU$13</f>
        <v>42825</v>
      </c>
      <c r="AV4" s="78">
        <f>ConTime!AV$13</f>
        <v>42855</v>
      </c>
      <c r="AW4" s="78">
        <f>ConTime!AW$13</f>
        <v>42886</v>
      </c>
      <c r="AX4" s="78">
        <f>ConTime!AX$13</f>
        <v>42916</v>
      </c>
      <c r="AY4" s="78">
        <f>ConTime!AY$13</f>
        <v>42947</v>
      </c>
      <c r="AZ4" s="78">
        <f>ConTime!AZ$13</f>
        <v>42978</v>
      </c>
    </row>
    <row r="6" spans="1:52" x14ac:dyDescent="0.2">
      <c r="A6" s="81" t="s">
        <v>193</v>
      </c>
    </row>
    <row r="8" spans="1:52" x14ac:dyDescent="0.2">
      <c r="B8" s="82" t="s">
        <v>191</v>
      </c>
    </row>
    <row r="10" spans="1:52" x14ac:dyDescent="0.2">
      <c r="E10" s="85" t="s">
        <v>179</v>
      </c>
      <c r="F10" s="136">
        <v>310000</v>
      </c>
      <c r="G10" s="85" t="str">
        <f xml:space="preserve"> SMU</f>
        <v>€ 000s</v>
      </c>
    </row>
    <row r="11" spans="1:52" s="272" customFormat="1" x14ac:dyDescent="0.2">
      <c r="A11" s="252"/>
      <c r="B11" s="97"/>
      <c r="C11" s="98"/>
      <c r="D11" s="271"/>
      <c r="E11" s="272" t="s">
        <v>181</v>
      </c>
      <c r="H11" s="272">
        <f>SUM(J11:AZ11)</f>
        <v>1.0000000000000004</v>
      </c>
      <c r="J11" s="101">
        <v>0.15</v>
      </c>
      <c r="K11" s="101">
        <v>0.03</v>
      </c>
      <c r="L11" s="101">
        <v>0.03</v>
      </c>
      <c r="M11" s="101">
        <v>0.03</v>
      </c>
      <c r="N11" s="101">
        <v>0.03</v>
      </c>
      <c r="O11" s="101">
        <v>0.03</v>
      </c>
      <c r="P11" s="101">
        <v>0.03</v>
      </c>
      <c r="Q11" s="101">
        <v>0.03</v>
      </c>
      <c r="R11" s="101">
        <v>0.03</v>
      </c>
      <c r="S11" s="101">
        <v>0.03</v>
      </c>
      <c r="T11" s="101">
        <v>0.03</v>
      </c>
      <c r="U11" s="101">
        <v>0.03</v>
      </c>
      <c r="V11" s="101">
        <v>0.03</v>
      </c>
      <c r="W11" s="101">
        <v>0.03</v>
      </c>
      <c r="X11" s="101">
        <v>0.03</v>
      </c>
      <c r="Y11" s="101">
        <v>0.03</v>
      </c>
      <c r="Z11" s="101">
        <v>0.03</v>
      </c>
      <c r="AA11" s="101">
        <v>0.03</v>
      </c>
      <c r="AB11" s="101">
        <v>0.03</v>
      </c>
      <c r="AC11" s="101">
        <v>0.03</v>
      </c>
      <c r="AD11" s="101">
        <v>0.03</v>
      </c>
      <c r="AE11" s="101">
        <v>0.03</v>
      </c>
      <c r="AF11" s="101">
        <f xml:space="preserve"> 3% + 19%</f>
        <v>0.22</v>
      </c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</row>
    <row r="12" spans="1:52" x14ac:dyDescent="0.2">
      <c r="E12" s="85" t="s">
        <v>180</v>
      </c>
      <c r="G12" s="85" t="str">
        <f xml:space="preserve"> SMU</f>
        <v>€ 000s</v>
      </c>
      <c r="H12" s="85">
        <f>SUM(J12:AZ12)</f>
        <v>310000</v>
      </c>
      <c r="J12" s="85">
        <f xml:space="preserve"> $F10 * J11</f>
        <v>46500</v>
      </c>
      <c r="K12" s="85">
        <f t="shared" ref="K12:AZ12" si="0" xml:space="preserve"> $F10 * K11</f>
        <v>9300</v>
      </c>
      <c r="L12" s="85">
        <f t="shared" si="0"/>
        <v>9300</v>
      </c>
      <c r="M12" s="85">
        <f t="shared" si="0"/>
        <v>9300</v>
      </c>
      <c r="N12" s="85">
        <f t="shared" si="0"/>
        <v>9300</v>
      </c>
      <c r="O12" s="85">
        <f t="shared" si="0"/>
        <v>9300</v>
      </c>
      <c r="P12" s="85">
        <f t="shared" si="0"/>
        <v>9300</v>
      </c>
      <c r="Q12" s="85">
        <f t="shared" si="0"/>
        <v>9300</v>
      </c>
      <c r="R12" s="85">
        <f t="shared" si="0"/>
        <v>9300</v>
      </c>
      <c r="S12" s="85">
        <f t="shared" si="0"/>
        <v>9300</v>
      </c>
      <c r="T12" s="85">
        <f t="shared" si="0"/>
        <v>9300</v>
      </c>
      <c r="U12" s="85">
        <f t="shared" si="0"/>
        <v>9300</v>
      </c>
      <c r="V12" s="85">
        <f t="shared" si="0"/>
        <v>9300</v>
      </c>
      <c r="W12" s="85">
        <f t="shared" si="0"/>
        <v>9300</v>
      </c>
      <c r="X12" s="85">
        <f t="shared" si="0"/>
        <v>9300</v>
      </c>
      <c r="Y12" s="85">
        <f t="shared" si="0"/>
        <v>9300</v>
      </c>
      <c r="Z12" s="85">
        <f t="shared" si="0"/>
        <v>9300</v>
      </c>
      <c r="AA12" s="85">
        <f t="shared" si="0"/>
        <v>9300</v>
      </c>
      <c r="AB12" s="85">
        <f t="shared" si="0"/>
        <v>9300</v>
      </c>
      <c r="AC12" s="85">
        <f t="shared" si="0"/>
        <v>9300</v>
      </c>
      <c r="AD12" s="85">
        <f t="shared" si="0"/>
        <v>9300</v>
      </c>
      <c r="AE12" s="85">
        <f t="shared" si="0"/>
        <v>9300</v>
      </c>
      <c r="AF12" s="85">
        <f t="shared" si="0"/>
        <v>68200</v>
      </c>
      <c r="AG12" s="85">
        <f t="shared" si="0"/>
        <v>0</v>
      </c>
      <c r="AH12" s="85">
        <f t="shared" si="0"/>
        <v>0</v>
      </c>
      <c r="AI12" s="85">
        <f t="shared" si="0"/>
        <v>0</v>
      </c>
      <c r="AJ12" s="85">
        <f t="shared" si="0"/>
        <v>0</v>
      </c>
      <c r="AK12" s="85">
        <f t="shared" si="0"/>
        <v>0</v>
      </c>
      <c r="AL12" s="85">
        <f t="shared" si="0"/>
        <v>0</v>
      </c>
      <c r="AM12" s="85">
        <f t="shared" si="0"/>
        <v>0</v>
      </c>
      <c r="AN12" s="85">
        <f t="shared" si="0"/>
        <v>0</v>
      </c>
      <c r="AO12" s="85">
        <f t="shared" si="0"/>
        <v>0</v>
      </c>
      <c r="AP12" s="85">
        <f t="shared" si="0"/>
        <v>0</v>
      </c>
      <c r="AQ12" s="85">
        <f t="shared" si="0"/>
        <v>0</v>
      </c>
      <c r="AR12" s="85">
        <f t="shared" si="0"/>
        <v>0</v>
      </c>
      <c r="AS12" s="85">
        <f t="shared" si="0"/>
        <v>0</v>
      </c>
      <c r="AT12" s="85">
        <f t="shared" si="0"/>
        <v>0</v>
      </c>
      <c r="AU12" s="85">
        <f t="shared" si="0"/>
        <v>0</v>
      </c>
      <c r="AV12" s="85">
        <f t="shared" si="0"/>
        <v>0</v>
      </c>
      <c r="AW12" s="85">
        <f t="shared" si="0"/>
        <v>0</v>
      </c>
      <c r="AX12" s="85">
        <f t="shared" si="0"/>
        <v>0</v>
      </c>
      <c r="AY12" s="85">
        <f t="shared" si="0"/>
        <v>0</v>
      </c>
      <c r="AZ12" s="85">
        <f t="shared" si="0"/>
        <v>0</v>
      </c>
    </row>
    <row r="14" spans="1:52" x14ac:dyDescent="0.2">
      <c r="E14" s="85" t="s">
        <v>183</v>
      </c>
      <c r="F14" s="136">
        <v>12000</v>
      </c>
      <c r="G14" s="85" t="str">
        <f xml:space="preserve"> SMU</f>
        <v>€ 000s</v>
      </c>
    </row>
    <row r="15" spans="1:52" s="144" customFormat="1" x14ac:dyDescent="0.2">
      <c r="A15" s="93"/>
      <c r="B15" s="93"/>
      <c r="C15" s="94"/>
      <c r="D15" s="143"/>
      <c r="E15" s="144" t="str">
        <f>ConTime!E$22</f>
        <v>Financial close date flag</v>
      </c>
      <c r="F15" s="144">
        <f>ConTime!F$22</f>
        <v>0</v>
      </c>
      <c r="G15" s="144">
        <f>ConTime!G$22</f>
        <v>0</v>
      </c>
      <c r="H15" s="144">
        <f>ConTime!H$22</f>
        <v>1</v>
      </c>
      <c r="I15" s="144">
        <f>ConTime!I$22</f>
        <v>0</v>
      </c>
      <c r="J15" s="144">
        <f>ConTime!J$22</f>
        <v>1</v>
      </c>
      <c r="K15" s="144">
        <f>ConTime!K$22</f>
        <v>0</v>
      </c>
      <c r="L15" s="144">
        <f>ConTime!L$22</f>
        <v>0</v>
      </c>
      <c r="M15" s="144">
        <f>ConTime!M$22</f>
        <v>0</v>
      </c>
      <c r="N15" s="144">
        <f>ConTime!N$22</f>
        <v>0</v>
      </c>
      <c r="O15" s="144">
        <f>ConTime!O$22</f>
        <v>0</v>
      </c>
      <c r="P15" s="144">
        <f>ConTime!P$22</f>
        <v>0</v>
      </c>
      <c r="Q15" s="144">
        <f>ConTime!Q$22</f>
        <v>0</v>
      </c>
      <c r="R15" s="144">
        <f>ConTime!R$22</f>
        <v>0</v>
      </c>
      <c r="S15" s="144">
        <f>ConTime!S$22</f>
        <v>0</v>
      </c>
      <c r="T15" s="144">
        <f>ConTime!T$22</f>
        <v>0</v>
      </c>
      <c r="U15" s="144">
        <f>ConTime!U$22</f>
        <v>0</v>
      </c>
      <c r="V15" s="144">
        <f>ConTime!V$22</f>
        <v>0</v>
      </c>
      <c r="W15" s="144">
        <f>ConTime!W$22</f>
        <v>0</v>
      </c>
      <c r="X15" s="144">
        <f>ConTime!X$22</f>
        <v>0</v>
      </c>
      <c r="Y15" s="144">
        <f>ConTime!Y$22</f>
        <v>0</v>
      </c>
      <c r="Z15" s="144">
        <f>ConTime!Z$22</f>
        <v>0</v>
      </c>
      <c r="AA15" s="144">
        <f>ConTime!AA$22</f>
        <v>0</v>
      </c>
      <c r="AB15" s="144">
        <f>ConTime!AB$22</f>
        <v>0</v>
      </c>
      <c r="AC15" s="144">
        <f>ConTime!AC$22</f>
        <v>0</v>
      </c>
      <c r="AD15" s="144">
        <f>ConTime!AD$22</f>
        <v>0</v>
      </c>
      <c r="AE15" s="144">
        <f>ConTime!AE$22</f>
        <v>0</v>
      </c>
      <c r="AF15" s="144">
        <f>ConTime!AF$22</f>
        <v>0</v>
      </c>
      <c r="AG15" s="144">
        <f>ConTime!AG$22</f>
        <v>0</v>
      </c>
      <c r="AH15" s="144">
        <f>ConTime!AH$22</f>
        <v>0</v>
      </c>
      <c r="AI15" s="144">
        <f>ConTime!AI$22</f>
        <v>0</v>
      </c>
      <c r="AJ15" s="144">
        <f>ConTime!AJ$22</f>
        <v>0</v>
      </c>
      <c r="AK15" s="144">
        <f>ConTime!AK$22</f>
        <v>0</v>
      </c>
      <c r="AL15" s="144">
        <f>ConTime!AL$22</f>
        <v>0</v>
      </c>
      <c r="AM15" s="144">
        <f>ConTime!AM$22</f>
        <v>0</v>
      </c>
      <c r="AN15" s="144">
        <f>ConTime!AN$22</f>
        <v>0</v>
      </c>
      <c r="AO15" s="144">
        <f>ConTime!AO$22</f>
        <v>0</v>
      </c>
      <c r="AP15" s="144">
        <f>ConTime!AP$22</f>
        <v>0</v>
      </c>
      <c r="AQ15" s="144">
        <f>ConTime!AQ$22</f>
        <v>0</v>
      </c>
      <c r="AR15" s="144">
        <f>ConTime!AR$22</f>
        <v>0</v>
      </c>
      <c r="AS15" s="144">
        <f>ConTime!AS$22</f>
        <v>0</v>
      </c>
      <c r="AT15" s="144">
        <f>ConTime!AT$22</f>
        <v>0</v>
      </c>
      <c r="AU15" s="144">
        <f>ConTime!AU$22</f>
        <v>0</v>
      </c>
      <c r="AV15" s="144">
        <f>ConTime!AV$22</f>
        <v>0</v>
      </c>
      <c r="AW15" s="144">
        <f>ConTime!AW$22</f>
        <v>0</v>
      </c>
      <c r="AX15" s="144">
        <f>ConTime!AX$22</f>
        <v>0</v>
      </c>
      <c r="AY15" s="144">
        <f>ConTime!AY$22</f>
        <v>0</v>
      </c>
      <c r="AZ15" s="144">
        <f>ConTime!AZ$22</f>
        <v>0</v>
      </c>
    </row>
    <row r="16" spans="1:52" x14ac:dyDescent="0.2">
      <c r="E16" s="85" t="s">
        <v>182</v>
      </c>
      <c r="G16" s="85" t="str">
        <f xml:space="preserve"> SMU</f>
        <v>€ 000s</v>
      </c>
      <c r="H16" s="85">
        <f>SUM(J16:AZ16)</f>
        <v>12000</v>
      </c>
      <c r="J16" s="85">
        <f xml:space="preserve"> $F14 * J15</f>
        <v>12000</v>
      </c>
      <c r="K16" s="85">
        <f t="shared" ref="K16:AZ16" si="1" xml:space="preserve"> $F14 * K15</f>
        <v>0</v>
      </c>
      <c r="L16" s="85">
        <f t="shared" si="1"/>
        <v>0</v>
      </c>
      <c r="M16" s="85">
        <f t="shared" si="1"/>
        <v>0</v>
      </c>
      <c r="N16" s="85">
        <f t="shared" si="1"/>
        <v>0</v>
      </c>
      <c r="O16" s="85">
        <f t="shared" si="1"/>
        <v>0</v>
      </c>
      <c r="P16" s="85">
        <f t="shared" si="1"/>
        <v>0</v>
      </c>
      <c r="Q16" s="85">
        <f t="shared" si="1"/>
        <v>0</v>
      </c>
      <c r="R16" s="85">
        <f t="shared" si="1"/>
        <v>0</v>
      </c>
      <c r="S16" s="85">
        <f t="shared" si="1"/>
        <v>0</v>
      </c>
      <c r="T16" s="85">
        <f t="shared" si="1"/>
        <v>0</v>
      </c>
      <c r="U16" s="85">
        <f t="shared" si="1"/>
        <v>0</v>
      </c>
      <c r="V16" s="85">
        <f t="shared" si="1"/>
        <v>0</v>
      </c>
      <c r="W16" s="85">
        <f t="shared" si="1"/>
        <v>0</v>
      </c>
      <c r="X16" s="85">
        <f t="shared" si="1"/>
        <v>0</v>
      </c>
      <c r="Y16" s="85">
        <f t="shared" si="1"/>
        <v>0</v>
      </c>
      <c r="Z16" s="85">
        <f t="shared" si="1"/>
        <v>0</v>
      </c>
      <c r="AA16" s="85">
        <f t="shared" si="1"/>
        <v>0</v>
      </c>
      <c r="AB16" s="85">
        <f t="shared" si="1"/>
        <v>0</v>
      </c>
      <c r="AC16" s="85">
        <f t="shared" si="1"/>
        <v>0</v>
      </c>
      <c r="AD16" s="85">
        <f t="shared" si="1"/>
        <v>0</v>
      </c>
      <c r="AE16" s="85">
        <f t="shared" si="1"/>
        <v>0</v>
      </c>
      <c r="AF16" s="85">
        <f t="shared" si="1"/>
        <v>0</v>
      </c>
      <c r="AG16" s="85">
        <f t="shared" si="1"/>
        <v>0</v>
      </c>
      <c r="AH16" s="85">
        <f t="shared" si="1"/>
        <v>0</v>
      </c>
      <c r="AI16" s="85">
        <f t="shared" si="1"/>
        <v>0</v>
      </c>
      <c r="AJ16" s="85">
        <f t="shared" si="1"/>
        <v>0</v>
      </c>
      <c r="AK16" s="85">
        <f t="shared" si="1"/>
        <v>0</v>
      </c>
      <c r="AL16" s="85">
        <f t="shared" si="1"/>
        <v>0</v>
      </c>
      <c r="AM16" s="85">
        <f t="shared" si="1"/>
        <v>0</v>
      </c>
      <c r="AN16" s="85">
        <f t="shared" si="1"/>
        <v>0</v>
      </c>
      <c r="AO16" s="85">
        <f t="shared" si="1"/>
        <v>0</v>
      </c>
      <c r="AP16" s="85">
        <f t="shared" si="1"/>
        <v>0</v>
      </c>
      <c r="AQ16" s="85">
        <f t="shared" si="1"/>
        <v>0</v>
      </c>
      <c r="AR16" s="85">
        <f t="shared" si="1"/>
        <v>0</v>
      </c>
      <c r="AS16" s="85">
        <f t="shared" si="1"/>
        <v>0</v>
      </c>
      <c r="AT16" s="85">
        <f t="shared" si="1"/>
        <v>0</v>
      </c>
      <c r="AU16" s="85">
        <f t="shared" si="1"/>
        <v>0</v>
      </c>
      <c r="AV16" s="85">
        <f t="shared" si="1"/>
        <v>0</v>
      </c>
      <c r="AW16" s="85">
        <f t="shared" si="1"/>
        <v>0</v>
      </c>
      <c r="AX16" s="85">
        <f t="shared" si="1"/>
        <v>0</v>
      </c>
      <c r="AY16" s="85">
        <f t="shared" si="1"/>
        <v>0</v>
      </c>
      <c r="AZ16" s="85">
        <f t="shared" si="1"/>
        <v>0</v>
      </c>
    </row>
    <row r="18" spans="1:52" x14ac:dyDescent="0.2">
      <c r="E18" s="85" t="s">
        <v>186</v>
      </c>
      <c r="F18" s="136">
        <v>8000</v>
      </c>
      <c r="G18" s="85" t="str">
        <f xml:space="preserve"> SMU</f>
        <v>€ 000s</v>
      </c>
    </row>
    <row r="19" spans="1:52" s="96" customFormat="1" x14ac:dyDescent="0.2">
      <c r="A19" s="92"/>
      <c r="B19" s="93"/>
      <c r="C19" s="94"/>
      <c r="D19" s="95"/>
      <c r="E19" s="96" t="str">
        <f>ConTime!E$26</f>
        <v>Construction period end / conversion date flag</v>
      </c>
      <c r="F19" s="96">
        <f>ConTime!F$26</f>
        <v>0</v>
      </c>
      <c r="G19" s="96">
        <f>ConTime!G$26</f>
        <v>0</v>
      </c>
      <c r="H19" s="96">
        <f>ConTime!H$26</f>
        <v>1</v>
      </c>
      <c r="I19" s="96">
        <f>ConTime!I$26</f>
        <v>0</v>
      </c>
      <c r="J19" s="96">
        <f>ConTime!J$26</f>
        <v>0</v>
      </c>
      <c r="K19" s="96">
        <f>ConTime!K$26</f>
        <v>0</v>
      </c>
      <c r="L19" s="96">
        <f>ConTime!L$26</f>
        <v>0</v>
      </c>
      <c r="M19" s="96">
        <f>ConTime!M$26</f>
        <v>0</v>
      </c>
      <c r="N19" s="96">
        <f>ConTime!N$26</f>
        <v>0</v>
      </c>
      <c r="O19" s="96">
        <f>ConTime!O$26</f>
        <v>0</v>
      </c>
      <c r="P19" s="96">
        <f>ConTime!P$26</f>
        <v>0</v>
      </c>
      <c r="Q19" s="96">
        <f>ConTime!Q$26</f>
        <v>0</v>
      </c>
      <c r="R19" s="96">
        <f>ConTime!R$26</f>
        <v>0</v>
      </c>
      <c r="S19" s="96">
        <f>ConTime!S$26</f>
        <v>0</v>
      </c>
      <c r="T19" s="96">
        <f>ConTime!T$26</f>
        <v>0</v>
      </c>
      <c r="U19" s="96">
        <f>ConTime!U$26</f>
        <v>0</v>
      </c>
      <c r="V19" s="96">
        <f>ConTime!V$26</f>
        <v>0</v>
      </c>
      <c r="W19" s="96">
        <f>ConTime!W$26</f>
        <v>0</v>
      </c>
      <c r="X19" s="96">
        <f>ConTime!X$26</f>
        <v>0</v>
      </c>
      <c r="Y19" s="96">
        <f>ConTime!Y$26</f>
        <v>0</v>
      </c>
      <c r="Z19" s="96">
        <f>ConTime!Z$26</f>
        <v>0</v>
      </c>
      <c r="AA19" s="96">
        <f>ConTime!AA$26</f>
        <v>0</v>
      </c>
      <c r="AB19" s="96">
        <f>ConTime!AB$26</f>
        <v>0</v>
      </c>
      <c r="AC19" s="96">
        <f>ConTime!AC$26</f>
        <v>0</v>
      </c>
      <c r="AD19" s="96">
        <f>ConTime!AD$26</f>
        <v>0</v>
      </c>
      <c r="AE19" s="96">
        <f>ConTime!AE$26</f>
        <v>0</v>
      </c>
      <c r="AF19" s="96">
        <f>ConTime!AF$26</f>
        <v>1</v>
      </c>
      <c r="AG19" s="96">
        <f>ConTime!AG$26</f>
        <v>0</v>
      </c>
      <c r="AH19" s="96">
        <f>ConTime!AH$26</f>
        <v>0</v>
      </c>
      <c r="AI19" s="96">
        <f>ConTime!AI$26</f>
        <v>0</v>
      </c>
      <c r="AJ19" s="96">
        <f>ConTime!AJ$26</f>
        <v>0</v>
      </c>
      <c r="AK19" s="96">
        <f>ConTime!AK$26</f>
        <v>0</v>
      </c>
      <c r="AL19" s="96">
        <f>ConTime!AL$26</f>
        <v>0</v>
      </c>
      <c r="AM19" s="96">
        <f>ConTime!AM$26</f>
        <v>0</v>
      </c>
      <c r="AN19" s="96">
        <f>ConTime!AN$26</f>
        <v>0</v>
      </c>
      <c r="AO19" s="96">
        <f>ConTime!AO$26</f>
        <v>0</v>
      </c>
      <c r="AP19" s="96">
        <f>ConTime!AP$26</f>
        <v>0</v>
      </c>
      <c r="AQ19" s="96">
        <f>ConTime!AQ$26</f>
        <v>0</v>
      </c>
      <c r="AR19" s="96">
        <f>ConTime!AR$26</f>
        <v>0</v>
      </c>
      <c r="AS19" s="96">
        <f>ConTime!AS$26</f>
        <v>0</v>
      </c>
      <c r="AT19" s="96">
        <f>ConTime!AT$26</f>
        <v>0</v>
      </c>
      <c r="AU19" s="96">
        <f>ConTime!AU$26</f>
        <v>0</v>
      </c>
      <c r="AV19" s="96">
        <f>ConTime!AV$26</f>
        <v>0</v>
      </c>
      <c r="AW19" s="96">
        <f>ConTime!AW$26</f>
        <v>0</v>
      </c>
      <c r="AX19" s="96">
        <f>ConTime!AX$26</f>
        <v>0</v>
      </c>
      <c r="AY19" s="96">
        <f>ConTime!AY$26</f>
        <v>0</v>
      </c>
      <c r="AZ19" s="96">
        <f>ConTime!AZ$26</f>
        <v>0</v>
      </c>
    </row>
    <row r="20" spans="1:52" x14ac:dyDescent="0.2">
      <c r="E20" s="85" t="s">
        <v>185</v>
      </c>
      <c r="G20" s="85" t="str">
        <f xml:space="preserve"> SMU</f>
        <v>€ 000s</v>
      </c>
      <c r="H20" s="85">
        <f>SUM(J20:AZ20)</f>
        <v>8000</v>
      </c>
      <c r="J20" s="85">
        <f xml:space="preserve"> $F18 * J19</f>
        <v>0</v>
      </c>
      <c r="K20" s="85">
        <f t="shared" ref="K20:AZ20" si="2" xml:space="preserve"> $F18 * K19</f>
        <v>0</v>
      </c>
      <c r="L20" s="85">
        <f t="shared" si="2"/>
        <v>0</v>
      </c>
      <c r="M20" s="85">
        <f t="shared" si="2"/>
        <v>0</v>
      </c>
      <c r="N20" s="85">
        <f t="shared" si="2"/>
        <v>0</v>
      </c>
      <c r="O20" s="85">
        <f t="shared" si="2"/>
        <v>0</v>
      </c>
      <c r="P20" s="85">
        <f t="shared" si="2"/>
        <v>0</v>
      </c>
      <c r="Q20" s="85">
        <f t="shared" si="2"/>
        <v>0</v>
      </c>
      <c r="R20" s="85">
        <f t="shared" si="2"/>
        <v>0</v>
      </c>
      <c r="S20" s="85">
        <f t="shared" si="2"/>
        <v>0</v>
      </c>
      <c r="T20" s="85">
        <f t="shared" si="2"/>
        <v>0</v>
      </c>
      <c r="U20" s="85">
        <f t="shared" si="2"/>
        <v>0</v>
      </c>
      <c r="V20" s="85">
        <f t="shared" si="2"/>
        <v>0</v>
      </c>
      <c r="W20" s="85">
        <f t="shared" si="2"/>
        <v>0</v>
      </c>
      <c r="X20" s="85">
        <f t="shared" si="2"/>
        <v>0</v>
      </c>
      <c r="Y20" s="85">
        <f t="shared" si="2"/>
        <v>0</v>
      </c>
      <c r="Z20" s="85">
        <f t="shared" si="2"/>
        <v>0</v>
      </c>
      <c r="AA20" s="85">
        <f t="shared" si="2"/>
        <v>0</v>
      </c>
      <c r="AB20" s="85">
        <f t="shared" si="2"/>
        <v>0</v>
      </c>
      <c r="AC20" s="85">
        <f t="shared" si="2"/>
        <v>0</v>
      </c>
      <c r="AD20" s="85">
        <f t="shared" si="2"/>
        <v>0</v>
      </c>
      <c r="AE20" s="85">
        <f t="shared" si="2"/>
        <v>0</v>
      </c>
      <c r="AF20" s="85">
        <f t="shared" si="2"/>
        <v>8000</v>
      </c>
      <c r="AG20" s="85">
        <f t="shared" si="2"/>
        <v>0</v>
      </c>
      <c r="AH20" s="85">
        <f t="shared" si="2"/>
        <v>0</v>
      </c>
      <c r="AI20" s="85">
        <f t="shared" si="2"/>
        <v>0</v>
      </c>
      <c r="AJ20" s="85">
        <f t="shared" si="2"/>
        <v>0</v>
      </c>
      <c r="AK20" s="85">
        <f t="shared" si="2"/>
        <v>0</v>
      </c>
      <c r="AL20" s="85">
        <f t="shared" si="2"/>
        <v>0</v>
      </c>
      <c r="AM20" s="85">
        <f t="shared" si="2"/>
        <v>0</v>
      </c>
      <c r="AN20" s="85">
        <f t="shared" si="2"/>
        <v>0</v>
      </c>
      <c r="AO20" s="85">
        <f t="shared" si="2"/>
        <v>0</v>
      </c>
      <c r="AP20" s="85">
        <f t="shared" si="2"/>
        <v>0</v>
      </c>
      <c r="AQ20" s="85">
        <f t="shared" si="2"/>
        <v>0</v>
      </c>
      <c r="AR20" s="85">
        <f t="shared" si="2"/>
        <v>0</v>
      </c>
      <c r="AS20" s="85">
        <f t="shared" si="2"/>
        <v>0</v>
      </c>
      <c r="AT20" s="85">
        <f t="shared" si="2"/>
        <v>0</v>
      </c>
      <c r="AU20" s="85">
        <f t="shared" si="2"/>
        <v>0</v>
      </c>
      <c r="AV20" s="85">
        <f t="shared" si="2"/>
        <v>0</v>
      </c>
      <c r="AW20" s="85">
        <f t="shared" si="2"/>
        <v>0</v>
      </c>
      <c r="AX20" s="85">
        <f t="shared" si="2"/>
        <v>0</v>
      </c>
      <c r="AY20" s="85">
        <f t="shared" si="2"/>
        <v>0</v>
      </c>
      <c r="AZ20" s="85">
        <f t="shared" si="2"/>
        <v>0</v>
      </c>
    </row>
    <row r="22" spans="1:52" x14ac:dyDescent="0.2">
      <c r="E22" s="85" t="s">
        <v>188</v>
      </c>
      <c r="F22" s="136">
        <v>5000</v>
      </c>
      <c r="G22" s="85" t="str">
        <f xml:space="preserve"> SMU</f>
        <v>€ 000s</v>
      </c>
    </row>
    <row r="23" spans="1:52" s="185" customFormat="1" x14ac:dyDescent="0.2">
      <c r="A23" s="182"/>
      <c r="B23" s="182"/>
      <c r="C23" s="183"/>
      <c r="D23" s="198"/>
      <c r="E23" s="185" t="str">
        <f>ConTime!E$30</f>
        <v>Level construction period payment schedule</v>
      </c>
      <c r="F23" s="185">
        <f>ConTime!F$30</f>
        <v>0</v>
      </c>
      <c r="G23" s="185">
        <f>ConTime!G$30</f>
        <v>0</v>
      </c>
      <c r="H23" s="185">
        <f>ConTime!H$30</f>
        <v>0.99999999999999967</v>
      </c>
      <c r="I23" s="185">
        <f>ConTime!I$30</f>
        <v>0</v>
      </c>
      <c r="J23" s="185">
        <f>ConTime!J$30</f>
        <v>0</v>
      </c>
      <c r="K23" s="185">
        <f>ConTime!K$30</f>
        <v>4.5454545454545456E-2</v>
      </c>
      <c r="L23" s="185">
        <f>ConTime!L$30</f>
        <v>4.5454545454545456E-2</v>
      </c>
      <c r="M23" s="185">
        <f>ConTime!M$30</f>
        <v>4.5454545454545456E-2</v>
      </c>
      <c r="N23" s="185">
        <f>ConTime!N$30</f>
        <v>4.5454545454545456E-2</v>
      </c>
      <c r="O23" s="185">
        <f>ConTime!O$30</f>
        <v>4.5454545454545456E-2</v>
      </c>
      <c r="P23" s="185">
        <f>ConTime!P$30</f>
        <v>4.5454545454545456E-2</v>
      </c>
      <c r="Q23" s="185">
        <f>ConTime!Q$30</f>
        <v>4.5454545454545456E-2</v>
      </c>
      <c r="R23" s="185">
        <f>ConTime!R$30</f>
        <v>4.5454545454545456E-2</v>
      </c>
      <c r="S23" s="185">
        <f>ConTime!S$30</f>
        <v>4.5454545454545456E-2</v>
      </c>
      <c r="T23" s="185">
        <f>ConTime!T$30</f>
        <v>4.5454545454545456E-2</v>
      </c>
      <c r="U23" s="185">
        <f>ConTime!U$30</f>
        <v>4.5454545454545456E-2</v>
      </c>
      <c r="V23" s="185">
        <f>ConTime!V$30</f>
        <v>4.5454545454545456E-2</v>
      </c>
      <c r="W23" s="185">
        <f>ConTime!W$30</f>
        <v>4.5454545454545456E-2</v>
      </c>
      <c r="X23" s="185">
        <f>ConTime!X$30</f>
        <v>4.5454545454545456E-2</v>
      </c>
      <c r="Y23" s="185">
        <f>ConTime!Y$30</f>
        <v>4.5454545454545456E-2</v>
      </c>
      <c r="Z23" s="185">
        <f>ConTime!Z$30</f>
        <v>4.5454545454545456E-2</v>
      </c>
      <c r="AA23" s="185">
        <f>ConTime!AA$30</f>
        <v>4.5454545454545456E-2</v>
      </c>
      <c r="AB23" s="185">
        <f>ConTime!AB$30</f>
        <v>4.5454545454545456E-2</v>
      </c>
      <c r="AC23" s="185">
        <f>ConTime!AC$30</f>
        <v>4.5454545454545456E-2</v>
      </c>
      <c r="AD23" s="185">
        <f>ConTime!AD$30</f>
        <v>4.5454545454545456E-2</v>
      </c>
      <c r="AE23" s="185">
        <f>ConTime!AE$30</f>
        <v>4.5454545454545456E-2</v>
      </c>
      <c r="AF23" s="185">
        <f>ConTime!AF$30</f>
        <v>4.5454545454545456E-2</v>
      </c>
      <c r="AG23" s="185">
        <f>ConTime!AG$30</f>
        <v>0</v>
      </c>
      <c r="AH23" s="185">
        <f>ConTime!AH$30</f>
        <v>0</v>
      </c>
      <c r="AI23" s="185">
        <f>ConTime!AI$30</f>
        <v>0</v>
      </c>
      <c r="AJ23" s="185">
        <f>ConTime!AJ$30</f>
        <v>0</v>
      </c>
      <c r="AK23" s="185">
        <f>ConTime!AK$30</f>
        <v>0</v>
      </c>
      <c r="AL23" s="185">
        <f>ConTime!AL$30</f>
        <v>0</v>
      </c>
      <c r="AM23" s="185">
        <f>ConTime!AM$30</f>
        <v>0</v>
      </c>
      <c r="AN23" s="185">
        <f>ConTime!AN$30</f>
        <v>0</v>
      </c>
      <c r="AO23" s="185">
        <f>ConTime!AO$30</f>
        <v>0</v>
      </c>
      <c r="AP23" s="185">
        <f>ConTime!AP$30</f>
        <v>0</v>
      </c>
      <c r="AQ23" s="185">
        <f>ConTime!AQ$30</f>
        <v>0</v>
      </c>
      <c r="AR23" s="185">
        <f>ConTime!AR$30</f>
        <v>0</v>
      </c>
      <c r="AS23" s="185">
        <f>ConTime!AS$30</f>
        <v>0</v>
      </c>
      <c r="AT23" s="185">
        <f>ConTime!AT$30</f>
        <v>0</v>
      </c>
      <c r="AU23" s="185">
        <f>ConTime!AU$30</f>
        <v>0</v>
      </c>
      <c r="AV23" s="185">
        <f>ConTime!AV$30</f>
        <v>0</v>
      </c>
      <c r="AW23" s="185">
        <f>ConTime!AW$30</f>
        <v>0</v>
      </c>
      <c r="AX23" s="185">
        <f>ConTime!AX$30</f>
        <v>0</v>
      </c>
      <c r="AY23" s="185">
        <f>ConTime!AY$30</f>
        <v>0</v>
      </c>
      <c r="AZ23" s="185">
        <f>ConTime!AZ$30</f>
        <v>0</v>
      </c>
    </row>
    <row r="24" spans="1:52" x14ac:dyDescent="0.2">
      <c r="E24" s="85" t="s">
        <v>187</v>
      </c>
      <c r="G24" s="85" t="str">
        <f xml:space="preserve"> SMU</f>
        <v>€ 000s</v>
      </c>
      <c r="H24" s="85">
        <f>SUM(J24:AZ24)</f>
        <v>5000.0000000000009</v>
      </c>
      <c r="J24" s="85">
        <f xml:space="preserve"> $F22 * J23</f>
        <v>0</v>
      </c>
      <c r="K24" s="85">
        <f t="shared" ref="K24:AZ24" si="3" xml:space="preserve"> $F22 * K23</f>
        <v>227.27272727272728</v>
      </c>
      <c r="L24" s="85">
        <f t="shared" si="3"/>
        <v>227.27272727272728</v>
      </c>
      <c r="M24" s="85">
        <f t="shared" si="3"/>
        <v>227.27272727272728</v>
      </c>
      <c r="N24" s="85">
        <f t="shared" si="3"/>
        <v>227.27272727272728</v>
      </c>
      <c r="O24" s="85">
        <f t="shared" si="3"/>
        <v>227.27272727272728</v>
      </c>
      <c r="P24" s="85">
        <f t="shared" si="3"/>
        <v>227.27272727272728</v>
      </c>
      <c r="Q24" s="85">
        <f t="shared" si="3"/>
        <v>227.27272727272728</v>
      </c>
      <c r="R24" s="85">
        <f t="shared" si="3"/>
        <v>227.27272727272728</v>
      </c>
      <c r="S24" s="85">
        <f t="shared" si="3"/>
        <v>227.27272727272728</v>
      </c>
      <c r="T24" s="85">
        <f t="shared" si="3"/>
        <v>227.27272727272728</v>
      </c>
      <c r="U24" s="85">
        <f t="shared" si="3"/>
        <v>227.27272727272728</v>
      </c>
      <c r="V24" s="85">
        <f t="shared" si="3"/>
        <v>227.27272727272728</v>
      </c>
      <c r="W24" s="85">
        <f t="shared" si="3"/>
        <v>227.27272727272728</v>
      </c>
      <c r="X24" s="85">
        <f t="shared" si="3"/>
        <v>227.27272727272728</v>
      </c>
      <c r="Y24" s="85">
        <f t="shared" si="3"/>
        <v>227.27272727272728</v>
      </c>
      <c r="Z24" s="85">
        <f t="shared" si="3"/>
        <v>227.27272727272728</v>
      </c>
      <c r="AA24" s="85">
        <f t="shared" si="3"/>
        <v>227.27272727272728</v>
      </c>
      <c r="AB24" s="85">
        <f t="shared" si="3"/>
        <v>227.27272727272728</v>
      </c>
      <c r="AC24" s="85">
        <f t="shared" si="3"/>
        <v>227.27272727272728</v>
      </c>
      <c r="AD24" s="85">
        <f t="shared" si="3"/>
        <v>227.27272727272728</v>
      </c>
      <c r="AE24" s="85">
        <f t="shared" si="3"/>
        <v>227.27272727272728</v>
      </c>
      <c r="AF24" s="85">
        <f t="shared" si="3"/>
        <v>227.27272727272728</v>
      </c>
      <c r="AG24" s="85">
        <f t="shared" si="3"/>
        <v>0</v>
      </c>
      <c r="AH24" s="85">
        <f t="shared" si="3"/>
        <v>0</v>
      </c>
      <c r="AI24" s="85">
        <f t="shared" si="3"/>
        <v>0</v>
      </c>
      <c r="AJ24" s="85">
        <f t="shared" si="3"/>
        <v>0</v>
      </c>
      <c r="AK24" s="85">
        <f t="shared" si="3"/>
        <v>0</v>
      </c>
      <c r="AL24" s="85">
        <f t="shared" si="3"/>
        <v>0</v>
      </c>
      <c r="AM24" s="85">
        <f t="shared" si="3"/>
        <v>0</v>
      </c>
      <c r="AN24" s="85">
        <f t="shared" si="3"/>
        <v>0</v>
      </c>
      <c r="AO24" s="85">
        <f t="shared" si="3"/>
        <v>0</v>
      </c>
      <c r="AP24" s="85">
        <f t="shared" si="3"/>
        <v>0</v>
      </c>
      <c r="AQ24" s="85">
        <f t="shared" si="3"/>
        <v>0</v>
      </c>
      <c r="AR24" s="85">
        <f t="shared" si="3"/>
        <v>0</v>
      </c>
      <c r="AS24" s="85">
        <f t="shared" si="3"/>
        <v>0</v>
      </c>
      <c r="AT24" s="85">
        <f t="shared" si="3"/>
        <v>0</v>
      </c>
      <c r="AU24" s="85">
        <f t="shared" si="3"/>
        <v>0</v>
      </c>
      <c r="AV24" s="85">
        <f t="shared" si="3"/>
        <v>0</v>
      </c>
      <c r="AW24" s="85">
        <f t="shared" si="3"/>
        <v>0</v>
      </c>
      <c r="AX24" s="85">
        <f t="shared" si="3"/>
        <v>0</v>
      </c>
      <c r="AY24" s="85">
        <f t="shared" si="3"/>
        <v>0</v>
      </c>
      <c r="AZ24" s="85">
        <f t="shared" si="3"/>
        <v>0</v>
      </c>
    </row>
    <row r="26" spans="1:52" x14ac:dyDescent="0.2">
      <c r="E26" s="85" t="str">
        <f xml:space="preserve"> E$12</f>
        <v>EPC contract costs</v>
      </c>
      <c r="F26" s="85">
        <f t="shared" ref="F26:AZ26" si="4" xml:space="preserve"> F$12</f>
        <v>0</v>
      </c>
      <c r="G26" s="85" t="str">
        <f t="shared" si="4"/>
        <v>€ 000s</v>
      </c>
      <c r="H26" s="85">
        <f t="shared" si="4"/>
        <v>310000</v>
      </c>
      <c r="I26" s="85">
        <f t="shared" si="4"/>
        <v>0</v>
      </c>
      <c r="J26" s="85">
        <f t="shared" si="4"/>
        <v>46500</v>
      </c>
      <c r="K26" s="85">
        <f t="shared" si="4"/>
        <v>9300</v>
      </c>
      <c r="L26" s="85">
        <f t="shared" si="4"/>
        <v>9300</v>
      </c>
      <c r="M26" s="85">
        <f t="shared" si="4"/>
        <v>9300</v>
      </c>
      <c r="N26" s="85">
        <f t="shared" si="4"/>
        <v>9300</v>
      </c>
      <c r="O26" s="85">
        <f t="shared" si="4"/>
        <v>9300</v>
      </c>
      <c r="P26" s="85">
        <f t="shared" si="4"/>
        <v>9300</v>
      </c>
      <c r="Q26" s="85">
        <f t="shared" si="4"/>
        <v>9300</v>
      </c>
      <c r="R26" s="85">
        <f t="shared" si="4"/>
        <v>9300</v>
      </c>
      <c r="S26" s="85">
        <f t="shared" si="4"/>
        <v>9300</v>
      </c>
      <c r="T26" s="85">
        <f t="shared" si="4"/>
        <v>9300</v>
      </c>
      <c r="U26" s="85">
        <f t="shared" si="4"/>
        <v>9300</v>
      </c>
      <c r="V26" s="85">
        <f t="shared" si="4"/>
        <v>9300</v>
      </c>
      <c r="W26" s="85">
        <f t="shared" si="4"/>
        <v>9300</v>
      </c>
      <c r="X26" s="85">
        <f t="shared" si="4"/>
        <v>9300</v>
      </c>
      <c r="Y26" s="85">
        <f t="shared" si="4"/>
        <v>9300</v>
      </c>
      <c r="Z26" s="85">
        <f t="shared" si="4"/>
        <v>9300</v>
      </c>
      <c r="AA26" s="85">
        <f t="shared" si="4"/>
        <v>9300</v>
      </c>
      <c r="AB26" s="85">
        <f t="shared" si="4"/>
        <v>9300</v>
      </c>
      <c r="AC26" s="85">
        <f t="shared" si="4"/>
        <v>9300</v>
      </c>
      <c r="AD26" s="85">
        <f t="shared" si="4"/>
        <v>9300</v>
      </c>
      <c r="AE26" s="85">
        <f t="shared" si="4"/>
        <v>9300</v>
      </c>
      <c r="AF26" s="85">
        <f t="shared" si="4"/>
        <v>68200</v>
      </c>
      <c r="AG26" s="85">
        <f t="shared" si="4"/>
        <v>0</v>
      </c>
      <c r="AH26" s="85">
        <f t="shared" si="4"/>
        <v>0</v>
      </c>
      <c r="AI26" s="85">
        <f t="shared" si="4"/>
        <v>0</v>
      </c>
      <c r="AJ26" s="85">
        <f t="shared" si="4"/>
        <v>0</v>
      </c>
      <c r="AK26" s="85">
        <f t="shared" si="4"/>
        <v>0</v>
      </c>
      <c r="AL26" s="85">
        <f t="shared" si="4"/>
        <v>0</v>
      </c>
      <c r="AM26" s="85">
        <f t="shared" si="4"/>
        <v>0</v>
      </c>
      <c r="AN26" s="85">
        <f t="shared" si="4"/>
        <v>0</v>
      </c>
      <c r="AO26" s="85">
        <f t="shared" si="4"/>
        <v>0</v>
      </c>
      <c r="AP26" s="85">
        <f t="shared" si="4"/>
        <v>0</v>
      </c>
      <c r="AQ26" s="85">
        <f t="shared" si="4"/>
        <v>0</v>
      </c>
      <c r="AR26" s="85">
        <f t="shared" si="4"/>
        <v>0</v>
      </c>
      <c r="AS26" s="85">
        <f t="shared" si="4"/>
        <v>0</v>
      </c>
      <c r="AT26" s="85">
        <f t="shared" si="4"/>
        <v>0</v>
      </c>
      <c r="AU26" s="85">
        <f t="shared" si="4"/>
        <v>0</v>
      </c>
      <c r="AV26" s="85">
        <f t="shared" si="4"/>
        <v>0</v>
      </c>
      <c r="AW26" s="85">
        <f t="shared" si="4"/>
        <v>0</v>
      </c>
      <c r="AX26" s="85">
        <f t="shared" si="4"/>
        <v>0</v>
      </c>
      <c r="AY26" s="85">
        <f t="shared" si="4"/>
        <v>0</v>
      </c>
      <c r="AZ26" s="85">
        <f t="shared" si="4"/>
        <v>0</v>
      </c>
    </row>
    <row r="27" spans="1:52" x14ac:dyDescent="0.2">
      <c r="E27" s="85" t="str">
        <f xml:space="preserve"> E$16</f>
        <v>Development cost</v>
      </c>
      <c r="F27" s="85">
        <f t="shared" ref="F27:AZ27" si="5" xml:space="preserve"> F$16</f>
        <v>0</v>
      </c>
      <c r="G27" s="85" t="str">
        <f t="shared" si="5"/>
        <v>€ 000s</v>
      </c>
      <c r="H27" s="85">
        <f t="shared" si="5"/>
        <v>12000</v>
      </c>
      <c r="I27" s="85">
        <f t="shared" si="5"/>
        <v>0</v>
      </c>
      <c r="J27" s="85">
        <f t="shared" si="5"/>
        <v>12000</v>
      </c>
      <c r="K27" s="85">
        <f t="shared" si="5"/>
        <v>0</v>
      </c>
      <c r="L27" s="85">
        <f t="shared" si="5"/>
        <v>0</v>
      </c>
      <c r="M27" s="85">
        <f t="shared" si="5"/>
        <v>0</v>
      </c>
      <c r="N27" s="85">
        <f t="shared" si="5"/>
        <v>0</v>
      </c>
      <c r="O27" s="85">
        <f t="shared" si="5"/>
        <v>0</v>
      </c>
      <c r="P27" s="85">
        <f t="shared" si="5"/>
        <v>0</v>
      </c>
      <c r="Q27" s="85">
        <f t="shared" si="5"/>
        <v>0</v>
      </c>
      <c r="R27" s="85">
        <f t="shared" si="5"/>
        <v>0</v>
      </c>
      <c r="S27" s="85">
        <f t="shared" si="5"/>
        <v>0</v>
      </c>
      <c r="T27" s="85">
        <f t="shared" si="5"/>
        <v>0</v>
      </c>
      <c r="U27" s="85">
        <f t="shared" si="5"/>
        <v>0</v>
      </c>
      <c r="V27" s="85">
        <f t="shared" si="5"/>
        <v>0</v>
      </c>
      <c r="W27" s="85">
        <f t="shared" si="5"/>
        <v>0</v>
      </c>
      <c r="X27" s="85">
        <f t="shared" si="5"/>
        <v>0</v>
      </c>
      <c r="Y27" s="85">
        <f t="shared" si="5"/>
        <v>0</v>
      </c>
      <c r="Z27" s="85">
        <f t="shared" si="5"/>
        <v>0</v>
      </c>
      <c r="AA27" s="85">
        <f t="shared" si="5"/>
        <v>0</v>
      </c>
      <c r="AB27" s="85">
        <f t="shared" si="5"/>
        <v>0</v>
      </c>
      <c r="AC27" s="85">
        <f t="shared" si="5"/>
        <v>0</v>
      </c>
      <c r="AD27" s="85">
        <f t="shared" si="5"/>
        <v>0</v>
      </c>
      <c r="AE27" s="85">
        <f t="shared" si="5"/>
        <v>0</v>
      </c>
      <c r="AF27" s="85">
        <f t="shared" si="5"/>
        <v>0</v>
      </c>
      <c r="AG27" s="85">
        <f t="shared" si="5"/>
        <v>0</v>
      </c>
      <c r="AH27" s="85">
        <f t="shared" si="5"/>
        <v>0</v>
      </c>
      <c r="AI27" s="85">
        <f t="shared" si="5"/>
        <v>0</v>
      </c>
      <c r="AJ27" s="85">
        <f t="shared" si="5"/>
        <v>0</v>
      </c>
      <c r="AK27" s="85">
        <f t="shared" si="5"/>
        <v>0</v>
      </c>
      <c r="AL27" s="85">
        <f t="shared" si="5"/>
        <v>0</v>
      </c>
      <c r="AM27" s="85">
        <f t="shared" si="5"/>
        <v>0</v>
      </c>
      <c r="AN27" s="85">
        <f t="shared" si="5"/>
        <v>0</v>
      </c>
      <c r="AO27" s="85">
        <f t="shared" si="5"/>
        <v>0</v>
      </c>
      <c r="AP27" s="85">
        <f t="shared" si="5"/>
        <v>0</v>
      </c>
      <c r="AQ27" s="85">
        <f t="shared" si="5"/>
        <v>0</v>
      </c>
      <c r="AR27" s="85">
        <f t="shared" si="5"/>
        <v>0</v>
      </c>
      <c r="AS27" s="85">
        <f t="shared" si="5"/>
        <v>0</v>
      </c>
      <c r="AT27" s="85">
        <f t="shared" si="5"/>
        <v>0</v>
      </c>
      <c r="AU27" s="85">
        <f t="shared" si="5"/>
        <v>0</v>
      </c>
      <c r="AV27" s="85">
        <f t="shared" si="5"/>
        <v>0</v>
      </c>
      <c r="AW27" s="85">
        <f t="shared" si="5"/>
        <v>0</v>
      </c>
      <c r="AX27" s="85">
        <f t="shared" si="5"/>
        <v>0</v>
      </c>
      <c r="AY27" s="85">
        <f t="shared" si="5"/>
        <v>0</v>
      </c>
      <c r="AZ27" s="85">
        <f t="shared" si="5"/>
        <v>0</v>
      </c>
    </row>
    <row r="28" spans="1:52" x14ac:dyDescent="0.2">
      <c r="E28" s="85" t="str">
        <f xml:space="preserve"> E$20</f>
        <v>O&amp;M mobilization costs</v>
      </c>
      <c r="F28" s="85">
        <f t="shared" ref="F28:AZ28" si="6" xml:space="preserve"> F$20</f>
        <v>0</v>
      </c>
      <c r="G28" s="85" t="str">
        <f t="shared" si="6"/>
        <v>€ 000s</v>
      </c>
      <c r="H28" s="85">
        <f t="shared" si="6"/>
        <v>8000</v>
      </c>
      <c r="I28" s="85">
        <f t="shared" si="6"/>
        <v>0</v>
      </c>
      <c r="J28" s="85">
        <f t="shared" si="6"/>
        <v>0</v>
      </c>
      <c r="K28" s="85">
        <f t="shared" si="6"/>
        <v>0</v>
      </c>
      <c r="L28" s="85">
        <f t="shared" si="6"/>
        <v>0</v>
      </c>
      <c r="M28" s="85">
        <f t="shared" si="6"/>
        <v>0</v>
      </c>
      <c r="N28" s="85">
        <f t="shared" si="6"/>
        <v>0</v>
      </c>
      <c r="O28" s="85">
        <f t="shared" si="6"/>
        <v>0</v>
      </c>
      <c r="P28" s="85">
        <f t="shared" si="6"/>
        <v>0</v>
      </c>
      <c r="Q28" s="85">
        <f t="shared" si="6"/>
        <v>0</v>
      </c>
      <c r="R28" s="85">
        <f t="shared" si="6"/>
        <v>0</v>
      </c>
      <c r="S28" s="85">
        <f t="shared" si="6"/>
        <v>0</v>
      </c>
      <c r="T28" s="85">
        <f t="shared" si="6"/>
        <v>0</v>
      </c>
      <c r="U28" s="85">
        <f t="shared" si="6"/>
        <v>0</v>
      </c>
      <c r="V28" s="85">
        <f t="shared" si="6"/>
        <v>0</v>
      </c>
      <c r="W28" s="85">
        <f t="shared" si="6"/>
        <v>0</v>
      </c>
      <c r="X28" s="85">
        <f t="shared" si="6"/>
        <v>0</v>
      </c>
      <c r="Y28" s="85">
        <f t="shared" si="6"/>
        <v>0</v>
      </c>
      <c r="Z28" s="85">
        <f t="shared" si="6"/>
        <v>0</v>
      </c>
      <c r="AA28" s="85">
        <f t="shared" si="6"/>
        <v>0</v>
      </c>
      <c r="AB28" s="85">
        <f t="shared" si="6"/>
        <v>0</v>
      </c>
      <c r="AC28" s="85">
        <f t="shared" si="6"/>
        <v>0</v>
      </c>
      <c r="AD28" s="85">
        <f t="shared" si="6"/>
        <v>0</v>
      </c>
      <c r="AE28" s="85">
        <f t="shared" si="6"/>
        <v>0</v>
      </c>
      <c r="AF28" s="85">
        <f t="shared" si="6"/>
        <v>8000</v>
      </c>
      <c r="AG28" s="85">
        <f t="shared" si="6"/>
        <v>0</v>
      </c>
      <c r="AH28" s="85">
        <f t="shared" si="6"/>
        <v>0</v>
      </c>
      <c r="AI28" s="85">
        <f t="shared" si="6"/>
        <v>0</v>
      </c>
      <c r="AJ28" s="85">
        <f t="shared" si="6"/>
        <v>0</v>
      </c>
      <c r="AK28" s="85">
        <f t="shared" si="6"/>
        <v>0</v>
      </c>
      <c r="AL28" s="85">
        <f t="shared" si="6"/>
        <v>0</v>
      </c>
      <c r="AM28" s="85">
        <f t="shared" si="6"/>
        <v>0</v>
      </c>
      <c r="AN28" s="85">
        <f t="shared" si="6"/>
        <v>0</v>
      </c>
      <c r="AO28" s="85">
        <f t="shared" si="6"/>
        <v>0</v>
      </c>
      <c r="AP28" s="85">
        <f t="shared" si="6"/>
        <v>0</v>
      </c>
      <c r="AQ28" s="85">
        <f t="shared" si="6"/>
        <v>0</v>
      </c>
      <c r="AR28" s="85">
        <f t="shared" si="6"/>
        <v>0</v>
      </c>
      <c r="AS28" s="85">
        <f t="shared" si="6"/>
        <v>0</v>
      </c>
      <c r="AT28" s="85">
        <f t="shared" si="6"/>
        <v>0</v>
      </c>
      <c r="AU28" s="85">
        <f t="shared" si="6"/>
        <v>0</v>
      </c>
      <c r="AV28" s="85">
        <f t="shared" si="6"/>
        <v>0</v>
      </c>
      <c r="AW28" s="85">
        <f t="shared" si="6"/>
        <v>0</v>
      </c>
      <c r="AX28" s="85">
        <f t="shared" si="6"/>
        <v>0</v>
      </c>
      <c r="AY28" s="85">
        <f t="shared" si="6"/>
        <v>0</v>
      </c>
      <c r="AZ28" s="85">
        <f t="shared" si="6"/>
        <v>0</v>
      </c>
    </row>
    <row r="29" spans="1:52" x14ac:dyDescent="0.2">
      <c r="E29" s="85" t="str">
        <f xml:space="preserve"> E$24</f>
        <v>Owners G&amp;A costs DC</v>
      </c>
      <c r="F29" s="85">
        <f t="shared" ref="F29:AZ29" si="7" xml:space="preserve"> F$24</f>
        <v>0</v>
      </c>
      <c r="G29" s="85" t="str">
        <f t="shared" si="7"/>
        <v>€ 000s</v>
      </c>
      <c r="H29" s="85">
        <f t="shared" si="7"/>
        <v>5000.0000000000009</v>
      </c>
      <c r="I29" s="85">
        <f t="shared" si="7"/>
        <v>0</v>
      </c>
      <c r="J29" s="85">
        <f t="shared" si="7"/>
        <v>0</v>
      </c>
      <c r="K29" s="85">
        <f t="shared" si="7"/>
        <v>227.27272727272728</v>
      </c>
      <c r="L29" s="85">
        <f t="shared" si="7"/>
        <v>227.27272727272728</v>
      </c>
      <c r="M29" s="85">
        <f t="shared" si="7"/>
        <v>227.27272727272728</v>
      </c>
      <c r="N29" s="85">
        <f t="shared" si="7"/>
        <v>227.27272727272728</v>
      </c>
      <c r="O29" s="85">
        <f t="shared" si="7"/>
        <v>227.27272727272728</v>
      </c>
      <c r="P29" s="85">
        <f t="shared" si="7"/>
        <v>227.27272727272728</v>
      </c>
      <c r="Q29" s="85">
        <f t="shared" si="7"/>
        <v>227.27272727272728</v>
      </c>
      <c r="R29" s="85">
        <f t="shared" si="7"/>
        <v>227.27272727272728</v>
      </c>
      <c r="S29" s="85">
        <f t="shared" si="7"/>
        <v>227.27272727272728</v>
      </c>
      <c r="T29" s="85">
        <f t="shared" si="7"/>
        <v>227.27272727272728</v>
      </c>
      <c r="U29" s="85">
        <f t="shared" si="7"/>
        <v>227.27272727272728</v>
      </c>
      <c r="V29" s="85">
        <f t="shared" si="7"/>
        <v>227.27272727272728</v>
      </c>
      <c r="W29" s="85">
        <f t="shared" si="7"/>
        <v>227.27272727272728</v>
      </c>
      <c r="X29" s="85">
        <f t="shared" si="7"/>
        <v>227.27272727272728</v>
      </c>
      <c r="Y29" s="85">
        <f t="shared" si="7"/>
        <v>227.27272727272728</v>
      </c>
      <c r="Z29" s="85">
        <f t="shared" si="7"/>
        <v>227.27272727272728</v>
      </c>
      <c r="AA29" s="85">
        <f t="shared" si="7"/>
        <v>227.27272727272728</v>
      </c>
      <c r="AB29" s="85">
        <f t="shared" si="7"/>
        <v>227.27272727272728</v>
      </c>
      <c r="AC29" s="85">
        <f t="shared" si="7"/>
        <v>227.27272727272728</v>
      </c>
      <c r="AD29" s="85">
        <f t="shared" si="7"/>
        <v>227.27272727272728</v>
      </c>
      <c r="AE29" s="85">
        <f t="shared" si="7"/>
        <v>227.27272727272728</v>
      </c>
      <c r="AF29" s="85">
        <f t="shared" si="7"/>
        <v>227.27272727272728</v>
      </c>
      <c r="AG29" s="85">
        <f t="shared" si="7"/>
        <v>0</v>
      </c>
      <c r="AH29" s="85">
        <f t="shared" si="7"/>
        <v>0</v>
      </c>
      <c r="AI29" s="85">
        <f t="shared" si="7"/>
        <v>0</v>
      </c>
      <c r="AJ29" s="85">
        <f t="shared" si="7"/>
        <v>0</v>
      </c>
      <c r="AK29" s="85">
        <f t="shared" si="7"/>
        <v>0</v>
      </c>
      <c r="AL29" s="85">
        <f t="shared" si="7"/>
        <v>0</v>
      </c>
      <c r="AM29" s="85">
        <f t="shared" si="7"/>
        <v>0</v>
      </c>
      <c r="AN29" s="85">
        <f t="shared" si="7"/>
        <v>0</v>
      </c>
      <c r="AO29" s="85">
        <f t="shared" si="7"/>
        <v>0</v>
      </c>
      <c r="AP29" s="85">
        <f t="shared" si="7"/>
        <v>0</v>
      </c>
      <c r="AQ29" s="85">
        <f t="shared" si="7"/>
        <v>0</v>
      </c>
      <c r="AR29" s="85">
        <f t="shared" si="7"/>
        <v>0</v>
      </c>
      <c r="AS29" s="85">
        <f t="shared" si="7"/>
        <v>0</v>
      </c>
      <c r="AT29" s="85">
        <f t="shared" si="7"/>
        <v>0</v>
      </c>
      <c r="AU29" s="85">
        <f t="shared" si="7"/>
        <v>0</v>
      </c>
      <c r="AV29" s="85">
        <f t="shared" si="7"/>
        <v>0</v>
      </c>
      <c r="AW29" s="85">
        <f t="shared" si="7"/>
        <v>0</v>
      </c>
      <c r="AX29" s="85">
        <f t="shared" si="7"/>
        <v>0</v>
      </c>
      <c r="AY29" s="85">
        <f t="shared" si="7"/>
        <v>0</v>
      </c>
      <c r="AZ29" s="85">
        <f t="shared" si="7"/>
        <v>0</v>
      </c>
    </row>
    <row r="30" spans="1:52" x14ac:dyDescent="0.2">
      <c r="E30" s="85" t="s">
        <v>191</v>
      </c>
      <c r="G30" s="85" t="str">
        <f xml:space="preserve"> SMU</f>
        <v>€ 000s</v>
      </c>
      <c r="H30" s="85">
        <f>SUM(J30:AZ30)</f>
        <v>335000.00000000017</v>
      </c>
      <c r="J30" s="114">
        <f>SUM(J26:J29)</f>
        <v>58500</v>
      </c>
      <c r="K30" s="114">
        <f t="shared" ref="K30:AZ30" si="8">SUM(K26:K29)</f>
        <v>9527.2727272727279</v>
      </c>
      <c r="L30" s="114">
        <f t="shared" si="8"/>
        <v>9527.2727272727279</v>
      </c>
      <c r="M30" s="114">
        <f t="shared" si="8"/>
        <v>9527.2727272727279</v>
      </c>
      <c r="N30" s="114">
        <f t="shared" si="8"/>
        <v>9527.2727272727279</v>
      </c>
      <c r="O30" s="114">
        <f t="shared" si="8"/>
        <v>9527.2727272727279</v>
      </c>
      <c r="P30" s="114">
        <f t="shared" si="8"/>
        <v>9527.2727272727279</v>
      </c>
      <c r="Q30" s="114">
        <f t="shared" si="8"/>
        <v>9527.2727272727279</v>
      </c>
      <c r="R30" s="114">
        <f t="shared" si="8"/>
        <v>9527.2727272727279</v>
      </c>
      <c r="S30" s="114">
        <f t="shared" si="8"/>
        <v>9527.2727272727279</v>
      </c>
      <c r="T30" s="114">
        <f t="shared" si="8"/>
        <v>9527.2727272727279</v>
      </c>
      <c r="U30" s="114">
        <f t="shared" si="8"/>
        <v>9527.2727272727279</v>
      </c>
      <c r="V30" s="114">
        <f t="shared" si="8"/>
        <v>9527.2727272727279</v>
      </c>
      <c r="W30" s="114">
        <f t="shared" si="8"/>
        <v>9527.2727272727279</v>
      </c>
      <c r="X30" s="114">
        <f t="shared" si="8"/>
        <v>9527.2727272727279</v>
      </c>
      <c r="Y30" s="114">
        <f t="shared" si="8"/>
        <v>9527.2727272727279</v>
      </c>
      <c r="Z30" s="114">
        <f t="shared" si="8"/>
        <v>9527.2727272727279</v>
      </c>
      <c r="AA30" s="114">
        <f t="shared" si="8"/>
        <v>9527.2727272727279</v>
      </c>
      <c r="AB30" s="114">
        <f t="shared" si="8"/>
        <v>9527.2727272727279</v>
      </c>
      <c r="AC30" s="114">
        <f t="shared" si="8"/>
        <v>9527.2727272727279</v>
      </c>
      <c r="AD30" s="114">
        <f t="shared" si="8"/>
        <v>9527.2727272727279</v>
      </c>
      <c r="AE30" s="114">
        <f t="shared" si="8"/>
        <v>9527.2727272727279</v>
      </c>
      <c r="AF30" s="114">
        <f t="shared" si="8"/>
        <v>76427.272727272721</v>
      </c>
      <c r="AG30" s="114">
        <f t="shared" si="8"/>
        <v>0</v>
      </c>
      <c r="AH30" s="114">
        <f t="shared" si="8"/>
        <v>0</v>
      </c>
      <c r="AI30" s="114">
        <f t="shared" si="8"/>
        <v>0</v>
      </c>
      <c r="AJ30" s="114">
        <f t="shared" si="8"/>
        <v>0</v>
      </c>
      <c r="AK30" s="114">
        <f t="shared" si="8"/>
        <v>0</v>
      </c>
      <c r="AL30" s="114">
        <f t="shared" si="8"/>
        <v>0</v>
      </c>
      <c r="AM30" s="114">
        <f t="shared" si="8"/>
        <v>0</v>
      </c>
      <c r="AN30" s="114">
        <f t="shared" si="8"/>
        <v>0</v>
      </c>
      <c r="AO30" s="114">
        <f t="shared" si="8"/>
        <v>0</v>
      </c>
      <c r="AP30" s="114">
        <f t="shared" si="8"/>
        <v>0</v>
      </c>
      <c r="AQ30" s="114">
        <f t="shared" si="8"/>
        <v>0</v>
      </c>
      <c r="AR30" s="114">
        <f t="shared" si="8"/>
        <v>0</v>
      </c>
      <c r="AS30" s="114">
        <f t="shared" si="8"/>
        <v>0</v>
      </c>
      <c r="AT30" s="114">
        <f t="shared" si="8"/>
        <v>0</v>
      </c>
      <c r="AU30" s="114">
        <f t="shared" si="8"/>
        <v>0</v>
      </c>
      <c r="AV30" s="114">
        <f t="shared" si="8"/>
        <v>0</v>
      </c>
      <c r="AW30" s="114">
        <f t="shared" si="8"/>
        <v>0</v>
      </c>
      <c r="AX30" s="114">
        <f t="shared" si="8"/>
        <v>0</v>
      </c>
      <c r="AY30" s="114">
        <f t="shared" si="8"/>
        <v>0</v>
      </c>
      <c r="AZ30" s="114">
        <f t="shared" si="8"/>
        <v>0</v>
      </c>
    </row>
    <row r="33" spans="1:52" x14ac:dyDescent="0.2">
      <c r="B33" s="82" t="s">
        <v>189</v>
      </c>
    </row>
    <row r="35" spans="1:52" s="272" customFormat="1" x14ac:dyDescent="0.2">
      <c r="A35" s="252"/>
      <c r="B35" s="97"/>
      <c r="C35" s="98"/>
      <c r="D35" s="271"/>
      <c r="E35" s="272" t="s">
        <v>189</v>
      </c>
      <c r="F35" s="101">
        <v>0.1</v>
      </c>
      <c r="G35" s="272" t="s">
        <v>190</v>
      </c>
      <c r="AF35" s="100"/>
    </row>
    <row r="36" spans="1:52" x14ac:dyDescent="0.2">
      <c r="E36" s="85" t="str">
        <f xml:space="preserve"> E$30</f>
        <v>Base construction costs</v>
      </c>
      <c r="F36" s="85">
        <f t="shared" ref="F36:AZ36" si="9" xml:space="preserve"> F$30</f>
        <v>0</v>
      </c>
      <c r="G36" s="85" t="str">
        <f t="shared" si="9"/>
        <v>€ 000s</v>
      </c>
      <c r="H36" s="85">
        <f t="shared" si="9"/>
        <v>335000.00000000017</v>
      </c>
      <c r="I36" s="85">
        <f t="shared" si="9"/>
        <v>0</v>
      </c>
      <c r="J36" s="85">
        <f t="shared" si="9"/>
        <v>58500</v>
      </c>
      <c r="K36" s="85">
        <f t="shared" si="9"/>
        <v>9527.2727272727279</v>
      </c>
      <c r="L36" s="85">
        <f t="shared" si="9"/>
        <v>9527.2727272727279</v>
      </c>
      <c r="M36" s="85">
        <f t="shared" si="9"/>
        <v>9527.2727272727279</v>
      </c>
      <c r="N36" s="85">
        <f t="shared" si="9"/>
        <v>9527.2727272727279</v>
      </c>
      <c r="O36" s="85">
        <f t="shared" si="9"/>
        <v>9527.2727272727279</v>
      </c>
      <c r="P36" s="85">
        <f t="shared" si="9"/>
        <v>9527.2727272727279</v>
      </c>
      <c r="Q36" s="85">
        <f t="shared" si="9"/>
        <v>9527.2727272727279</v>
      </c>
      <c r="R36" s="85">
        <f t="shared" si="9"/>
        <v>9527.2727272727279</v>
      </c>
      <c r="S36" s="85">
        <f t="shared" si="9"/>
        <v>9527.2727272727279</v>
      </c>
      <c r="T36" s="85">
        <f t="shared" si="9"/>
        <v>9527.2727272727279</v>
      </c>
      <c r="U36" s="85">
        <f t="shared" si="9"/>
        <v>9527.2727272727279</v>
      </c>
      <c r="V36" s="85">
        <f t="shared" si="9"/>
        <v>9527.2727272727279</v>
      </c>
      <c r="W36" s="85">
        <f t="shared" si="9"/>
        <v>9527.2727272727279</v>
      </c>
      <c r="X36" s="85">
        <f t="shared" si="9"/>
        <v>9527.2727272727279</v>
      </c>
      <c r="Y36" s="85">
        <f t="shared" si="9"/>
        <v>9527.2727272727279</v>
      </c>
      <c r="Z36" s="85">
        <f t="shared" si="9"/>
        <v>9527.2727272727279</v>
      </c>
      <c r="AA36" s="85">
        <f t="shared" si="9"/>
        <v>9527.2727272727279</v>
      </c>
      <c r="AB36" s="85">
        <f t="shared" si="9"/>
        <v>9527.2727272727279</v>
      </c>
      <c r="AC36" s="85">
        <f t="shared" si="9"/>
        <v>9527.2727272727279</v>
      </c>
      <c r="AD36" s="85">
        <f t="shared" si="9"/>
        <v>9527.2727272727279</v>
      </c>
      <c r="AE36" s="85">
        <f t="shared" si="9"/>
        <v>9527.2727272727279</v>
      </c>
      <c r="AF36" s="85">
        <f t="shared" si="9"/>
        <v>76427.272727272721</v>
      </c>
      <c r="AG36" s="85">
        <f t="shared" si="9"/>
        <v>0</v>
      </c>
      <c r="AH36" s="85">
        <f t="shared" si="9"/>
        <v>0</v>
      </c>
      <c r="AI36" s="85">
        <f t="shared" si="9"/>
        <v>0</v>
      </c>
      <c r="AJ36" s="85">
        <f t="shared" si="9"/>
        <v>0</v>
      </c>
      <c r="AK36" s="85">
        <f t="shared" si="9"/>
        <v>0</v>
      </c>
      <c r="AL36" s="85">
        <f t="shared" si="9"/>
        <v>0</v>
      </c>
      <c r="AM36" s="85">
        <f t="shared" si="9"/>
        <v>0</v>
      </c>
      <c r="AN36" s="85">
        <f t="shared" si="9"/>
        <v>0</v>
      </c>
      <c r="AO36" s="85">
        <f t="shared" si="9"/>
        <v>0</v>
      </c>
      <c r="AP36" s="85">
        <f t="shared" si="9"/>
        <v>0</v>
      </c>
      <c r="AQ36" s="85">
        <f t="shared" si="9"/>
        <v>0</v>
      </c>
      <c r="AR36" s="85">
        <f t="shared" si="9"/>
        <v>0</v>
      </c>
      <c r="AS36" s="85">
        <f t="shared" si="9"/>
        <v>0</v>
      </c>
      <c r="AT36" s="85">
        <f t="shared" si="9"/>
        <v>0</v>
      </c>
      <c r="AU36" s="85">
        <f t="shared" si="9"/>
        <v>0</v>
      </c>
      <c r="AV36" s="85">
        <f t="shared" si="9"/>
        <v>0</v>
      </c>
      <c r="AW36" s="85">
        <f t="shared" si="9"/>
        <v>0</v>
      </c>
      <c r="AX36" s="85">
        <f t="shared" si="9"/>
        <v>0</v>
      </c>
      <c r="AY36" s="85">
        <f t="shared" si="9"/>
        <v>0</v>
      </c>
      <c r="AZ36" s="85">
        <f t="shared" si="9"/>
        <v>0</v>
      </c>
    </row>
    <row r="37" spans="1:52" x14ac:dyDescent="0.2">
      <c r="E37" s="85" t="s">
        <v>189</v>
      </c>
      <c r="H37" s="85">
        <f>SUM(J37:AZ37)</f>
        <v>33499.999999999985</v>
      </c>
      <c r="J37" s="85">
        <f xml:space="preserve"> $F35 * J36</f>
        <v>5850</v>
      </c>
      <c r="K37" s="85">
        <f t="shared" ref="K37:AZ37" si="10" xml:space="preserve"> $F35 * K36</f>
        <v>952.72727272727286</v>
      </c>
      <c r="L37" s="85">
        <f t="shared" si="10"/>
        <v>952.72727272727286</v>
      </c>
      <c r="M37" s="85">
        <f t="shared" si="10"/>
        <v>952.72727272727286</v>
      </c>
      <c r="N37" s="85">
        <f t="shared" si="10"/>
        <v>952.72727272727286</v>
      </c>
      <c r="O37" s="85">
        <f t="shared" si="10"/>
        <v>952.72727272727286</v>
      </c>
      <c r="P37" s="85">
        <f t="shared" si="10"/>
        <v>952.72727272727286</v>
      </c>
      <c r="Q37" s="85">
        <f t="shared" si="10"/>
        <v>952.72727272727286</v>
      </c>
      <c r="R37" s="85">
        <f t="shared" si="10"/>
        <v>952.72727272727286</v>
      </c>
      <c r="S37" s="85">
        <f t="shared" si="10"/>
        <v>952.72727272727286</v>
      </c>
      <c r="T37" s="85">
        <f t="shared" si="10"/>
        <v>952.72727272727286</v>
      </c>
      <c r="U37" s="85">
        <f t="shared" si="10"/>
        <v>952.72727272727286</v>
      </c>
      <c r="V37" s="85">
        <f t="shared" si="10"/>
        <v>952.72727272727286</v>
      </c>
      <c r="W37" s="85">
        <f t="shared" si="10"/>
        <v>952.72727272727286</v>
      </c>
      <c r="X37" s="85">
        <f t="shared" si="10"/>
        <v>952.72727272727286</v>
      </c>
      <c r="Y37" s="85">
        <f t="shared" si="10"/>
        <v>952.72727272727286</v>
      </c>
      <c r="Z37" s="85">
        <f t="shared" si="10"/>
        <v>952.72727272727286</v>
      </c>
      <c r="AA37" s="85">
        <f t="shared" si="10"/>
        <v>952.72727272727286</v>
      </c>
      <c r="AB37" s="85">
        <f t="shared" si="10"/>
        <v>952.72727272727286</v>
      </c>
      <c r="AC37" s="85">
        <f t="shared" si="10"/>
        <v>952.72727272727286</v>
      </c>
      <c r="AD37" s="85">
        <f t="shared" si="10"/>
        <v>952.72727272727286</v>
      </c>
      <c r="AE37" s="85">
        <f t="shared" si="10"/>
        <v>952.72727272727286</v>
      </c>
      <c r="AF37" s="85">
        <f t="shared" si="10"/>
        <v>7642.7272727272721</v>
      </c>
      <c r="AG37" s="85">
        <f t="shared" si="10"/>
        <v>0</v>
      </c>
      <c r="AH37" s="85">
        <f t="shared" si="10"/>
        <v>0</v>
      </c>
      <c r="AI37" s="85">
        <f t="shared" si="10"/>
        <v>0</v>
      </c>
      <c r="AJ37" s="85">
        <f t="shared" si="10"/>
        <v>0</v>
      </c>
      <c r="AK37" s="85">
        <f t="shared" si="10"/>
        <v>0</v>
      </c>
      <c r="AL37" s="85">
        <f t="shared" si="10"/>
        <v>0</v>
      </c>
      <c r="AM37" s="85">
        <f t="shared" si="10"/>
        <v>0</v>
      </c>
      <c r="AN37" s="85">
        <f t="shared" si="10"/>
        <v>0</v>
      </c>
      <c r="AO37" s="85">
        <f t="shared" si="10"/>
        <v>0</v>
      </c>
      <c r="AP37" s="85">
        <f t="shared" si="10"/>
        <v>0</v>
      </c>
      <c r="AQ37" s="85">
        <f t="shared" si="10"/>
        <v>0</v>
      </c>
      <c r="AR37" s="85">
        <f t="shared" si="10"/>
        <v>0</v>
      </c>
      <c r="AS37" s="85">
        <f t="shared" si="10"/>
        <v>0</v>
      </c>
      <c r="AT37" s="85">
        <f t="shared" si="10"/>
        <v>0</v>
      </c>
      <c r="AU37" s="85">
        <f t="shared" si="10"/>
        <v>0</v>
      </c>
      <c r="AV37" s="85">
        <f t="shared" si="10"/>
        <v>0</v>
      </c>
      <c r="AW37" s="85">
        <f t="shared" si="10"/>
        <v>0</v>
      </c>
      <c r="AX37" s="85">
        <f t="shared" si="10"/>
        <v>0</v>
      </c>
      <c r="AY37" s="85">
        <f t="shared" si="10"/>
        <v>0</v>
      </c>
      <c r="AZ37" s="85">
        <f t="shared" si="10"/>
        <v>0</v>
      </c>
    </row>
    <row r="39" spans="1:52" x14ac:dyDescent="0.2">
      <c r="E39" s="85" t="str">
        <f xml:space="preserve"> E$30</f>
        <v>Base construction costs</v>
      </c>
      <c r="F39" s="85">
        <f t="shared" ref="F39:AZ39" si="11" xml:space="preserve"> F$30</f>
        <v>0</v>
      </c>
      <c r="G39" s="85" t="str">
        <f t="shared" si="11"/>
        <v>€ 000s</v>
      </c>
      <c r="H39" s="85">
        <f t="shared" si="11"/>
        <v>335000.00000000017</v>
      </c>
      <c r="I39" s="85">
        <f t="shared" si="11"/>
        <v>0</v>
      </c>
      <c r="J39" s="85">
        <f t="shared" si="11"/>
        <v>58500</v>
      </c>
      <c r="K39" s="85">
        <f t="shared" si="11"/>
        <v>9527.2727272727279</v>
      </c>
      <c r="L39" s="85">
        <f t="shared" si="11"/>
        <v>9527.2727272727279</v>
      </c>
      <c r="M39" s="85">
        <f t="shared" si="11"/>
        <v>9527.2727272727279</v>
      </c>
      <c r="N39" s="85">
        <f t="shared" si="11"/>
        <v>9527.2727272727279</v>
      </c>
      <c r="O39" s="85">
        <f t="shared" si="11"/>
        <v>9527.2727272727279</v>
      </c>
      <c r="P39" s="85">
        <f t="shared" si="11"/>
        <v>9527.2727272727279</v>
      </c>
      <c r="Q39" s="85">
        <f t="shared" si="11"/>
        <v>9527.2727272727279</v>
      </c>
      <c r="R39" s="85">
        <f t="shared" si="11"/>
        <v>9527.2727272727279</v>
      </c>
      <c r="S39" s="85">
        <f t="shared" si="11"/>
        <v>9527.2727272727279</v>
      </c>
      <c r="T39" s="85">
        <f t="shared" si="11"/>
        <v>9527.2727272727279</v>
      </c>
      <c r="U39" s="85">
        <f t="shared" si="11"/>
        <v>9527.2727272727279</v>
      </c>
      <c r="V39" s="85">
        <f t="shared" si="11"/>
        <v>9527.2727272727279</v>
      </c>
      <c r="W39" s="85">
        <f t="shared" si="11"/>
        <v>9527.2727272727279</v>
      </c>
      <c r="X39" s="85">
        <f t="shared" si="11"/>
        <v>9527.2727272727279</v>
      </c>
      <c r="Y39" s="85">
        <f t="shared" si="11"/>
        <v>9527.2727272727279</v>
      </c>
      <c r="Z39" s="85">
        <f t="shared" si="11"/>
        <v>9527.2727272727279</v>
      </c>
      <c r="AA39" s="85">
        <f t="shared" si="11"/>
        <v>9527.2727272727279</v>
      </c>
      <c r="AB39" s="85">
        <f t="shared" si="11"/>
        <v>9527.2727272727279</v>
      </c>
      <c r="AC39" s="85">
        <f t="shared" si="11"/>
        <v>9527.2727272727279</v>
      </c>
      <c r="AD39" s="85">
        <f t="shared" si="11"/>
        <v>9527.2727272727279</v>
      </c>
      <c r="AE39" s="85">
        <f t="shared" si="11"/>
        <v>9527.2727272727279</v>
      </c>
      <c r="AF39" s="85">
        <f t="shared" si="11"/>
        <v>76427.272727272721</v>
      </c>
      <c r="AG39" s="85">
        <f t="shared" si="11"/>
        <v>0</v>
      </c>
      <c r="AH39" s="85">
        <f t="shared" si="11"/>
        <v>0</v>
      </c>
      <c r="AI39" s="85">
        <f t="shared" si="11"/>
        <v>0</v>
      </c>
      <c r="AJ39" s="85">
        <f t="shared" si="11"/>
        <v>0</v>
      </c>
      <c r="AK39" s="85">
        <f t="shared" si="11"/>
        <v>0</v>
      </c>
      <c r="AL39" s="85">
        <f t="shared" si="11"/>
        <v>0</v>
      </c>
      <c r="AM39" s="85">
        <f t="shared" si="11"/>
        <v>0</v>
      </c>
      <c r="AN39" s="85">
        <f t="shared" si="11"/>
        <v>0</v>
      </c>
      <c r="AO39" s="85">
        <f t="shared" si="11"/>
        <v>0</v>
      </c>
      <c r="AP39" s="85">
        <f t="shared" si="11"/>
        <v>0</v>
      </c>
      <c r="AQ39" s="85">
        <f t="shared" si="11"/>
        <v>0</v>
      </c>
      <c r="AR39" s="85">
        <f t="shared" si="11"/>
        <v>0</v>
      </c>
      <c r="AS39" s="85">
        <f t="shared" si="11"/>
        <v>0</v>
      </c>
      <c r="AT39" s="85">
        <f t="shared" si="11"/>
        <v>0</v>
      </c>
      <c r="AU39" s="85">
        <f t="shared" si="11"/>
        <v>0</v>
      </c>
      <c r="AV39" s="85">
        <f t="shared" si="11"/>
        <v>0</v>
      </c>
      <c r="AW39" s="85">
        <f t="shared" si="11"/>
        <v>0</v>
      </c>
      <c r="AX39" s="85">
        <f t="shared" si="11"/>
        <v>0</v>
      </c>
      <c r="AY39" s="85">
        <f t="shared" si="11"/>
        <v>0</v>
      </c>
      <c r="AZ39" s="85">
        <f t="shared" si="11"/>
        <v>0</v>
      </c>
    </row>
    <row r="40" spans="1:52" x14ac:dyDescent="0.2">
      <c r="E40" s="85" t="str">
        <f xml:space="preserve"> E$37</f>
        <v>Construction cost contingency</v>
      </c>
      <c r="F40" s="85">
        <f t="shared" ref="F40:AZ40" si="12" xml:space="preserve"> F$37</f>
        <v>0</v>
      </c>
      <c r="G40" s="85">
        <f t="shared" si="12"/>
        <v>0</v>
      </c>
      <c r="H40" s="85">
        <f t="shared" si="12"/>
        <v>33499.999999999985</v>
      </c>
      <c r="I40" s="85">
        <f t="shared" si="12"/>
        <v>0</v>
      </c>
      <c r="J40" s="85">
        <f t="shared" si="12"/>
        <v>5850</v>
      </c>
      <c r="K40" s="85">
        <f t="shared" si="12"/>
        <v>952.72727272727286</v>
      </c>
      <c r="L40" s="85">
        <f t="shared" si="12"/>
        <v>952.72727272727286</v>
      </c>
      <c r="M40" s="85">
        <f t="shared" si="12"/>
        <v>952.72727272727286</v>
      </c>
      <c r="N40" s="85">
        <f t="shared" si="12"/>
        <v>952.72727272727286</v>
      </c>
      <c r="O40" s="85">
        <f t="shared" si="12"/>
        <v>952.72727272727286</v>
      </c>
      <c r="P40" s="85">
        <f t="shared" si="12"/>
        <v>952.72727272727286</v>
      </c>
      <c r="Q40" s="85">
        <f t="shared" si="12"/>
        <v>952.72727272727286</v>
      </c>
      <c r="R40" s="85">
        <f t="shared" si="12"/>
        <v>952.72727272727286</v>
      </c>
      <c r="S40" s="85">
        <f t="shared" si="12"/>
        <v>952.72727272727286</v>
      </c>
      <c r="T40" s="85">
        <f t="shared" si="12"/>
        <v>952.72727272727286</v>
      </c>
      <c r="U40" s="85">
        <f t="shared" si="12"/>
        <v>952.72727272727286</v>
      </c>
      <c r="V40" s="85">
        <f t="shared" si="12"/>
        <v>952.72727272727286</v>
      </c>
      <c r="W40" s="85">
        <f t="shared" si="12"/>
        <v>952.72727272727286</v>
      </c>
      <c r="X40" s="85">
        <f t="shared" si="12"/>
        <v>952.72727272727286</v>
      </c>
      <c r="Y40" s="85">
        <f t="shared" si="12"/>
        <v>952.72727272727286</v>
      </c>
      <c r="Z40" s="85">
        <f t="shared" si="12"/>
        <v>952.72727272727286</v>
      </c>
      <c r="AA40" s="85">
        <f t="shared" si="12"/>
        <v>952.72727272727286</v>
      </c>
      <c r="AB40" s="85">
        <f t="shared" si="12"/>
        <v>952.72727272727286</v>
      </c>
      <c r="AC40" s="85">
        <f t="shared" si="12"/>
        <v>952.72727272727286</v>
      </c>
      <c r="AD40" s="85">
        <f t="shared" si="12"/>
        <v>952.72727272727286</v>
      </c>
      <c r="AE40" s="85">
        <f t="shared" si="12"/>
        <v>952.72727272727286</v>
      </c>
      <c r="AF40" s="85">
        <f t="shared" si="12"/>
        <v>7642.7272727272721</v>
      </c>
      <c r="AG40" s="85">
        <f t="shared" si="12"/>
        <v>0</v>
      </c>
      <c r="AH40" s="85">
        <f t="shared" si="12"/>
        <v>0</v>
      </c>
      <c r="AI40" s="85">
        <f t="shared" si="12"/>
        <v>0</v>
      </c>
      <c r="AJ40" s="85">
        <f t="shared" si="12"/>
        <v>0</v>
      </c>
      <c r="AK40" s="85">
        <f t="shared" si="12"/>
        <v>0</v>
      </c>
      <c r="AL40" s="85">
        <f t="shared" si="12"/>
        <v>0</v>
      </c>
      <c r="AM40" s="85">
        <f t="shared" si="12"/>
        <v>0</v>
      </c>
      <c r="AN40" s="85">
        <f t="shared" si="12"/>
        <v>0</v>
      </c>
      <c r="AO40" s="85">
        <f t="shared" si="12"/>
        <v>0</v>
      </c>
      <c r="AP40" s="85">
        <f t="shared" si="12"/>
        <v>0</v>
      </c>
      <c r="AQ40" s="85">
        <f t="shared" si="12"/>
        <v>0</v>
      </c>
      <c r="AR40" s="85">
        <f t="shared" si="12"/>
        <v>0</v>
      </c>
      <c r="AS40" s="85">
        <f t="shared" si="12"/>
        <v>0</v>
      </c>
      <c r="AT40" s="85">
        <f t="shared" si="12"/>
        <v>0</v>
      </c>
      <c r="AU40" s="85">
        <f t="shared" si="12"/>
        <v>0</v>
      </c>
      <c r="AV40" s="85">
        <f t="shared" si="12"/>
        <v>0</v>
      </c>
      <c r="AW40" s="85">
        <f t="shared" si="12"/>
        <v>0</v>
      </c>
      <c r="AX40" s="85">
        <f t="shared" si="12"/>
        <v>0</v>
      </c>
      <c r="AY40" s="85">
        <f t="shared" si="12"/>
        <v>0</v>
      </c>
      <c r="AZ40" s="85">
        <f t="shared" si="12"/>
        <v>0</v>
      </c>
    </row>
    <row r="41" spans="1:52" s="140" customFormat="1" x14ac:dyDescent="0.2">
      <c r="A41" s="137"/>
      <c r="B41" s="145"/>
      <c r="C41" s="146"/>
      <c r="D41" s="139"/>
      <c r="E41" s="140" t="s">
        <v>192</v>
      </c>
      <c r="G41" s="140" t="str">
        <f xml:space="preserve"> SMU</f>
        <v>€ 000s</v>
      </c>
      <c r="H41" s="140">
        <f>SUM(J41:AZ41)</f>
        <v>368500</v>
      </c>
      <c r="J41" s="147">
        <f>SUM(J39:J40)</f>
        <v>64350</v>
      </c>
      <c r="K41" s="147">
        <f t="shared" ref="K41:AZ41" si="13">SUM(K39:K40)</f>
        <v>10480</v>
      </c>
      <c r="L41" s="147">
        <f t="shared" si="13"/>
        <v>10480</v>
      </c>
      <c r="M41" s="147">
        <f t="shared" si="13"/>
        <v>10480</v>
      </c>
      <c r="N41" s="147">
        <f t="shared" si="13"/>
        <v>10480</v>
      </c>
      <c r="O41" s="147">
        <f t="shared" si="13"/>
        <v>10480</v>
      </c>
      <c r="P41" s="147">
        <f t="shared" si="13"/>
        <v>10480</v>
      </c>
      <c r="Q41" s="147">
        <f t="shared" si="13"/>
        <v>10480</v>
      </c>
      <c r="R41" s="147">
        <f t="shared" si="13"/>
        <v>10480</v>
      </c>
      <c r="S41" s="147">
        <f t="shared" si="13"/>
        <v>10480</v>
      </c>
      <c r="T41" s="147">
        <f t="shared" si="13"/>
        <v>10480</v>
      </c>
      <c r="U41" s="147">
        <f t="shared" si="13"/>
        <v>10480</v>
      </c>
      <c r="V41" s="147">
        <f t="shared" si="13"/>
        <v>10480</v>
      </c>
      <c r="W41" s="147">
        <f t="shared" si="13"/>
        <v>10480</v>
      </c>
      <c r="X41" s="147">
        <f t="shared" si="13"/>
        <v>10480</v>
      </c>
      <c r="Y41" s="147">
        <f t="shared" si="13"/>
        <v>10480</v>
      </c>
      <c r="Z41" s="147">
        <f t="shared" si="13"/>
        <v>10480</v>
      </c>
      <c r="AA41" s="147">
        <f t="shared" si="13"/>
        <v>10480</v>
      </c>
      <c r="AB41" s="147">
        <f t="shared" si="13"/>
        <v>10480</v>
      </c>
      <c r="AC41" s="147">
        <f t="shared" si="13"/>
        <v>10480</v>
      </c>
      <c r="AD41" s="147">
        <f t="shared" si="13"/>
        <v>10480</v>
      </c>
      <c r="AE41" s="147">
        <f t="shared" si="13"/>
        <v>10480</v>
      </c>
      <c r="AF41" s="147">
        <f t="shared" si="13"/>
        <v>84070</v>
      </c>
      <c r="AG41" s="147">
        <f t="shared" si="13"/>
        <v>0</v>
      </c>
      <c r="AH41" s="147">
        <f t="shared" si="13"/>
        <v>0</v>
      </c>
      <c r="AI41" s="147">
        <f t="shared" si="13"/>
        <v>0</v>
      </c>
      <c r="AJ41" s="147">
        <f t="shared" si="13"/>
        <v>0</v>
      </c>
      <c r="AK41" s="147">
        <f t="shared" si="13"/>
        <v>0</v>
      </c>
      <c r="AL41" s="147">
        <f t="shared" si="13"/>
        <v>0</v>
      </c>
      <c r="AM41" s="147">
        <f t="shared" si="13"/>
        <v>0</v>
      </c>
      <c r="AN41" s="147">
        <f t="shared" si="13"/>
        <v>0</v>
      </c>
      <c r="AO41" s="147">
        <f t="shared" si="13"/>
        <v>0</v>
      </c>
      <c r="AP41" s="147">
        <f t="shared" si="13"/>
        <v>0</v>
      </c>
      <c r="AQ41" s="147">
        <f t="shared" si="13"/>
        <v>0</v>
      </c>
      <c r="AR41" s="147">
        <f t="shared" si="13"/>
        <v>0</v>
      </c>
      <c r="AS41" s="147">
        <f t="shared" si="13"/>
        <v>0</v>
      </c>
      <c r="AT41" s="147">
        <f t="shared" si="13"/>
        <v>0</v>
      </c>
      <c r="AU41" s="147">
        <f t="shared" si="13"/>
        <v>0</v>
      </c>
      <c r="AV41" s="147">
        <f t="shared" si="13"/>
        <v>0</v>
      </c>
      <c r="AW41" s="147">
        <f t="shared" si="13"/>
        <v>0</v>
      </c>
      <c r="AX41" s="147">
        <f t="shared" si="13"/>
        <v>0</v>
      </c>
      <c r="AY41" s="147">
        <f t="shared" si="13"/>
        <v>0</v>
      </c>
      <c r="AZ41" s="147">
        <f t="shared" si="13"/>
        <v>0</v>
      </c>
    </row>
    <row r="43" spans="1:52" x14ac:dyDescent="0.2">
      <c r="E43" s="85" t="str">
        <f xml:space="preserve"> E$41</f>
        <v>Construction costs</v>
      </c>
      <c r="F43" s="85">
        <f t="shared" ref="F43:AZ43" si="14" xml:space="preserve"> F$41</f>
        <v>0</v>
      </c>
      <c r="G43" s="85" t="str">
        <f t="shared" si="14"/>
        <v>€ 000s</v>
      </c>
      <c r="H43" s="85">
        <f t="shared" si="14"/>
        <v>368500</v>
      </c>
      <c r="I43" s="85">
        <f t="shared" si="14"/>
        <v>0</v>
      </c>
      <c r="J43" s="85">
        <f t="shared" si="14"/>
        <v>64350</v>
      </c>
      <c r="K43" s="85">
        <f t="shared" si="14"/>
        <v>10480</v>
      </c>
      <c r="L43" s="85">
        <f t="shared" si="14"/>
        <v>10480</v>
      </c>
      <c r="M43" s="85">
        <f t="shared" si="14"/>
        <v>10480</v>
      </c>
      <c r="N43" s="85">
        <f t="shared" si="14"/>
        <v>10480</v>
      </c>
      <c r="O43" s="85">
        <f t="shared" si="14"/>
        <v>10480</v>
      </c>
      <c r="P43" s="85">
        <f t="shared" si="14"/>
        <v>10480</v>
      </c>
      <c r="Q43" s="85">
        <f t="shared" si="14"/>
        <v>10480</v>
      </c>
      <c r="R43" s="85">
        <f t="shared" si="14"/>
        <v>10480</v>
      </c>
      <c r="S43" s="85">
        <f t="shared" si="14"/>
        <v>10480</v>
      </c>
      <c r="T43" s="85">
        <f t="shared" si="14"/>
        <v>10480</v>
      </c>
      <c r="U43" s="85">
        <f t="shared" si="14"/>
        <v>10480</v>
      </c>
      <c r="V43" s="85">
        <f t="shared" si="14"/>
        <v>10480</v>
      </c>
      <c r="W43" s="85">
        <f t="shared" si="14"/>
        <v>10480</v>
      </c>
      <c r="X43" s="85">
        <f t="shared" si="14"/>
        <v>10480</v>
      </c>
      <c r="Y43" s="85">
        <f t="shared" si="14"/>
        <v>10480</v>
      </c>
      <c r="Z43" s="85">
        <f t="shared" si="14"/>
        <v>10480</v>
      </c>
      <c r="AA43" s="85">
        <f t="shared" si="14"/>
        <v>10480</v>
      </c>
      <c r="AB43" s="85">
        <f t="shared" si="14"/>
        <v>10480</v>
      </c>
      <c r="AC43" s="85">
        <f t="shared" si="14"/>
        <v>10480</v>
      </c>
      <c r="AD43" s="85">
        <f t="shared" si="14"/>
        <v>10480</v>
      </c>
      <c r="AE43" s="85">
        <f t="shared" si="14"/>
        <v>10480</v>
      </c>
      <c r="AF43" s="85">
        <f t="shared" si="14"/>
        <v>84070</v>
      </c>
      <c r="AG43" s="85">
        <f t="shared" si="14"/>
        <v>0</v>
      </c>
      <c r="AH43" s="85">
        <f t="shared" si="14"/>
        <v>0</v>
      </c>
      <c r="AI43" s="85">
        <f t="shared" si="14"/>
        <v>0</v>
      </c>
      <c r="AJ43" s="85">
        <f t="shared" si="14"/>
        <v>0</v>
      </c>
      <c r="AK43" s="85">
        <f t="shared" si="14"/>
        <v>0</v>
      </c>
      <c r="AL43" s="85">
        <f t="shared" si="14"/>
        <v>0</v>
      </c>
      <c r="AM43" s="85">
        <f t="shared" si="14"/>
        <v>0</v>
      </c>
      <c r="AN43" s="85">
        <f t="shared" si="14"/>
        <v>0</v>
      </c>
      <c r="AO43" s="85">
        <f t="shared" si="14"/>
        <v>0</v>
      </c>
      <c r="AP43" s="85">
        <f t="shared" si="14"/>
        <v>0</v>
      </c>
      <c r="AQ43" s="85">
        <f t="shared" si="14"/>
        <v>0</v>
      </c>
      <c r="AR43" s="85">
        <f t="shared" si="14"/>
        <v>0</v>
      </c>
      <c r="AS43" s="85">
        <f t="shared" si="14"/>
        <v>0</v>
      </c>
      <c r="AT43" s="85">
        <f t="shared" si="14"/>
        <v>0</v>
      </c>
      <c r="AU43" s="85">
        <f t="shared" si="14"/>
        <v>0</v>
      </c>
      <c r="AV43" s="85">
        <f t="shared" si="14"/>
        <v>0</v>
      </c>
      <c r="AW43" s="85">
        <f t="shared" si="14"/>
        <v>0</v>
      </c>
      <c r="AX43" s="85">
        <f t="shared" si="14"/>
        <v>0</v>
      </c>
      <c r="AY43" s="85">
        <f t="shared" si="14"/>
        <v>0</v>
      </c>
      <c r="AZ43" s="85">
        <f t="shared" si="14"/>
        <v>0</v>
      </c>
    </row>
    <row r="44" spans="1:52" s="140" customFormat="1" x14ac:dyDescent="0.2">
      <c r="A44" s="137"/>
      <c r="B44" s="145"/>
      <c r="C44" s="146"/>
      <c r="D44" s="139"/>
      <c r="E44" s="140" t="str">
        <f xml:space="preserve"> E43 &amp; " NEG (for XIRR)"</f>
        <v>Construction costs NEG (for XIRR)</v>
      </c>
      <c r="G44" s="140" t="str">
        <f xml:space="preserve"> G43</f>
        <v>€ 000s</v>
      </c>
      <c r="H44" s="140">
        <f>SUM(J44:AZ44)</f>
        <v>-368500</v>
      </c>
      <c r="J44" s="140">
        <f xml:space="preserve"> -1 * J43</f>
        <v>-64350</v>
      </c>
      <c r="K44" s="140">
        <f t="shared" ref="K44:AZ44" si="15" xml:space="preserve"> -1 * K43</f>
        <v>-10480</v>
      </c>
      <c r="L44" s="140">
        <f t="shared" si="15"/>
        <v>-10480</v>
      </c>
      <c r="M44" s="140">
        <f t="shared" si="15"/>
        <v>-10480</v>
      </c>
      <c r="N44" s="140">
        <f t="shared" si="15"/>
        <v>-10480</v>
      </c>
      <c r="O44" s="140">
        <f t="shared" si="15"/>
        <v>-10480</v>
      </c>
      <c r="P44" s="140">
        <f t="shared" si="15"/>
        <v>-10480</v>
      </c>
      <c r="Q44" s="140">
        <f t="shared" si="15"/>
        <v>-10480</v>
      </c>
      <c r="R44" s="140">
        <f t="shared" si="15"/>
        <v>-10480</v>
      </c>
      <c r="S44" s="140">
        <f t="shared" si="15"/>
        <v>-10480</v>
      </c>
      <c r="T44" s="140">
        <f t="shared" si="15"/>
        <v>-10480</v>
      </c>
      <c r="U44" s="140">
        <f t="shared" si="15"/>
        <v>-10480</v>
      </c>
      <c r="V44" s="140">
        <f t="shared" si="15"/>
        <v>-10480</v>
      </c>
      <c r="W44" s="140">
        <f t="shared" si="15"/>
        <v>-10480</v>
      </c>
      <c r="X44" s="140">
        <f t="shared" si="15"/>
        <v>-10480</v>
      </c>
      <c r="Y44" s="140">
        <f t="shared" si="15"/>
        <v>-10480</v>
      </c>
      <c r="Z44" s="140">
        <f t="shared" si="15"/>
        <v>-10480</v>
      </c>
      <c r="AA44" s="140">
        <f t="shared" si="15"/>
        <v>-10480</v>
      </c>
      <c r="AB44" s="140">
        <f t="shared" si="15"/>
        <v>-10480</v>
      </c>
      <c r="AC44" s="140">
        <f t="shared" si="15"/>
        <v>-10480</v>
      </c>
      <c r="AD44" s="140">
        <f t="shared" si="15"/>
        <v>-10480</v>
      </c>
      <c r="AE44" s="140">
        <f t="shared" si="15"/>
        <v>-10480</v>
      </c>
      <c r="AF44" s="140">
        <f t="shared" si="15"/>
        <v>-84070</v>
      </c>
      <c r="AG44" s="140">
        <f t="shared" si="15"/>
        <v>0</v>
      </c>
      <c r="AH44" s="140">
        <f t="shared" si="15"/>
        <v>0</v>
      </c>
      <c r="AI44" s="140">
        <f t="shared" si="15"/>
        <v>0</v>
      </c>
      <c r="AJ44" s="140">
        <f t="shared" si="15"/>
        <v>0</v>
      </c>
      <c r="AK44" s="140">
        <f t="shared" si="15"/>
        <v>0</v>
      </c>
      <c r="AL44" s="140">
        <f t="shared" si="15"/>
        <v>0</v>
      </c>
      <c r="AM44" s="140">
        <f t="shared" si="15"/>
        <v>0</v>
      </c>
      <c r="AN44" s="140">
        <f t="shared" si="15"/>
        <v>0</v>
      </c>
      <c r="AO44" s="140">
        <f t="shared" si="15"/>
        <v>0</v>
      </c>
      <c r="AP44" s="140">
        <f t="shared" si="15"/>
        <v>0</v>
      </c>
      <c r="AQ44" s="140">
        <f t="shared" si="15"/>
        <v>0</v>
      </c>
      <c r="AR44" s="140">
        <f t="shared" si="15"/>
        <v>0</v>
      </c>
      <c r="AS44" s="140">
        <f t="shared" si="15"/>
        <v>0</v>
      </c>
      <c r="AT44" s="140">
        <f t="shared" si="15"/>
        <v>0</v>
      </c>
      <c r="AU44" s="140">
        <f t="shared" si="15"/>
        <v>0</v>
      </c>
      <c r="AV44" s="140">
        <f t="shared" si="15"/>
        <v>0</v>
      </c>
      <c r="AW44" s="140">
        <f t="shared" si="15"/>
        <v>0</v>
      </c>
      <c r="AX44" s="140">
        <f t="shared" si="15"/>
        <v>0</v>
      </c>
      <c r="AY44" s="140">
        <f t="shared" si="15"/>
        <v>0</v>
      </c>
      <c r="AZ44" s="140">
        <f t="shared" si="15"/>
        <v>0</v>
      </c>
    </row>
  </sheetData>
  <printOptions heading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&amp;L&amp;"Arial,Bold"&amp;14Financial Mechanics Training Model&amp;C&amp;"Arial,Bold"&amp;14Sheet: &amp;A&amp;R&amp;"Arial,Bold"&amp;14STRICTLY NOT CONFIDENTIAL</oddHeader>
    <oddFooter>&amp;L&amp;12&amp;F (Printed on &amp;D at &amp;T) &amp;C&amp;12Page &amp;P of &amp;N&amp;R&amp;12© 2008 Financial Mechanics Ltd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  <outlinePr summaryBelow="0" summaryRight="0"/>
  </sheetPr>
  <dimension ref="A1:AZ128"/>
  <sheetViews>
    <sheetView defaultGridColor="0" colorId="22" workbookViewId="0">
      <pane xSplit="6" ySplit="4" topLeftCell="G48" activePane="bottomRight" state="frozen"/>
      <selection activeCell="G5" sqref="G5"/>
      <selection pane="topRight" activeCell="G5" sqref="G5"/>
      <selection pane="bottomLeft" activeCell="G5" sqref="G5"/>
      <selection pane="bottomRight" activeCell="E57" sqref="E57"/>
    </sheetView>
  </sheetViews>
  <sheetFormatPr defaultColWidth="0" defaultRowHeight="12.75" x14ac:dyDescent="0.2"/>
  <cols>
    <col min="1" max="1" width="1.28515625" style="81" customWidth="1"/>
    <col min="2" max="2" width="1.28515625" style="82" customWidth="1"/>
    <col min="3" max="3" width="1.28515625" style="83" customWidth="1"/>
    <col min="4" max="4" width="1.28515625" style="84" customWidth="1"/>
    <col min="5" max="5" width="40.7109375" style="85" customWidth="1"/>
    <col min="6" max="6" width="12.7109375" style="85" customWidth="1"/>
    <col min="7" max="8" width="11.7109375" style="85" customWidth="1"/>
    <col min="9" max="9" width="2.7109375" style="85" customWidth="1"/>
    <col min="10" max="31" width="11.7109375" style="85" customWidth="1"/>
    <col min="32" max="32" width="11.7109375" style="135" customWidth="1"/>
    <col min="33" max="52" width="11.7109375" style="85" customWidth="1"/>
    <col min="53" max="16384" width="0" style="85" hidden="1"/>
  </cols>
  <sheetData>
    <row r="1" spans="1:52" s="72" customFormat="1" x14ac:dyDescent="0.2">
      <c r="A1" s="69" t="str">
        <f ca="1" xml:space="preserve"> RIGHT(CELL("filename", A1), LEN(CELL("filename", A1)) - SEARCH("]", CELL("filename", A1)))</f>
        <v>ConFin</v>
      </c>
      <c r="B1" s="69"/>
      <c r="C1" s="70"/>
      <c r="D1" s="71"/>
      <c r="F1" s="73"/>
      <c r="G1" s="73"/>
      <c r="H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</row>
    <row r="2" spans="1:52" s="74" customFormat="1" x14ac:dyDescent="0.2">
      <c r="A2" s="75"/>
      <c r="B2" s="75"/>
      <c r="C2" s="107"/>
      <c r="D2" s="77"/>
      <c r="E2" s="74" t="str">
        <f>ConTime!E$18</f>
        <v>Construction / availability period flag</v>
      </c>
      <c r="F2" s="74">
        <f>ConTime!F$18</f>
        <v>0</v>
      </c>
      <c r="G2" s="74">
        <f>ConTime!G$18</f>
        <v>0</v>
      </c>
      <c r="H2" s="74">
        <f>ConTime!H$18</f>
        <v>22</v>
      </c>
      <c r="I2" s="74">
        <f>ConTime!I$18</f>
        <v>0</v>
      </c>
      <c r="J2" s="74">
        <f>ConTime!J$18</f>
        <v>0</v>
      </c>
      <c r="K2" s="74">
        <f>ConTime!K$18</f>
        <v>1</v>
      </c>
      <c r="L2" s="74">
        <f>ConTime!L$18</f>
        <v>1</v>
      </c>
      <c r="M2" s="74">
        <f>ConTime!M$18</f>
        <v>1</v>
      </c>
      <c r="N2" s="74">
        <f>ConTime!N$18</f>
        <v>1</v>
      </c>
      <c r="O2" s="74">
        <f>ConTime!O$18</f>
        <v>1</v>
      </c>
      <c r="P2" s="74">
        <f>ConTime!P$18</f>
        <v>1</v>
      </c>
      <c r="Q2" s="74">
        <f>ConTime!Q$18</f>
        <v>1</v>
      </c>
      <c r="R2" s="74">
        <f>ConTime!R$18</f>
        <v>1</v>
      </c>
      <c r="S2" s="74">
        <f>ConTime!S$18</f>
        <v>1</v>
      </c>
      <c r="T2" s="74">
        <f>ConTime!T$18</f>
        <v>1</v>
      </c>
      <c r="U2" s="74">
        <f>ConTime!U$18</f>
        <v>1</v>
      </c>
      <c r="V2" s="74">
        <f>ConTime!V$18</f>
        <v>1</v>
      </c>
      <c r="W2" s="74">
        <f>ConTime!W$18</f>
        <v>1</v>
      </c>
      <c r="X2" s="74">
        <f>ConTime!X$18</f>
        <v>1</v>
      </c>
      <c r="Y2" s="74">
        <f>ConTime!Y$18</f>
        <v>1</v>
      </c>
      <c r="Z2" s="74">
        <f>ConTime!Z$18</f>
        <v>1</v>
      </c>
      <c r="AA2" s="74">
        <f>ConTime!AA$18</f>
        <v>1</v>
      </c>
      <c r="AB2" s="74">
        <f>ConTime!AB$18</f>
        <v>1</v>
      </c>
      <c r="AC2" s="74">
        <f>ConTime!AC$18</f>
        <v>1</v>
      </c>
      <c r="AD2" s="74">
        <f>ConTime!AD$18</f>
        <v>1</v>
      </c>
      <c r="AE2" s="74">
        <f>ConTime!AE$18</f>
        <v>1</v>
      </c>
      <c r="AF2" s="74">
        <f>ConTime!AF$18</f>
        <v>1</v>
      </c>
      <c r="AG2" s="74">
        <f>ConTime!AG$18</f>
        <v>0</v>
      </c>
      <c r="AH2" s="74">
        <f>ConTime!AH$18</f>
        <v>0</v>
      </c>
      <c r="AI2" s="74">
        <f>ConTime!AI$18</f>
        <v>0</v>
      </c>
      <c r="AJ2" s="74">
        <f>ConTime!AJ$18</f>
        <v>0</v>
      </c>
      <c r="AK2" s="74">
        <f>ConTime!AK$18</f>
        <v>0</v>
      </c>
      <c r="AL2" s="74">
        <f>ConTime!AL$18</f>
        <v>0</v>
      </c>
      <c r="AM2" s="74">
        <f>ConTime!AM$18</f>
        <v>0</v>
      </c>
      <c r="AN2" s="74">
        <f>ConTime!AN$18</f>
        <v>0</v>
      </c>
      <c r="AO2" s="74">
        <f>ConTime!AO$18</f>
        <v>0</v>
      </c>
      <c r="AP2" s="74">
        <f>ConTime!AP$18</f>
        <v>0</v>
      </c>
      <c r="AQ2" s="74">
        <f>ConTime!AQ$18</f>
        <v>0</v>
      </c>
      <c r="AR2" s="74">
        <f>ConTime!AR$18</f>
        <v>0</v>
      </c>
      <c r="AS2" s="74">
        <f>ConTime!AS$18</f>
        <v>0</v>
      </c>
      <c r="AT2" s="74">
        <f>ConTime!AT$18</f>
        <v>0</v>
      </c>
      <c r="AU2" s="74">
        <f>ConTime!AU$18</f>
        <v>0</v>
      </c>
      <c r="AV2" s="74">
        <f>ConTime!AV$18</f>
        <v>0</v>
      </c>
      <c r="AW2" s="74">
        <f>ConTime!AW$18</f>
        <v>0</v>
      </c>
      <c r="AX2" s="74">
        <f>ConTime!AX$18</f>
        <v>0</v>
      </c>
      <c r="AY2" s="74">
        <f>ConTime!AY$18</f>
        <v>0</v>
      </c>
      <c r="AZ2" s="74">
        <f>ConTime!AZ$18</f>
        <v>0</v>
      </c>
    </row>
    <row r="3" spans="1:52" s="74" customFormat="1" x14ac:dyDescent="0.2">
      <c r="A3" s="75"/>
      <c r="B3" s="75"/>
      <c r="C3" s="107"/>
      <c r="D3" s="77"/>
      <c r="E3" s="74" t="str">
        <f xml:space="preserve"> ConTime!E$8</f>
        <v>Construction period counter</v>
      </c>
      <c r="F3" s="74">
        <f xml:space="preserve"> ConTime!F$8</f>
        <v>0</v>
      </c>
      <c r="G3" s="74">
        <f xml:space="preserve"> ConTime!G$8</f>
        <v>0</v>
      </c>
      <c r="H3" s="74">
        <f xml:space="preserve"> ConTime!H$8</f>
        <v>0</v>
      </c>
      <c r="I3" s="74">
        <f xml:space="preserve"> ConTime!I$8</f>
        <v>0</v>
      </c>
      <c r="J3" s="74">
        <f xml:space="preserve"> ConTime!J$8</f>
        <v>1</v>
      </c>
      <c r="K3" s="74">
        <f xml:space="preserve"> ConTime!K$8</f>
        <v>2</v>
      </c>
      <c r="L3" s="74">
        <f xml:space="preserve"> ConTime!L$8</f>
        <v>3</v>
      </c>
      <c r="M3" s="74">
        <f xml:space="preserve"> ConTime!M$8</f>
        <v>4</v>
      </c>
      <c r="N3" s="74">
        <f xml:space="preserve"> ConTime!N$8</f>
        <v>5</v>
      </c>
      <c r="O3" s="74">
        <f xml:space="preserve"> ConTime!O$8</f>
        <v>6</v>
      </c>
      <c r="P3" s="74">
        <f xml:space="preserve"> ConTime!P$8</f>
        <v>7</v>
      </c>
      <c r="Q3" s="74">
        <f xml:space="preserve"> ConTime!Q$8</f>
        <v>8</v>
      </c>
      <c r="R3" s="74">
        <f xml:space="preserve"> ConTime!R$8</f>
        <v>9</v>
      </c>
      <c r="S3" s="74">
        <f xml:space="preserve"> ConTime!S$8</f>
        <v>10</v>
      </c>
      <c r="T3" s="74">
        <f xml:space="preserve"> ConTime!T$8</f>
        <v>11</v>
      </c>
      <c r="U3" s="74">
        <f xml:space="preserve"> ConTime!U$8</f>
        <v>12</v>
      </c>
      <c r="V3" s="74">
        <f xml:space="preserve"> ConTime!V$8</f>
        <v>13</v>
      </c>
      <c r="W3" s="74">
        <f xml:space="preserve"> ConTime!W$8</f>
        <v>14</v>
      </c>
      <c r="X3" s="74">
        <f xml:space="preserve"> ConTime!X$8</f>
        <v>15</v>
      </c>
      <c r="Y3" s="74">
        <f xml:space="preserve"> ConTime!Y$8</f>
        <v>16</v>
      </c>
      <c r="Z3" s="74">
        <f xml:space="preserve"> ConTime!Z$8</f>
        <v>17</v>
      </c>
      <c r="AA3" s="74">
        <f xml:space="preserve"> ConTime!AA$8</f>
        <v>18</v>
      </c>
      <c r="AB3" s="74">
        <f xml:space="preserve"> ConTime!AB$8</f>
        <v>19</v>
      </c>
      <c r="AC3" s="74">
        <f xml:space="preserve"> ConTime!AC$8</f>
        <v>20</v>
      </c>
      <c r="AD3" s="74">
        <f xml:space="preserve"> ConTime!AD$8</f>
        <v>21</v>
      </c>
      <c r="AE3" s="74">
        <f xml:space="preserve"> ConTime!AE$8</f>
        <v>22</v>
      </c>
      <c r="AF3" s="74">
        <f xml:space="preserve"> ConTime!AF$8</f>
        <v>23</v>
      </c>
      <c r="AG3" s="74">
        <f xml:space="preserve"> ConTime!AG$8</f>
        <v>24</v>
      </c>
      <c r="AH3" s="74">
        <f xml:space="preserve"> ConTime!AH$8</f>
        <v>25</v>
      </c>
      <c r="AI3" s="74">
        <f xml:space="preserve"> ConTime!AI$8</f>
        <v>26</v>
      </c>
      <c r="AJ3" s="74">
        <f xml:space="preserve"> ConTime!AJ$8</f>
        <v>27</v>
      </c>
      <c r="AK3" s="74">
        <f xml:space="preserve"> ConTime!AK$8</f>
        <v>28</v>
      </c>
      <c r="AL3" s="74">
        <f xml:space="preserve"> ConTime!AL$8</f>
        <v>29</v>
      </c>
      <c r="AM3" s="74">
        <f xml:space="preserve"> ConTime!AM$8</f>
        <v>30</v>
      </c>
      <c r="AN3" s="74">
        <f xml:space="preserve"> ConTime!AN$8</f>
        <v>31</v>
      </c>
      <c r="AO3" s="74">
        <f xml:space="preserve"> ConTime!AO$8</f>
        <v>32</v>
      </c>
      <c r="AP3" s="74">
        <f xml:space="preserve"> ConTime!AP$8</f>
        <v>33</v>
      </c>
      <c r="AQ3" s="74">
        <f xml:space="preserve"> ConTime!AQ$8</f>
        <v>34</v>
      </c>
      <c r="AR3" s="74">
        <f xml:space="preserve"> ConTime!AR$8</f>
        <v>35</v>
      </c>
      <c r="AS3" s="74">
        <f xml:space="preserve"> ConTime!AS$8</f>
        <v>36</v>
      </c>
      <c r="AT3" s="74">
        <f xml:space="preserve"> ConTime!AT$8</f>
        <v>37</v>
      </c>
      <c r="AU3" s="74">
        <f xml:space="preserve"> ConTime!AU$8</f>
        <v>38</v>
      </c>
      <c r="AV3" s="74">
        <f xml:space="preserve"> ConTime!AV$8</f>
        <v>39</v>
      </c>
      <c r="AW3" s="74">
        <f xml:space="preserve"> ConTime!AW$8</f>
        <v>40</v>
      </c>
      <c r="AX3" s="74">
        <f xml:space="preserve"> ConTime!AX$8</f>
        <v>41</v>
      </c>
      <c r="AY3" s="74">
        <f xml:space="preserve"> ConTime!AY$8</f>
        <v>42</v>
      </c>
      <c r="AZ3" s="74">
        <f xml:space="preserve"> ConTime!AZ$8</f>
        <v>43</v>
      </c>
    </row>
    <row r="4" spans="1:52" s="78" customFormat="1" x14ac:dyDescent="0.2">
      <c r="C4" s="79"/>
      <c r="D4" s="80"/>
      <c r="E4" s="78" t="str">
        <f>ConTime!E$13</f>
        <v>Construction period month ending</v>
      </c>
      <c r="F4" s="80">
        <f>ConTime!F$13</f>
        <v>0</v>
      </c>
      <c r="G4" s="78">
        <f>ConTime!G$13</f>
        <v>0</v>
      </c>
      <c r="H4" s="80">
        <f>ConTime!H$13</f>
        <v>0</v>
      </c>
      <c r="I4" s="78">
        <f>ConTime!I$13</f>
        <v>0</v>
      </c>
      <c r="J4" s="78">
        <f>ConTime!J$13</f>
        <v>41698</v>
      </c>
      <c r="K4" s="78">
        <f>ConTime!K$13</f>
        <v>41729</v>
      </c>
      <c r="L4" s="78">
        <f>ConTime!L$13</f>
        <v>41759</v>
      </c>
      <c r="M4" s="78">
        <f>ConTime!M$13</f>
        <v>41790</v>
      </c>
      <c r="N4" s="78">
        <f>ConTime!N$13</f>
        <v>41820</v>
      </c>
      <c r="O4" s="78">
        <f>ConTime!O$13</f>
        <v>41851</v>
      </c>
      <c r="P4" s="78">
        <f>ConTime!P$13</f>
        <v>41882</v>
      </c>
      <c r="Q4" s="78">
        <f>ConTime!Q$13</f>
        <v>41912</v>
      </c>
      <c r="R4" s="78">
        <f>ConTime!R$13</f>
        <v>41943</v>
      </c>
      <c r="S4" s="78">
        <f>ConTime!S$13</f>
        <v>41973</v>
      </c>
      <c r="T4" s="78">
        <f>ConTime!T$13</f>
        <v>42004</v>
      </c>
      <c r="U4" s="78">
        <f>ConTime!U$13</f>
        <v>42035</v>
      </c>
      <c r="V4" s="78">
        <f>ConTime!V$13</f>
        <v>42063</v>
      </c>
      <c r="W4" s="78">
        <f>ConTime!W$13</f>
        <v>42094</v>
      </c>
      <c r="X4" s="78">
        <f>ConTime!X$13</f>
        <v>42124</v>
      </c>
      <c r="Y4" s="78">
        <f>ConTime!Y$13</f>
        <v>42155</v>
      </c>
      <c r="Z4" s="78">
        <f>ConTime!Z$13</f>
        <v>42185</v>
      </c>
      <c r="AA4" s="78">
        <f>ConTime!AA$13</f>
        <v>42216</v>
      </c>
      <c r="AB4" s="78">
        <f>ConTime!AB$13</f>
        <v>42247</v>
      </c>
      <c r="AC4" s="78">
        <f>ConTime!AC$13</f>
        <v>42277</v>
      </c>
      <c r="AD4" s="78">
        <f>ConTime!AD$13</f>
        <v>42308</v>
      </c>
      <c r="AE4" s="78">
        <f>ConTime!AE$13</f>
        <v>42338</v>
      </c>
      <c r="AF4" s="78">
        <f>ConTime!AF$13</f>
        <v>42369</v>
      </c>
      <c r="AG4" s="78">
        <f>ConTime!AG$13</f>
        <v>42400</v>
      </c>
      <c r="AH4" s="78">
        <f>ConTime!AH$13</f>
        <v>42429</v>
      </c>
      <c r="AI4" s="78">
        <f>ConTime!AI$13</f>
        <v>42460</v>
      </c>
      <c r="AJ4" s="78">
        <f>ConTime!AJ$13</f>
        <v>42490</v>
      </c>
      <c r="AK4" s="78">
        <f>ConTime!AK$13</f>
        <v>42521</v>
      </c>
      <c r="AL4" s="78">
        <f>ConTime!AL$13</f>
        <v>42551</v>
      </c>
      <c r="AM4" s="78">
        <f>ConTime!AM$13</f>
        <v>42582</v>
      </c>
      <c r="AN4" s="78">
        <f>ConTime!AN$13</f>
        <v>42613</v>
      </c>
      <c r="AO4" s="78">
        <f>ConTime!AO$13</f>
        <v>42643</v>
      </c>
      <c r="AP4" s="78">
        <f>ConTime!AP$13</f>
        <v>42674</v>
      </c>
      <c r="AQ4" s="78">
        <f>ConTime!AQ$13</f>
        <v>42704</v>
      </c>
      <c r="AR4" s="78">
        <f>ConTime!AR$13</f>
        <v>42735</v>
      </c>
      <c r="AS4" s="78">
        <f>ConTime!AS$13</f>
        <v>42766</v>
      </c>
      <c r="AT4" s="78">
        <f>ConTime!AT$13</f>
        <v>42794</v>
      </c>
      <c r="AU4" s="78">
        <f>ConTime!AU$13</f>
        <v>42825</v>
      </c>
      <c r="AV4" s="78">
        <f>ConTime!AV$13</f>
        <v>42855</v>
      </c>
      <c r="AW4" s="78">
        <f>ConTime!AW$13</f>
        <v>42886</v>
      </c>
      <c r="AX4" s="78">
        <f>ConTime!AX$13</f>
        <v>42916</v>
      </c>
      <c r="AY4" s="78">
        <f>ConTime!AY$13</f>
        <v>42947</v>
      </c>
      <c r="AZ4" s="78">
        <f>ConTime!AZ$13</f>
        <v>42978</v>
      </c>
    </row>
    <row r="6" spans="1:52" x14ac:dyDescent="0.2">
      <c r="A6" s="81" t="s">
        <v>216</v>
      </c>
    </row>
    <row r="8" spans="1:52" s="272" customFormat="1" x14ac:dyDescent="0.2">
      <c r="A8" s="252"/>
      <c r="B8" s="97"/>
      <c r="C8" s="98"/>
      <c r="D8" s="271"/>
      <c r="E8" s="272" t="s">
        <v>218</v>
      </c>
      <c r="F8" s="101">
        <v>0.02</v>
      </c>
      <c r="G8" s="272" t="s">
        <v>219</v>
      </c>
      <c r="AF8" s="100"/>
    </row>
    <row r="9" spans="1:52" x14ac:dyDescent="0.2">
      <c r="E9" s="85" t="s">
        <v>220</v>
      </c>
      <c r="F9" s="136">
        <v>390000</v>
      </c>
      <c r="G9" s="85" t="str">
        <f xml:space="preserve"> SMU</f>
        <v>€ 000s</v>
      </c>
    </row>
    <row r="10" spans="1:52" s="144" customFormat="1" x14ac:dyDescent="0.2">
      <c r="A10" s="93"/>
      <c r="B10" s="93"/>
      <c r="C10" s="94"/>
      <c r="D10" s="143"/>
      <c r="E10" s="144" t="str">
        <f>ConTime!E$22</f>
        <v>Financial close date flag</v>
      </c>
      <c r="F10" s="144">
        <f>ConTime!F$22</f>
        <v>0</v>
      </c>
      <c r="G10" s="144">
        <f>ConTime!G$22</f>
        <v>0</v>
      </c>
      <c r="H10" s="144">
        <f>ConTime!H$22</f>
        <v>1</v>
      </c>
      <c r="I10" s="144">
        <f>ConTime!I$22</f>
        <v>0</v>
      </c>
      <c r="J10" s="144">
        <f>ConTime!J$22</f>
        <v>1</v>
      </c>
      <c r="K10" s="144">
        <f>ConTime!K$22</f>
        <v>0</v>
      </c>
      <c r="L10" s="144">
        <f>ConTime!L$22</f>
        <v>0</v>
      </c>
      <c r="M10" s="144">
        <f>ConTime!M$22</f>
        <v>0</v>
      </c>
      <c r="N10" s="144">
        <f>ConTime!N$22</f>
        <v>0</v>
      </c>
      <c r="O10" s="144">
        <f>ConTime!O$22</f>
        <v>0</v>
      </c>
      <c r="P10" s="144">
        <f>ConTime!P$22</f>
        <v>0</v>
      </c>
      <c r="Q10" s="144">
        <f>ConTime!Q$22</f>
        <v>0</v>
      </c>
      <c r="R10" s="144">
        <f>ConTime!R$22</f>
        <v>0</v>
      </c>
      <c r="S10" s="144">
        <f>ConTime!S$22</f>
        <v>0</v>
      </c>
      <c r="T10" s="144">
        <f>ConTime!T$22</f>
        <v>0</v>
      </c>
      <c r="U10" s="144">
        <f>ConTime!U$22</f>
        <v>0</v>
      </c>
      <c r="V10" s="144">
        <f>ConTime!V$22</f>
        <v>0</v>
      </c>
      <c r="W10" s="144">
        <f>ConTime!W$22</f>
        <v>0</v>
      </c>
      <c r="X10" s="144">
        <f>ConTime!X$22</f>
        <v>0</v>
      </c>
      <c r="Y10" s="144">
        <f>ConTime!Y$22</f>
        <v>0</v>
      </c>
      <c r="Z10" s="144">
        <f>ConTime!Z$22</f>
        <v>0</v>
      </c>
      <c r="AA10" s="144">
        <f>ConTime!AA$22</f>
        <v>0</v>
      </c>
      <c r="AB10" s="144">
        <f>ConTime!AB$22</f>
        <v>0</v>
      </c>
      <c r="AC10" s="144">
        <f>ConTime!AC$22</f>
        <v>0</v>
      </c>
      <c r="AD10" s="144">
        <f>ConTime!AD$22</f>
        <v>0</v>
      </c>
      <c r="AE10" s="144">
        <f>ConTime!AE$22</f>
        <v>0</v>
      </c>
      <c r="AF10" s="144">
        <f>ConTime!AF$22</f>
        <v>0</v>
      </c>
      <c r="AG10" s="144">
        <f>ConTime!AG$22</f>
        <v>0</v>
      </c>
      <c r="AH10" s="144">
        <f>ConTime!AH$22</f>
        <v>0</v>
      </c>
      <c r="AI10" s="144">
        <f>ConTime!AI$22</f>
        <v>0</v>
      </c>
      <c r="AJ10" s="144">
        <f>ConTime!AJ$22</f>
        <v>0</v>
      </c>
      <c r="AK10" s="144">
        <f>ConTime!AK$22</f>
        <v>0</v>
      </c>
      <c r="AL10" s="144">
        <f>ConTime!AL$22</f>
        <v>0</v>
      </c>
      <c r="AM10" s="144">
        <f>ConTime!AM$22</f>
        <v>0</v>
      </c>
      <c r="AN10" s="144">
        <f>ConTime!AN$22</f>
        <v>0</v>
      </c>
      <c r="AO10" s="144">
        <f>ConTime!AO$22</f>
        <v>0</v>
      </c>
      <c r="AP10" s="144">
        <f>ConTime!AP$22</f>
        <v>0</v>
      </c>
      <c r="AQ10" s="144">
        <f>ConTime!AQ$22</f>
        <v>0</v>
      </c>
      <c r="AR10" s="144">
        <f>ConTime!AR$22</f>
        <v>0</v>
      </c>
      <c r="AS10" s="144">
        <f>ConTime!AS$22</f>
        <v>0</v>
      </c>
      <c r="AT10" s="144">
        <f>ConTime!AT$22</f>
        <v>0</v>
      </c>
      <c r="AU10" s="144">
        <f>ConTime!AU$22</f>
        <v>0</v>
      </c>
      <c r="AV10" s="144">
        <f>ConTime!AV$22</f>
        <v>0</v>
      </c>
      <c r="AW10" s="144">
        <f>ConTime!AW$22</f>
        <v>0</v>
      </c>
      <c r="AX10" s="144">
        <f>ConTime!AX$22</f>
        <v>0</v>
      </c>
      <c r="AY10" s="144">
        <f>ConTime!AY$22</f>
        <v>0</v>
      </c>
      <c r="AZ10" s="144">
        <f>ConTime!AZ$22</f>
        <v>0</v>
      </c>
    </row>
    <row r="11" spans="1:52" x14ac:dyDescent="0.2">
      <c r="E11" s="85" t="s">
        <v>221</v>
      </c>
      <c r="H11" s="85">
        <f>SUM(J11:AZ11)</f>
        <v>7800</v>
      </c>
      <c r="J11" s="85">
        <f xml:space="preserve"> $F8 * $F9 * J10</f>
        <v>7800</v>
      </c>
      <c r="K11" s="85">
        <f t="shared" ref="K11:AZ11" si="0" xml:space="preserve"> $F8 * $F9 * K10</f>
        <v>0</v>
      </c>
      <c r="L11" s="85">
        <f t="shared" si="0"/>
        <v>0</v>
      </c>
      <c r="M11" s="85">
        <f t="shared" si="0"/>
        <v>0</v>
      </c>
      <c r="N11" s="85">
        <f t="shared" si="0"/>
        <v>0</v>
      </c>
      <c r="O11" s="85">
        <f t="shared" si="0"/>
        <v>0</v>
      </c>
      <c r="P11" s="85">
        <f t="shared" si="0"/>
        <v>0</v>
      </c>
      <c r="Q11" s="85">
        <f t="shared" si="0"/>
        <v>0</v>
      </c>
      <c r="R11" s="85">
        <f t="shared" si="0"/>
        <v>0</v>
      </c>
      <c r="S11" s="85">
        <f t="shared" si="0"/>
        <v>0</v>
      </c>
      <c r="T11" s="85">
        <f t="shared" si="0"/>
        <v>0</v>
      </c>
      <c r="U11" s="85">
        <f t="shared" si="0"/>
        <v>0</v>
      </c>
      <c r="V11" s="85">
        <f t="shared" si="0"/>
        <v>0</v>
      </c>
      <c r="W11" s="85">
        <f t="shared" si="0"/>
        <v>0</v>
      </c>
      <c r="X11" s="85">
        <f t="shared" si="0"/>
        <v>0</v>
      </c>
      <c r="Y11" s="85">
        <f t="shared" si="0"/>
        <v>0</v>
      </c>
      <c r="Z11" s="85">
        <f t="shared" si="0"/>
        <v>0</v>
      </c>
      <c r="AA11" s="85">
        <f t="shared" si="0"/>
        <v>0</v>
      </c>
      <c r="AB11" s="85">
        <f t="shared" si="0"/>
        <v>0</v>
      </c>
      <c r="AC11" s="85">
        <f t="shared" si="0"/>
        <v>0</v>
      </c>
      <c r="AD11" s="85">
        <f t="shared" si="0"/>
        <v>0</v>
      </c>
      <c r="AE11" s="85">
        <f t="shared" si="0"/>
        <v>0</v>
      </c>
      <c r="AF11" s="85">
        <f t="shared" si="0"/>
        <v>0</v>
      </c>
      <c r="AG11" s="85">
        <f t="shared" si="0"/>
        <v>0</v>
      </c>
      <c r="AH11" s="85">
        <f t="shared" si="0"/>
        <v>0</v>
      </c>
      <c r="AI11" s="85">
        <f t="shared" si="0"/>
        <v>0</v>
      </c>
      <c r="AJ11" s="85">
        <f t="shared" si="0"/>
        <v>0</v>
      </c>
      <c r="AK11" s="85">
        <f t="shared" si="0"/>
        <v>0</v>
      </c>
      <c r="AL11" s="85">
        <f t="shared" si="0"/>
        <v>0</v>
      </c>
      <c r="AM11" s="85">
        <f t="shared" si="0"/>
        <v>0</v>
      </c>
      <c r="AN11" s="85">
        <f t="shared" si="0"/>
        <v>0</v>
      </c>
      <c r="AO11" s="85">
        <f t="shared" si="0"/>
        <v>0</v>
      </c>
      <c r="AP11" s="85">
        <f t="shared" si="0"/>
        <v>0</v>
      </c>
      <c r="AQ11" s="85">
        <f t="shared" si="0"/>
        <v>0</v>
      </c>
      <c r="AR11" s="85">
        <f t="shared" si="0"/>
        <v>0</v>
      </c>
      <c r="AS11" s="85">
        <f t="shared" si="0"/>
        <v>0</v>
      </c>
      <c r="AT11" s="85">
        <f t="shared" si="0"/>
        <v>0</v>
      </c>
      <c r="AU11" s="85">
        <f t="shared" si="0"/>
        <v>0</v>
      </c>
      <c r="AV11" s="85">
        <f t="shared" si="0"/>
        <v>0</v>
      </c>
      <c r="AW11" s="85">
        <f t="shared" si="0"/>
        <v>0</v>
      </c>
      <c r="AX11" s="85">
        <f t="shared" si="0"/>
        <v>0</v>
      </c>
      <c r="AY11" s="85">
        <f t="shared" si="0"/>
        <v>0</v>
      </c>
      <c r="AZ11" s="85">
        <f t="shared" si="0"/>
        <v>0</v>
      </c>
    </row>
    <row r="13" spans="1:52" x14ac:dyDescent="0.2">
      <c r="E13" s="85" t="s">
        <v>224</v>
      </c>
      <c r="F13" s="136">
        <v>30</v>
      </c>
      <c r="G13" s="85" t="str">
        <f xml:space="preserve"> SMU &amp; " pcm"</f>
        <v>€ 000s pcm</v>
      </c>
    </row>
    <row r="14" spans="1:52" s="197" customFormat="1" x14ac:dyDescent="0.2">
      <c r="A14" s="264"/>
      <c r="B14" s="264"/>
      <c r="C14" s="265"/>
      <c r="D14" s="266"/>
      <c r="E14" s="197" t="str">
        <f>ConTime!E$18</f>
        <v>Construction / availability period flag</v>
      </c>
      <c r="F14" s="197">
        <f>ConTime!F$18</f>
        <v>0</v>
      </c>
      <c r="G14" s="197">
        <f>ConTime!G$18</f>
        <v>0</v>
      </c>
      <c r="H14" s="197">
        <f>ConTime!H$18</f>
        <v>22</v>
      </c>
      <c r="I14" s="197">
        <f>ConTime!I$18</f>
        <v>0</v>
      </c>
      <c r="J14" s="197">
        <f>ConTime!J$18</f>
        <v>0</v>
      </c>
      <c r="K14" s="197">
        <f>ConTime!K$18</f>
        <v>1</v>
      </c>
      <c r="L14" s="197">
        <f>ConTime!L$18</f>
        <v>1</v>
      </c>
      <c r="M14" s="197">
        <f>ConTime!M$18</f>
        <v>1</v>
      </c>
      <c r="N14" s="197">
        <f>ConTime!N$18</f>
        <v>1</v>
      </c>
      <c r="O14" s="197">
        <f>ConTime!O$18</f>
        <v>1</v>
      </c>
      <c r="P14" s="197">
        <f>ConTime!P$18</f>
        <v>1</v>
      </c>
      <c r="Q14" s="197">
        <f>ConTime!Q$18</f>
        <v>1</v>
      </c>
      <c r="R14" s="197">
        <f>ConTime!R$18</f>
        <v>1</v>
      </c>
      <c r="S14" s="197">
        <f>ConTime!S$18</f>
        <v>1</v>
      </c>
      <c r="T14" s="197">
        <f>ConTime!T$18</f>
        <v>1</v>
      </c>
      <c r="U14" s="197">
        <f>ConTime!U$18</f>
        <v>1</v>
      </c>
      <c r="V14" s="197">
        <f>ConTime!V$18</f>
        <v>1</v>
      </c>
      <c r="W14" s="197">
        <f>ConTime!W$18</f>
        <v>1</v>
      </c>
      <c r="X14" s="197">
        <f>ConTime!X$18</f>
        <v>1</v>
      </c>
      <c r="Y14" s="197">
        <f>ConTime!Y$18</f>
        <v>1</v>
      </c>
      <c r="Z14" s="197">
        <f>ConTime!Z$18</f>
        <v>1</v>
      </c>
      <c r="AA14" s="197">
        <f>ConTime!AA$18</f>
        <v>1</v>
      </c>
      <c r="AB14" s="197">
        <f>ConTime!AB$18</f>
        <v>1</v>
      </c>
      <c r="AC14" s="197">
        <f>ConTime!AC$18</f>
        <v>1</v>
      </c>
      <c r="AD14" s="197">
        <f>ConTime!AD$18</f>
        <v>1</v>
      </c>
      <c r="AE14" s="197">
        <f>ConTime!AE$18</f>
        <v>1</v>
      </c>
      <c r="AF14" s="197">
        <f>ConTime!AF$18</f>
        <v>1</v>
      </c>
      <c r="AG14" s="197">
        <f>ConTime!AG$18</f>
        <v>0</v>
      </c>
      <c r="AH14" s="197">
        <f>ConTime!AH$18</f>
        <v>0</v>
      </c>
      <c r="AI14" s="197">
        <f>ConTime!AI$18</f>
        <v>0</v>
      </c>
      <c r="AJ14" s="197">
        <f>ConTime!AJ$18</f>
        <v>0</v>
      </c>
      <c r="AK14" s="197">
        <f>ConTime!AK$18</f>
        <v>0</v>
      </c>
      <c r="AL14" s="197">
        <f>ConTime!AL$18</f>
        <v>0</v>
      </c>
      <c r="AM14" s="197">
        <f>ConTime!AM$18</f>
        <v>0</v>
      </c>
      <c r="AN14" s="197">
        <f>ConTime!AN$18</f>
        <v>0</v>
      </c>
      <c r="AO14" s="197">
        <f>ConTime!AO$18</f>
        <v>0</v>
      </c>
      <c r="AP14" s="197">
        <f>ConTime!AP$18</f>
        <v>0</v>
      </c>
      <c r="AQ14" s="197">
        <f>ConTime!AQ$18</f>
        <v>0</v>
      </c>
      <c r="AR14" s="197">
        <f>ConTime!AR$18</f>
        <v>0</v>
      </c>
      <c r="AS14" s="197">
        <f>ConTime!AS$18</f>
        <v>0</v>
      </c>
      <c r="AT14" s="197">
        <f>ConTime!AT$18</f>
        <v>0</v>
      </c>
      <c r="AU14" s="197">
        <f>ConTime!AU$18</f>
        <v>0</v>
      </c>
      <c r="AV14" s="197">
        <f>ConTime!AV$18</f>
        <v>0</v>
      </c>
      <c r="AW14" s="197">
        <f>ConTime!AW$18</f>
        <v>0</v>
      </c>
      <c r="AX14" s="197">
        <f>ConTime!AX$18</f>
        <v>0</v>
      </c>
      <c r="AY14" s="197">
        <f>ConTime!AY$18</f>
        <v>0</v>
      </c>
      <c r="AZ14" s="197">
        <f>ConTime!AZ$18</f>
        <v>0</v>
      </c>
    </row>
    <row r="15" spans="1:52" s="326" customFormat="1" x14ac:dyDescent="0.2">
      <c r="A15" s="323"/>
      <c r="B15" s="323"/>
      <c r="C15" s="324"/>
      <c r="D15" s="325"/>
      <c r="E15" s="326" t="s">
        <v>225</v>
      </c>
      <c r="J15" s="326">
        <v>1</v>
      </c>
      <c r="K15" s="326">
        <v>1</v>
      </c>
      <c r="L15" s="326">
        <v>1</v>
      </c>
      <c r="M15" s="326">
        <v>1</v>
      </c>
      <c r="N15" s="326">
        <v>1</v>
      </c>
      <c r="O15" s="326">
        <v>1</v>
      </c>
      <c r="P15" s="326">
        <v>1</v>
      </c>
      <c r="Q15" s="326">
        <v>1</v>
      </c>
      <c r="R15" s="326">
        <v>1</v>
      </c>
      <c r="S15" s="326">
        <v>1</v>
      </c>
      <c r="T15" s="326">
        <v>1</v>
      </c>
      <c r="U15" s="326">
        <v>1</v>
      </c>
      <c r="V15" s="326">
        <v>1</v>
      </c>
      <c r="W15" s="326">
        <v>1</v>
      </c>
      <c r="X15" s="326">
        <v>1</v>
      </c>
      <c r="Y15" s="326">
        <v>1</v>
      </c>
      <c r="Z15" s="326">
        <v>1</v>
      </c>
      <c r="AA15" s="326">
        <v>1</v>
      </c>
      <c r="AB15" s="326">
        <v>1</v>
      </c>
      <c r="AC15" s="326">
        <v>1</v>
      </c>
      <c r="AD15" s="326">
        <v>1</v>
      </c>
      <c r="AE15" s="326">
        <v>1</v>
      </c>
      <c r="AF15" s="326">
        <v>1</v>
      </c>
      <c r="AG15" s="326">
        <v>1</v>
      </c>
      <c r="AH15" s="326">
        <v>1</v>
      </c>
      <c r="AI15" s="326">
        <v>1</v>
      </c>
      <c r="AJ15" s="326">
        <v>1</v>
      </c>
      <c r="AK15" s="326">
        <v>1</v>
      </c>
      <c r="AL15" s="326">
        <v>1</v>
      </c>
      <c r="AM15" s="326">
        <v>1</v>
      </c>
      <c r="AN15" s="326">
        <v>1</v>
      </c>
      <c r="AO15" s="326">
        <v>1</v>
      </c>
      <c r="AP15" s="326">
        <v>1</v>
      </c>
      <c r="AQ15" s="326">
        <v>1</v>
      </c>
      <c r="AR15" s="326">
        <v>1</v>
      </c>
      <c r="AS15" s="326">
        <v>1</v>
      </c>
      <c r="AT15" s="326">
        <v>1</v>
      </c>
      <c r="AU15" s="326">
        <v>1</v>
      </c>
      <c r="AV15" s="326">
        <v>1</v>
      </c>
      <c r="AW15" s="326">
        <v>1</v>
      </c>
      <c r="AX15" s="326">
        <v>1</v>
      </c>
      <c r="AY15" s="326">
        <v>1</v>
      </c>
      <c r="AZ15" s="326">
        <v>1</v>
      </c>
    </row>
    <row r="16" spans="1:52" x14ac:dyDescent="0.2">
      <c r="E16" s="85" t="s">
        <v>223</v>
      </c>
      <c r="H16" s="85">
        <f>SUM(J16:AZ16)</f>
        <v>660</v>
      </c>
      <c r="J16" s="85">
        <f xml:space="preserve"> $F13 * J14 * J15</f>
        <v>0</v>
      </c>
      <c r="K16" s="85">
        <f t="shared" ref="K16:AZ16" si="1" xml:space="preserve"> $F13 * K14 * K15</f>
        <v>30</v>
      </c>
      <c r="L16" s="85">
        <f t="shared" si="1"/>
        <v>30</v>
      </c>
      <c r="M16" s="85">
        <f t="shared" si="1"/>
        <v>30</v>
      </c>
      <c r="N16" s="85">
        <f t="shared" si="1"/>
        <v>30</v>
      </c>
      <c r="O16" s="85">
        <f t="shared" si="1"/>
        <v>30</v>
      </c>
      <c r="P16" s="85">
        <f t="shared" si="1"/>
        <v>30</v>
      </c>
      <c r="Q16" s="85">
        <f t="shared" si="1"/>
        <v>30</v>
      </c>
      <c r="R16" s="85">
        <f t="shared" si="1"/>
        <v>30</v>
      </c>
      <c r="S16" s="85">
        <f t="shared" si="1"/>
        <v>30</v>
      </c>
      <c r="T16" s="85">
        <f t="shared" si="1"/>
        <v>30</v>
      </c>
      <c r="U16" s="85">
        <f t="shared" si="1"/>
        <v>30</v>
      </c>
      <c r="V16" s="85">
        <f t="shared" si="1"/>
        <v>30</v>
      </c>
      <c r="W16" s="85">
        <f t="shared" si="1"/>
        <v>30</v>
      </c>
      <c r="X16" s="85">
        <f t="shared" si="1"/>
        <v>30</v>
      </c>
      <c r="Y16" s="85">
        <f t="shared" si="1"/>
        <v>30</v>
      </c>
      <c r="Z16" s="85">
        <f t="shared" si="1"/>
        <v>30</v>
      </c>
      <c r="AA16" s="85">
        <f t="shared" si="1"/>
        <v>30</v>
      </c>
      <c r="AB16" s="85">
        <f t="shared" si="1"/>
        <v>30</v>
      </c>
      <c r="AC16" s="85">
        <f t="shared" si="1"/>
        <v>30</v>
      </c>
      <c r="AD16" s="85">
        <f t="shared" si="1"/>
        <v>30</v>
      </c>
      <c r="AE16" s="85">
        <f t="shared" si="1"/>
        <v>30</v>
      </c>
      <c r="AF16" s="85">
        <f t="shared" si="1"/>
        <v>30</v>
      </c>
      <c r="AG16" s="85">
        <f t="shared" si="1"/>
        <v>0</v>
      </c>
      <c r="AH16" s="85">
        <f t="shared" si="1"/>
        <v>0</v>
      </c>
      <c r="AI16" s="85">
        <f t="shared" si="1"/>
        <v>0</v>
      </c>
      <c r="AJ16" s="85">
        <f t="shared" si="1"/>
        <v>0</v>
      </c>
      <c r="AK16" s="85">
        <f t="shared" si="1"/>
        <v>0</v>
      </c>
      <c r="AL16" s="85">
        <f t="shared" si="1"/>
        <v>0</v>
      </c>
      <c r="AM16" s="85">
        <f t="shared" si="1"/>
        <v>0</v>
      </c>
      <c r="AN16" s="85">
        <f t="shared" si="1"/>
        <v>0</v>
      </c>
      <c r="AO16" s="85">
        <f t="shared" si="1"/>
        <v>0</v>
      </c>
      <c r="AP16" s="85">
        <f t="shared" si="1"/>
        <v>0</v>
      </c>
      <c r="AQ16" s="85">
        <f t="shared" si="1"/>
        <v>0</v>
      </c>
      <c r="AR16" s="85">
        <f t="shared" si="1"/>
        <v>0</v>
      </c>
      <c r="AS16" s="85">
        <f t="shared" si="1"/>
        <v>0</v>
      </c>
      <c r="AT16" s="85">
        <f t="shared" si="1"/>
        <v>0</v>
      </c>
      <c r="AU16" s="85">
        <f t="shared" si="1"/>
        <v>0</v>
      </c>
      <c r="AV16" s="85">
        <f t="shared" si="1"/>
        <v>0</v>
      </c>
      <c r="AW16" s="85">
        <f t="shared" si="1"/>
        <v>0</v>
      </c>
      <c r="AX16" s="85">
        <f t="shared" si="1"/>
        <v>0</v>
      </c>
      <c r="AY16" s="85">
        <f t="shared" si="1"/>
        <v>0</v>
      </c>
      <c r="AZ16" s="85">
        <f t="shared" si="1"/>
        <v>0</v>
      </c>
    </row>
    <row r="19" spans="1:52" x14ac:dyDescent="0.2">
      <c r="B19" s="82" t="s">
        <v>228</v>
      </c>
    </row>
    <row r="21" spans="1:52" x14ac:dyDescent="0.2">
      <c r="E21" s="85" t="s">
        <v>232</v>
      </c>
      <c r="F21" s="101">
        <v>0.03</v>
      </c>
      <c r="G21" s="85" t="s">
        <v>229</v>
      </c>
    </row>
    <row r="22" spans="1:52" x14ac:dyDescent="0.2">
      <c r="E22" s="85" t="s">
        <v>230</v>
      </c>
      <c r="F22" s="101">
        <v>2.75E-2</v>
      </c>
      <c r="G22" s="85" t="s">
        <v>229</v>
      </c>
    </row>
    <row r="23" spans="1:52" x14ac:dyDescent="0.2">
      <c r="E23" s="268" t="s">
        <v>233</v>
      </c>
      <c r="F23" s="327"/>
      <c r="G23" s="268" t="s">
        <v>234</v>
      </c>
    </row>
    <row r="24" spans="1:52" x14ac:dyDescent="0.2">
      <c r="E24" s="268" t="s">
        <v>235</v>
      </c>
      <c r="F24" s="327"/>
      <c r="G24" s="268" t="s">
        <v>236</v>
      </c>
    </row>
    <row r="25" spans="1:52" x14ac:dyDescent="0.2">
      <c r="E25" s="85" t="s">
        <v>231</v>
      </c>
      <c r="F25" s="328">
        <f>SUM(F21:F24)</f>
        <v>5.7499999999999996E-2</v>
      </c>
      <c r="G25" s="85" t="s">
        <v>229</v>
      </c>
    </row>
    <row r="27" spans="1:52" x14ac:dyDescent="0.2">
      <c r="E27" s="85" t="s">
        <v>239</v>
      </c>
      <c r="F27" s="136">
        <v>360</v>
      </c>
      <c r="G27" s="85" t="s">
        <v>238</v>
      </c>
    </row>
    <row r="28" spans="1:52" x14ac:dyDescent="0.2">
      <c r="E28" s="85" t="s">
        <v>240</v>
      </c>
      <c r="F28" s="329">
        <f xml:space="preserve"> F25 / F27</f>
        <v>1.597222222222222E-4</v>
      </c>
      <c r="G28" s="85" t="s">
        <v>237</v>
      </c>
    </row>
    <row r="30" spans="1:52" s="269" customFormat="1" x14ac:dyDescent="0.2">
      <c r="A30" s="240"/>
      <c r="B30" s="236"/>
      <c r="C30" s="273"/>
      <c r="D30" s="274"/>
      <c r="E30" s="269" t="str">
        <f>ConTime!E$13</f>
        <v>Construction period month ending</v>
      </c>
      <c r="F30" s="269">
        <f>ConTime!F$13</f>
        <v>0</v>
      </c>
      <c r="G30" s="269">
        <f>ConTime!G$13</f>
        <v>0</v>
      </c>
      <c r="H30" s="269">
        <f>ConTime!H$13</f>
        <v>0</v>
      </c>
      <c r="I30" s="269">
        <f>ConTime!I$13</f>
        <v>0</v>
      </c>
      <c r="J30" s="269">
        <f>ConTime!J$13</f>
        <v>41698</v>
      </c>
      <c r="K30" s="269">
        <f>ConTime!K$13</f>
        <v>41729</v>
      </c>
      <c r="L30" s="269">
        <f>ConTime!L$13</f>
        <v>41759</v>
      </c>
      <c r="M30" s="269">
        <f>ConTime!M$13</f>
        <v>41790</v>
      </c>
      <c r="N30" s="269">
        <f>ConTime!N$13</f>
        <v>41820</v>
      </c>
      <c r="O30" s="269">
        <f>ConTime!O$13</f>
        <v>41851</v>
      </c>
      <c r="P30" s="269">
        <f>ConTime!P$13</f>
        <v>41882</v>
      </c>
      <c r="Q30" s="269">
        <f>ConTime!Q$13</f>
        <v>41912</v>
      </c>
      <c r="R30" s="269">
        <f>ConTime!R$13</f>
        <v>41943</v>
      </c>
      <c r="S30" s="269">
        <f>ConTime!S$13</f>
        <v>41973</v>
      </c>
      <c r="T30" s="269">
        <f>ConTime!T$13</f>
        <v>42004</v>
      </c>
      <c r="U30" s="269">
        <f>ConTime!U$13</f>
        <v>42035</v>
      </c>
      <c r="V30" s="269">
        <f>ConTime!V$13</f>
        <v>42063</v>
      </c>
      <c r="W30" s="269">
        <f>ConTime!W$13</f>
        <v>42094</v>
      </c>
      <c r="X30" s="269">
        <f>ConTime!X$13</f>
        <v>42124</v>
      </c>
      <c r="Y30" s="269">
        <f>ConTime!Y$13</f>
        <v>42155</v>
      </c>
      <c r="Z30" s="269">
        <f>ConTime!Z$13</f>
        <v>42185</v>
      </c>
      <c r="AA30" s="269">
        <f>ConTime!AA$13</f>
        <v>42216</v>
      </c>
      <c r="AB30" s="269">
        <f>ConTime!AB$13</f>
        <v>42247</v>
      </c>
      <c r="AC30" s="269">
        <f>ConTime!AC$13</f>
        <v>42277</v>
      </c>
      <c r="AD30" s="269">
        <f>ConTime!AD$13</f>
        <v>42308</v>
      </c>
      <c r="AE30" s="269">
        <f>ConTime!AE$13</f>
        <v>42338</v>
      </c>
      <c r="AF30" s="239">
        <f>ConTime!AF$13</f>
        <v>42369</v>
      </c>
      <c r="AG30" s="269">
        <f>ConTime!AG$13</f>
        <v>42400</v>
      </c>
      <c r="AH30" s="269">
        <f>ConTime!AH$13</f>
        <v>42429</v>
      </c>
      <c r="AI30" s="269">
        <f>ConTime!AI$13</f>
        <v>42460</v>
      </c>
      <c r="AJ30" s="269">
        <f>ConTime!AJ$13</f>
        <v>42490</v>
      </c>
      <c r="AK30" s="269">
        <f>ConTime!AK$13</f>
        <v>42521</v>
      </c>
      <c r="AL30" s="269">
        <f>ConTime!AL$13</f>
        <v>42551</v>
      </c>
      <c r="AM30" s="269">
        <f>ConTime!AM$13</f>
        <v>42582</v>
      </c>
      <c r="AN30" s="269">
        <f>ConTime!AN$13</f>
        <v>42613</v>
      </c>
      <c r="AO30" s="269">
        <f>ConTime!AO$13</f>
        <v>42643</v>
      </c>
      <c r="AP30" s="269">
        <f>ConTime!AP$13</f>
        <v>42674</v>
      </c>
      <c r="AQ30" s="269">
        <f>ConTime!AQ$13</f>
        <v>42704</v>
      </c>
      <c r="AR30" s="269">
        <f>ConTime!AR$13</f>
        <v>42735</v>
      </c>
      <c r="AS30" s="269">
        <f>ConTime!AS$13</f>
        <v>42766</v>
      </c>
      <c r="AT30" s="269">
        <f>ConTime!AT$13</f>
        <v>42794</v>
      </c>
      <c r="AU30" s="269">
        <f>ConTime!AU$13</f>
        <v>42825</v>
      </c>
      <c r="AV30" s="269">
        <f>ConTime!AV$13</f>
        <v>42855</v>
      </c>
      <c r="AW30" s="269">
        <f>ConTime!AW$13</f>
        <v>42886</v>
      </c>
      <c r="AX30" s="269">
        <f>ConTime!AX$13</f>
        <v>42916</v>
      </c>
      <c r="AY30" s="269">
        <f>ConTime!AY$13</f>
        <v>42947</v>
      </c>
      <c r="AZ30" s="269">
        <f>ConTime!AZ$13</f>
        <v>42978</v>
      </c>
    </row>
    <row r="31" spans="1:52" s="197" customFormat="1" x14ac:dyDescent="0.2">
      <c r="A31" s="264"/>
      <c r="B31" s="264"/>
      <c r="C31" s="265"/>
      <c r="D31" s="266"/>
      <c r="E31" s="197" t="str">
        <f>ConTime!E$18</f>
        <v>Construction / availability period flag</v>
      </c>
      <c r="F31" s="197">
        <f>ConTime!F$18</f>
        <v>0</v>
      </c>
      <c r="G31" s="197">
        <f>ConTime!G$18</f>
        <v>0</v>
      </c>
      <c r="H31" s="197">
        <f>ConTime!H$18</f>
        <v>22</v>
      </c>
      <c r="I31" s="197">
        <f>ConTime!I$18</f>
        <v>0</v>
      </c>
      <c r="J31" s="197">
        <f>ConTime!J$18</f>
        <v>0</v>
      </c>
      <c r="K31" s="197">
        <f>ConTime!K$18</f>
        <v>1</v>
      </c>
      <c r="L31" s="197">
        <f>ConTime!L$18</f>
        <v>1</v>
      </c>
      <c r="M31" s="197">
        <f>ConTime!M$18</f>
        <v>1</v>
      </c>
      <c r="N31" s="197">
        <f>ConTime!N$18</f>
        <v>1</v>
      </c>
      <c r="O31" s="197">
        <f>ConTime!O$18</f>
        <v>1</v>
      </c>
      <c r="P31" s="197">
        <f>ConTime!P$18</f>
        <v>1</v>
      </c>
      <c r="Q31" s="197">
        <f>ConTime!Q$18</f>
        <v>1</v>
      </c>
      <c r="R31" s="197">
        <f>ConTime!R$18</f>
        <v>1</v>
      </c>
      <c r="S31" s="197">
        <f>ConTime!S$18</f>
        <v>1</v>
      </c>
      <c r="T31" s="197">
        <f>ConTime!T$18</f>
        <v>1</v>
      </c>
      <c r="U31" s="197">
        <f>ConTime!U$18</f>
        <v>1</v>
      </c>
      <c r="V31" s="197">
        <f>ConTime!V$18</f>
        <v>1</v>
      </c>
      <c r="W31" s="197">
        <f>ConTime!W$18</f>
        <v>1</v>
      </c>
      <c r="X31" s="197">
        <f>ConTime!X$18</f>
        <v>1</v>
      </c>
      <c r="Y31" s="197">
        <f>ConTime!Y$18</f>
        <v>1</v>
      </c>
      <c r="Z31" s="197">
        <f>ConTime!Z$18</f>
        <v>1</v>
      </c>
      <c r="AA31" s="197">
        <f>ConTime!AA$18</f>
        <v>1</v>
      </c>
      <c r="AB31" s="197">
        <f>ConTime!AB$18</f>
        <v>1</v>
      </c>
      <c r="AC31" s="197">
        <f>ConTime!AC$18</f>
        <v>1</v>
      </c>
      <c r="AD31" s="197">
        <f>ConTime!AD$18</f>
        <v>1</v>
      </c>
      <c r="AE31" s="197">
        <f>ConTime!AE$18</f>
        <v>1</v>
      </c>
      <c r="AF31" s="197">
        <f>ConTime!AF$18</f>
        <v>1</v>
      </c>
      <c r="AG31" s="197">
        <f>ConTime!AG$18</f>
        <v>0</v>
      </c>
      <c r="AH31" s="197">
        <f>ConTime!AH$18</f>
        <v>0</v>
      </c>
      <c r="AI31" s="197">
        <f>ConTime!AI$18</f>
        <v>0</v>
      </c>
      <c r="AJ31" s="197">
        <f>ConTime!AJ$18</f>
        <v>0</v>
      </c>
      <c r="AK31" s="197">
        <f>ConTime!AK$18</f>
        <v>0</v>
      </c>
      <c r="AL31" s="197">
        <f>ConTime!AL$18</f>
        <v>0</v>
      </c>
      <c r="AM31" s="197">
        <f>ConTime!AM$18</f>
        <v>0</v>
      </c>
      <c r="AN31" s="197">
        <f>ConTime!AN$18</f>
        <v>0</v>
      </c>
      <c r="AO31" s="197">
        <f>ConTime!AO$18</f>
        <v>0</v>
      </c>
      <c r="AP31" s="197">
        <f>ConTime!AP$18</f>
        <v>0</v>
      </c>
      <c r="AQ31" s="197">
        <f>ConTime!AQ$18</f>
        <v>0</v>
      </c>
      <c r="AR31" s="197">
        <f>ConTime!AR$18</f>
        <v>0</v>
      </c>
      <c r="AS31" s="197">
        <f>ConTime!AS$18</f>
        <v>0</v>
      </c>
      <c r="AT31" s="197">
        <f>ConTime!AT$18</f>
        <v>0</v>
      </c>
      <c r="AU31" s="197">
        <f>ConTime!AU$18</f>
        <v>0</v>
      </c>
      <c r="AV31" s="197">
        <f>ConTime!AV$18</f>
        <v>0</v>
      </c>
      <c r="AW31" s="197">
        <f>ConTime!AW$18</f>
        <v>0</v>
      </c>
      <c r="AX31" s="197">
        <f>ConTime!AX$18</f>
        <v>0</v>
      </c>
      <c r="AY31" s="197">
        <f>ConTime!AY$18</f>
        <v>0</v>
      </c>
      <c r="AZ31" s="197">
        <f>ConTime!AZ$18</f>
        <v>0</v>
      </c>
    </row>
    <row r="32" spans="1:52" s="135" customFormat="1" x14ac:dyDescent="0.2">
      <c r="A32" s="82"/>
      <c r="B32" s="82"/>
      <c r="C32" s="83"/>
      <c r="D32" s="275"/>
      <c r="E32" s="135" t="s">
        <v>241</v>
      </c>
      <c r="J32" s="135">
        <f t="shared" ref="J32:AZ32" si="2" xml:space="preserve"> (J30 - I30) * J31</f>
        <v>0</v>
      </c>
      <c r="K32" s="135">
        <f t="shared" si="2"/>
        <v>31</v>
      </c>
      <c r="L32" s="135">
        <f t="shared" si="2"/>
        <v>30</v>
      </c>
      <c r="M32" s="135">
        <f t="shared" si="2"/>
        <v>31</v>
      </c>
      <c r="N32" s="135">
        <f t="shared" si="2"/>
        <v>30</v>
      </c>
      <c r="O32" s="135">
        <f t="shared" si="2"/>
        <v>31</v>
      </c>
      <c r="P32" s="135">
        <f t="shared" si="2"/>
        <v>31</v>
      </c>
      <c r="Q32" s="135">
        <f t="shared" si="2"/>
        <v>30</v>
      </c>
      <c r="R32" s="135">
        <f t="shared" si="2"/>
        <v>31</v>
      </c>
      <c r="S32" s="135">
        <f t="shared" si="2"/>
        <v>30</v>
      </c>
      <c r="T32" s="135">
        <f t="shared" si="2"/>
        <v>31</v>
      </c>
      <c r="U32" s="135">
        <f t="shared" si="2"/>
        <v>31</v>
      </c>
      <c r="V32" s="135">
        <f t="shared" si="2"/>
        <v>28</v>
      </c>
      <c r="W32" s="135">
        <f t="shared" si="2"/>
        <v>31</v>
      </c>
      <c r="X32" s="135">
        <f t="shared" si="2"/>
        <v>30</v>
      </c>
      <c r="Y32" s="135">
        <f t="shared" si="2"/>
        <v>31</v>
      </c>
      <c r="Z32" s="135">
        <f t="shared" si="2"/>
        <v>30</v>
      </c>
      <c r="AA32" s="135">
        <f t="shared" si="2"/>
        <v>31</v>
      </c>
      <c r="AB32" s="135">
        <f t="shared" si="2"/>
        <v>31</v>
      </c>
      <c r="AC32" s="135">
        <f t="shared" si="2"/>
        <v>30</v>
      </c>
      <c r="AD32" s="135">
        <f t="shared" si="2"/>
        <v>31</v>
      </c>
      <c r="AE32" s="135">
        <f t="shared" si="2"/>
        <v>30</v>
      </c>
      <c r="AF32" s="135">
        <f t="shared" si="2"/>
        <v>31</v>
      </c>
      <c r="AG32" s="135">
        <f t="shared" si="2"/>
        <v>0</v>
      </c>
      <c r="AH32" s="135">
        <f t="shared" si="2"/>
        <v>0</v>
      </c>
      <c r="AI32" s="135">
        <f t="shared" si="2"/>
        <v>0</v>
      </c>
      <c r="AJ32" s="135">
        <f t="shared" si="2"/>
        <v>0</v>
      </c>
      <c r="AK32" s="135">
        <f t="shared" si="2"/>
        <v>0</v>
      </c>
      <c r="AL32" s="135">
        <f t="shared" si="2"/>
        <v>0</v>
      </c>
      <c r="AM32" s="135">
        <f t="shared" si="2"/>
        <v>0</v>
      </c>
      <c r="AN32" s="135">
        <f t="shared" si="2"/>
        <v>0</v>
      </c>
      <c r="AO32" s="135">
        <f t="shared" si="2"/>
        <v>0</v>
      </c>
      <c r="AP32" s="135">
        <f t="shared" si="2"/>
        <v>0</v>
      </c>
      <c r="AQ32" s="135">
        <f t="shared" si="2"/>
        <v>0</v>
      </c>
      <c r="AR32" s="135">
        <f t="shared" si="2"/>
        <v>0</v>
      </c>
      <c r="AS32" s="135">
        <f t="shared" si="2"/>
        <v>0</v>
      </c>
      <c r="AT32" s="135">
        <f t="shared" si="2"/>
        <v>0</v>
      </c>
      <c r="AU32" s="135">
        <f t="shared" si="2"/>
        <v>0</v>
      </c>
      <c r="AV32" s="135">
        <f t="shared" si="2"/>
        <v>0</v>
      </c>
      <c r="AW32" s="135">
        <f t="shared" si="2"/>
        <v>0</v>
      </c>
      <c r="AX32" s="135">
        <f t="shared" si="2"/>
        <v>0</v>
      </c>
      <c r="AY32" s="135">
        <f t="shared" si="2"/>
        <v>0</v>
      </c>
      <c r="AZ32" s="135">
        <f t="shared" si="2"/>
        <v>0</v>
      </c>
    </row>
    <row r="34" spans="1:52" s="332" customFormat="1" x14ac:dyDescent="0.2">
      <c r="A34" s="330"/>
      <c r="B34" s="330"/>
      <c r="C34" s="331"/>
      <c r="D34" s="333"/>
      <c r="E34" s="332" t="str">
        <f xml:space="preserve"> E$28</f>
        <v>Construction debt daily interest rate</v>
      </c>
      <c r="F34" s="332">
        <f t="shared" ref="F34:G34" si="3" xml:space="preserve"> F$28</f>
        <v>1.597222222222222E-4</v>
      </c>
      <c r="G34" s="332" t="str">
        <f t="shared" si="3"/>
        <v>per day</v>
      </c>
    </row>
    <row r="35" spans="1:52" s="160" customFormat="1" x14ac:dyDescent="0.2">
      <c r="A35" s="157"/>
      <c r="B35" s="157"/>
      <c r="C35" s="158"/>
      <c r="D35" s="159"/>
      <c r="E35" s="160" t="str">
        <f xml:space="preserve"> E$86</f>
        <v>Construction debt balance BEG</v>
      </c>
      <c r="F35" s="160">
        <f t="shared" ref="F35:AZ35" si="4" xml:space="preserve"> F$86</f>
        <v>0</v>
      </c>
      <c r="G35" s="160">
        <f t="shared" si="4"/>
        <v>0</v>
      </c>
      <c r="H35" s="160">
        <f t="shared" si="4"/>
        <v>0</v>
      </c>
      <c r="I35" s="160">
        <f t="shared" si="4"/>
        <v>0</v>
      </c>
      <c r="J35" s="160">
        <f t="shared" si="4"/>
        <v>0</v>
      </c>
      <c r="K35" s="160">
        <f t="shared" si="4"/>
        <v>57720</v>
      </c>
      <c r="L35" s="160">
        <f t="shared" si="4"/>
        <v>66467.395333333334</v>
      </c>
      <c r="M35" s="160">
        <f t="shared" si="4"/>
        <v>75238.031216999996</v>
      </c>
      <c r="N35" s="160">
        <f t="shared" si="4"/>
        <v>84048.978074692772</v>
      </c>
      <c r="O35" s="160">
        <f t="shared" si="4"/>
        <v>92881.149497954204</v>
      </c>
      <c r="P35" s="160">
        <f t="shared" si="4"/>
        <v>101756.10166807733</v>
      </c>
      <c r="Q35" s="160">
        <f t="shared" si="4"/>
        <v>110663.25019246207</v>
      </c>
      <c r="R35" s="160">
        <f t="shared" si="4"/>
        <v>119588.5715681357</v>
      </c>
      <c r="S35" s="160">
        <f t="shared" si="4"/>
        <v>128560.41233054677</v>
      </c>
      <c r="T35" s="160">
        <f t="shared" si="4"/>
        <v>137548.37377370367</v>
      </c>
      <c r="U35" s="160">
        <f t="shared" si="4"/>
        <v>146585.36870744938</v>
      </c>
      <c r="V35" s="160">
        <f t="shared" si="4"/>
        <v>155655.14785059364</v>
      </c>
      <c r="W35" s="160">
        <f t="shared" si="4"/>
        <v>164698.16233028666</v>
      </c>
      <c r="X35" s="160">
        <f t="shared" si="4"/>
        <v>173833.65066362932</v>
      </c>
      <c r="Y35" s="160">
        <f t="shared" si="4"/>
        <v>182980.06844095202</v>
      </c>
      <c r="Z35" s="160">
        <f t="shared" si="4"/>
        <v>192181.87946701836</v>
      </c>
      <c r="AA35" s="160">
        <f t="shared" si="4"/>
        <v>201392.51604515291</v>
      </c>
      <c r="AB35" s="160">
        <f t="shared" si="4"/>
        <v>210661.12333947228</v>
      </c>
      <c r="AC35" s="160">
        <f t="shared" si="4"/>
        <v>219963.35508136492</v>
      </c>
      <c r="AD35" s="160">
        <f t="shared" si="4"/>
        <v>229271.22682414969</v>
      </c>
      <c r="AE35" s="160">
        <f t="shared" si="4"/>
        <v>238640.97188590618</v>
      </c>
      <c r="AF35" s="160">
        <f t="shared" si="4"/>
        <v>248014.21528750684</v>
      </c>
      <c r="AG35" s="160">
        <f t="shared" si="4"/>
        <v>0</v>
      </c>
      <c r="AH35" s="160">
        <f t="shared" si="4"/>
        <v>0</v>
      </c>
      <c r="AI35" s="160">
        <f t="shared" si="4"/>
        <v>0</v>
      </c>
      <c r="AJ35" s="160">
        <f t="shared" si="4"/>
        <v>0</v>
      </c>
      <c r="AK35" s="160">
        <f t="shared" si="4"/>
        <v>0</v>
      </c>
      <c r="AL35" s="160">
        <f t="shared" si="4"/>
        <v>0</v>
      </c>
      <c r="AM35" s="160">
        <f t="shared" si="4"/>
        <v>0</v>
      </c>
      <c r="AN35" s="160">
        <f t="shared" si="4"/>
        <v>0</v>
      </c>
      <c r="AO35" s="160">
        <f t="shared" si="4"/>
        <v>0</v>
      </c>
      <c r="AP35" s="160">
        <f t="shared" si="4"/>
        <v>0</v>
      </c>
      <c r="AQ35" s="160">
        <f t="shared" si="4"/>
        <v>0</v>
      </c>
      <c r="AR35" s="160">
        <f t="shared" si="4"/>
        <v>0</v>
      </c>
      <c r="AS35" s="160">
        <f t="shared" si="4"/>
        <v>0</v>
      </c>
      <c r="AT35" s="160">
        <f t="shared" si="4"/>
        <v>0</v>
      </c>
      <c r="AU35" s="160">
        <f t="shared" si="4"/>
        <v>0</v>
      </c>
      <c r="AV35" s="160">
        <f t="shared" si="4"/>
        <v>0</v>
      </c>
      <c r="AW35" s="160">
        <f t="shared" si="4"/>
        <v>0</v>
      </c>
      <c r="AX35" s="160">
        <f t="shared" si="4"/>
        <v>0</v>
      </c>
      <c r="AY35" s="160">
        <f t="shared" si="4"/>
        <v>0</v>
      </c>
      <c r="AZ35" s="160">
        <f t="shared" si="4"/>
        <v>0</v>
      </c>
    </row>
    <row r="36" spans="1:52" s="135" customFormat="1" x14ac:dyDescent="0.2">
      <c r="A36" s="82"/>
      <c r="B36" s="82"/>
      <c r="C36" s="83"/>
      <c r="D36" s="275"/>
      <c r="E36" s="135" t="str">
        <f>E$32</f>
        <v>Number of days in period DC</v>
      </c>
      <c r="F36" s="135">
        <f t="shared" ref="F36:AZ36" si="5">F$32</f>
        <v>0</v>
      </c>
      <c r="G36" s="135">
        <f t="shared" si="5"/>
        <v>0</v>
      </c>
      <c r="H36" s="135">
        <f t="shared" si="5"/>
        <v>0</v>
      </c>
      <c r="I36" s="135">
        <f t="shared" si="5"/>
        <v>0</v>
      </c>
      <c r="J36" s="135">
        <f t="shared" si="5"/>
        <v>0</v>
      </c>
      <c r="K36" s="135">
        <f t="shared" si="5"/>
        <v>31</v>
      </c>
      <c r="L36" s="135">
        <f t="shared" si="5"/>
        <v>30</v>
      </c>
      <c r="M36" s="135">
        <f t="shared" si="5"/>
        <v>31</v>
      </c>
      <c r="N36" s="135">
        <f t="shared" si="5"/>
        <v>30</v>
      </c>
      <c r="O36" s="135">
        <f t="shared" si="5"/>
        <v>31</v>
      </c>
      <c r="P36" s="135">
        <f t="shared" si="5"/>
        <v>31</v>
      </c>
      <c r="Q36" s="135">
        <f t="shared" si="5"/>
        <v>30</v>
      </c>
      <c r="R36" s="135">
        <f t="shared" si="5"/>
        <v>31</v>
      </c>
      <c r="S36" s="135">
        <f t="shared" si="5"/>
        <v>30</v>
      </c>
      <c r="T36" s="135">
        <f t="shared" si="5"/>
        <v>31</v>
      </c>
      <c r="U36" s="135">
        <f t="shared" si="5"/>
        <v>31</v>
      </c>
      <c r="V36" s="135">
        <f t="shared" si="5"/>
        <v>28</v>
      </c>
      <c r="W36" s="135">
        <f t="shared" si="5"/>
        <v>31</v>
      </c>
      <c r="X36" s="135">
        <f t="shared" si="5"/>
        <v>30</v>
      </c>
      <c r="Y36" s="135">
        <f t="shared" si="5"/>
        <v>31</v>
      </c>
      <c r="Z36" s="135">
        <f t="shared" si="5"/>
        <v>30</v>
      </c>
      <c r="AA36" s="135">
        <f t="shared" si="5"/>
        <v>31</v>
      </c>
      <c r="AB36" s="135">
        <f t="shared" si="5"/>
        <v>31</v>
      </c>
      <c r="AC36" s="135">
        <f t="shared" si="5"/>
        <v>30</v>
      </c>
      <c r="AD36" s="135">
        <f t="shared" si="5"/>
        <v>31</v>
      </c>
      <c r="AE36" s="135">
        <f t="shared" si="5"/>
        <v>30</v>
      </c>
      <c r="AF36" s="135">
        <f t="shared" si="5"/>
        <v>31</v>
      </c>
      <c r="AG36" s="135">
        <f t="shared" si="5"/>
        <v>0</v>
      </c>
      <c r="AH36" s="135">
        <f t="shared" si="5"/>
        <v>0</v>
      </c>
      <c r="AI36" s="135">
        <f t="shared" si="5"/>
        <v>0</v>
      </c>
      <c r="AJ36" s="135">
        <f t="shared" si="5"/>
        <v>0</v>
      </c>
      <c r="AK36" s="135">
        <f t="shared" si="5"/>
        <v>0</v>
      </c>
      <c r="AL36" s="135">
        <f t="shared" si="5"/>
        <v>0</v>
      </c>
      <c r="AM36" s="135">
        <f t="shared" si="5"/>
        <v>0</v>
      </c>
      <c r="AN36" s="135">
        <f t="shared" si="5"/>
        <v>0</v>
      </c>
      <c r="AO36" s="135">
        <f t="shared" si="5"/>
        <v>0</v>
      </c>
      <c r="AP36" s="135">
        <f t="shared" si="5"/>
        <v>0</v>
      </c>
      <c r="AQ36" s="135">
        <f t="shared" si="5"/>
        <v>0</v>
      </c>
      <c r="AR36" s="135">
        <f t="shared" si="5"/>
        <v>0</v>
      </c>
      <c r="AS36" s="135">
        <f t="shared" si="5"/>
        <v>0</v>
      </c>
      <c r="AT36" s="135">
        <f t="shared" si="5"/>
        <v>0</v>
      </c>
      <c r="AU36" s="135">
        <f t="shared" si="5"/>
        <v>0</v>
      </c>
      <c r="AV36" s="135">
        <f t="shared" si="5"/>
        <v>0</v>
      </c>
      <c r="AW36" s="135">
        <f t="shared" si="5"/>
        <v>0</v>
      </c>
      <c r="AX36" s="135">
        <f t="shared" si="5"/>
        <v>0</v>
      </c>
      <c r="AY36" s="135">
        <f t="shared" si="5"/>
        <v>0</v>
      </c>
      <c r="AZ36" s="135">
        <f t="shared" si="5"/>
        <v>0</v>
      </c>
    </row>
    <row r="37" spans="1:52" x14ac:dyDescent="0.2">
      <c r="E37" s="135" t="s">
        <v>226</v>
      </c>
      <c r="H37" s="85">
        <f>SUM(J37:AZ37)</f>
        <v>16260.923828532959</v>
      </c>
      <c r="J37" s="85">
        <f xml:space="preserve"> $F34 * J35 * J36</f>
        <v>0</v>
      </c>
      <c r="K37" s="85">
        <f t="shared" ref="K37:AZ37" si="6" xml:space="preserve"> $F34 * K35 * K36</f>
        <v>285.79416666666668</v>
      </c>
      <c r="L37" s="85">
        <f t="shared" si="6"/>
        <v>318.48960263888887</v>
      </c>
      <c r="M37" s="85">
        <f t="shared" si="6"/>
        <v>372.5327517897291</v>
      </c>
      <c r="N37" s="85">
        <f t="shared" si="6"/>
        <v>402.7346866079028</v>
      </c>
      <c r="O37" s="85">
        <f t="shared" si="6"/>
        <v>459.89069161139821</v>
      </c>
      <c r="P37" s="85">
        <f t="shared" si="6"/>
        <v>503.83403117596612</v>
      </c>
      <c r="Q37" s="85">
        <f t="shared" si="6"/>
        <v>530.26140717221415</v>
      </c>
      <c r="R37" s="85">
        <f t="shared" si="6"/>
        <v>592.12952450056071</v>
      </c>
      <c r="S37" s="85">
        <f t="shared" si="6"/>
        <v>616.01864241720318</v>
      </c>
      <c r="T37" s="85">
        <f t="shared" si="6"/>
        <v>681.05548958785209</v>
      </c>
      <c r="U37" s="85">
        <f t="shared" si="6"/>
        <v>725.80116589174588</v>
      </c>
      <c r="V37" s="85">
        <f t="shared" si="6"/>
        <v>696.12441122071039</v>
      </c>
      <c r="W37" s="85">
        <f t="shared" si="6"/>
        <v>815.48465098259976</v>
      </c>
      <c r="X37" s="85">
        <f t="shared" si="6"/>
        <v>832.95290942989038</v>
      </c>
      <c r="Y37" s="85">
        <f t="shared" si="6"/>
        <v>906.00547776665815</v>
      </c>
      <c r="Z37" s="85">
        <f t="shared" si="6"/>
        <v>920.87150577946284</v>
      </c>
      <c r="AA37" s="85">
        <f t="shared" si="6"/>
        <v>997.17266625134721</v>
      </c>
      <c r="AB37" s="85">
        <f t="shared" si="6"/>
        <v>1043.0651454239146</v>
      </c>
      <c r="AC37" s="85">
        <f t="shared" si="6"/>
        <v>1053.99107643154</v>
      </c>
      <c r="AD37" s="85">
        <f t="shared" si="6"/>
        <v>1135.2110050390188</v>
      </c>
      <c r="AE37" s="85">
        <f t="shared" si="6"/>
        <v>1143.4879902866337</v>
      </c>
      <c r="AF37" s="85">
        <f t="shared" si="6"/>
        <v>1228.0148298610582</v>
      </c>
      <c r="AG37" s="85">
        <f t="shared" si="6"/>
        <v>0</v>
      </c>
      <c r="AH37" s="85">
        <f t="shared" si="6"/>
        <v>0</v>
      </c>
      <c r="AI37" s="85">
        <f t="shared" si="6"/>
        <v>0</v>
      </c>
      <c r="AJ37" s="85">
        <f t="shared" si="6"/>
        <v>0</v>
      </c>
      <c r="AK37" s="85">
        <f t="shared" si="6"/>
        <v>0</v>
      </c>
      <c r="AL37" s="85">
        <f t="shared" si="6"/>
        <v>0</v>
      </c>
      <c r="AM37" s="85">
        <f t="shared" si="6"/>
        <v>0</v>
      </c>
      <c r="AN37" s="85">
        <f t="shared" si="6"/>
        <v>0</v>
      </c>
      <c r="AO37" s="85">
        <f t="shared" si="6"/>
        <v>0</v>
      </c>
      <c r="AP37" s="85">
        <f t="shared" si="6"/>
        <v>0</v>
      </c>
      <c r="AQ37" s="85">
        <f t="shared" si="6"/>
        <v>0</v>
      </c>
      <c r="AR37" s="85">
        <f t="shared" si="6"/>
        <v>0</v>
      </c>
      <c r="AS37" s="85">
        <f t="shared" si="6"/>
        <v>0</v>
      </c>
      <c r="AT37" s="85">
        <f t="shared" si="6"/>
        <v>0</v>
      </c>
      <c r="AU37" s="85">
        <f t="shared" si="6"/>
        <v>0</v>
      </c>
      <c r="AV37" s="85">
        <f t="shared" si="6"/>
        <v>0</v>
      </c>
      <c r="AW37" s="85">
        <f t="shared" si="6"/>
        <v>0</v>
      </c>
      <c r="AX37" s="85">
        <f t="shared" si="6"/>
        <v>0</v>
      </c>
      <c r="AY37" s="85">
        <f t="shared" si="6"/>
        <v>0</v>
      </c>
      <c r="AZ37" s="85">
        <f t="shared" si="6"/>
        <v>0</v>
      </c>
    </row>
    <row r="39" spans="1:52" s="136" customFormat="1" x14ac:dyDescent="0.2">
      <c r="A39" s="339"/>
      <c r="B39" s="339"/>
      <c r="C39" s="340"/>
      <c r="D39" s="341"/>
      <c r="E39" s="136" t="s">
        <v>243</v>
      </c>
      <c r="H39" s="136">
        <v>15645.761499999997</v>
      </c>
      <c r="J39" s="136">
        <v>0</v>
      </c>
      <c r="K39" s="136">
        <v>285.79416666666668</v>
      </c>
      <c r="L39" s="136">
        <v>316.86333333333329</v>
      </c>
      <c r="M39" s="136">
        <v>369.05672222222216</v>
      </c>
      <c r="N39" s="136">
        <v>397.44</v>
      </c>
      <c r="O39" s="136">
        <v>452.3192777777777</v>
      </c>
      <c r="P39" s="136">
        <v>493.95055555555552</v>
      </c>
      <c r="Q39" s="136">
        <v>518.30499999999995</v>
      </c>
      <c r="R39" s="136">
        <v>577.21311111111106</v>
      </c>
      <c r="S39" s="136">
        <v>598.88166666666655</v>
      </c>
      <c r="T39" s="136">
        <v>660.4756666666666</v>
      </c>
      <c r="U39" s="136">
        <v>702.10694444444437</v>
      </c>
      <c r="V39" s="136">
        <v>671.76355555555551</v>
      </c>
      <c r="W39" s="136">
        <v>785.3694999999999</v>
      </c>
      <c r="X39" s="136">
        <v>800.32333333333315</v>
      </c>
      <c r="Y39" s="136">
        <v>868.63205555555544</v>
      </c>
      <c r="Z39" s="136">
        <v>880.89999999999986</v>
      </c>
      <c r="AA39" s="136">
        <v>951.89461111111098</v>
      </c>
      <c r="AB39" s="136">
        <v>993.52588888888886</v>
      </c>
      <c r="AC39" s="136">
        <v>1001.7649999999999</v>
      </c>
      <c r="AD39" s="136">
        <v>1076.7884444444444</v>
      </c>
      <c r="AE39" s="136">
        <v>1082.3416666666665</v>
      </c>
      <c r="AF39" s="136">
        <v>1160.0509999999999</v>
      </c>
      <c r="AG39" s="136">
        <v>0</v>
      </c>
      <c r="AH39" s="136">
        <v>0</v>
      </c>
      <c r="AI39" s="136">
        <v>0</v>
      </c>
      <c r="AJ39" s="136">
        <v>0</v>
      </c>
      <c r="AK39" s="136">
        <v>0</v>
      </c>
      <c r="AL39" s="136">
        <v>0</v>
      </c>
      <c r="AM39" s="136">
        <v>0</v>
      </c>
      <c r="AN39" s="136">
        <v>0</v>
      </c>
      <c r="AO39" s="136">
        <v>0</v>
      </c>
      <c r="AP39" s="136">
        <v>0</v>
      </c>
      <c r="AQ39" s="136">
        <v>0</v>
      </c>
      <c r="AR39" s="136">
        <v>0</v>
      </c>
      <c r="AS39" s="136">
        <v>0</v>
      </c>
      <c r="AT39" s="136">
        <v>0</v>
      </c>
      <c r="AU39" s="136">
        <v>0</v>
      </c>
      <c r="AV39" s="136">
        <v>0</v>
      </c>
      <c r="AW39" s="136">
        <v>0</v>
      </c>
      <c r="AX39" s="136">
        <v>0</v>
      </c>
      <c r="AY39" s="136">
        <v>0</v>
      </c>
      <c r="AZ39" s="136">
        <v>0</v>
      </c>
    </row>
    <row r="40" spans="1:52" s="338" customFormat="1" x14ac:dyDescent="0.2">
      <c r="A40" s="334"/>
      <c r="B40" s="335"/>
      <c r="C40" s="336"/>
      <c r="D40" s="337"/>
      <c r="E40" s="338" t="s">
        <v>242</v>
      </c>
      <c r="H40" s="338">
        <f>SUM(J40:AZ40)</f>
        <v>615.16232853296356</v>
      </c>
      <c r="J40" s="342">
        <f xml:space="preserve"> J37 - J39</f>
        <v>0</v>
      </c>
      <c r="K40" s="338">
        <f t="shared" ref="K40:AZ40" si="7" xml:space="preserve"> K37 - K39</f>
        <v>0</v>
      </c>
      <c r="L40" s="338">
        <f t="shared" si="7"/>
        <v>1.6262693055555815</v>
      </c>
      <c r="M40" s="338">
        <f t="shared" si="7"/>
        <v>3.4760295675069415</v>
      </c>
      <c r="N40" s="338">
        <f t="shared" si="7"/>
        <v>5.2946866079028041</v>
      </c>
      <c r="O40" s="338">
        <f t="shared" si="7"/>
        <v>7.571413833620511</v>
      </c>
      <c r="P40" s="338">
        <f t="shared" si="7"/>
        <v>9.8834756204105929</v>
      </c>
      <c r="Q40" s="338">
        <f t="shared" si="7"/>
        <v>11.956407172214199</v>
      </c>
      <c r="R40" s="338">
        <f t="shared" si="7"/>
        <v>14.916413389449644</v>
      </c>
      <c r="S40" s="338">
        <f t="shared" si="7"/>
        <v>17.136975750536635</v>
      </c>
      <c r="T40" s="338">
        <f t="shared" si="7"/>
        <v>20.579822921185496</v>
      </c>
      <c r="U40" s="338">
        <f t="shared" si="7"/>
        <v>23.694221447301516</v>
      </c>
      <c r="V40" s="338">
        <f t="shared" si="7"/>
        <v>24.360855665154872</v>
      </c>
      <c r="W40" s="338">
        <f t="shared" si="7"/>
        <v>30.115150982599857</v>
      </c>
      <c r="X40" s="338">
        <f t="shared" si="7"/>
        <v>32.62957609655723</v>
      </c>
      <c r="Y40" s="338">
        <f t="shared" si="7"/>
        <v>37.373422211102707</v>
      </c>
      <c r="Z40" s="338">
        <f t="shared" si="7"/>
        <v>39.971505779462973</v>
      </c>
      <c r="AA40" s="338">
        <f t="shared" si="7"/>
        <v>45.278055140236233</v>
      </c>
      <c r="AB40" s="338">
        <f t="shared" si="7"/>
        <v>49.539256535025743</v>
      </c>
      <c r="AC40" s="338">
        <f t="shared" si="7"/>
        <v>52.22607643154015</v>
      </c>
      <c r="AD40" s="338">
        <f t="shared" si="7"/>
        <v>58.422560594574406</v>
      </c>
      <c r="AE40" s="338">
        <f t="shared" si="7"/>
        <v>61.146323619967234</v>
      </c>
      <c r="AF40" s="338">
        <f t="shared" si="7"/>
        <v>67.96382986105823</v>
      </c>
      <c r="AG40" s="338">
        <f t="shared" si="7"/>
        <v>0</v>
      </c>
      <c r="AH40" s="338">
        <f t="shared" si="7"/>
        <v>0</v>
      </c>
      <c r="AI40" s="338">
        <f t="shared" si="7"/>
        <v>0</v>
      </c>
      <c r="AJ40" s="338">
        <f t="shared" si="7"/>
        <v>0</v>
      </c>
      <c r="AK40" s="338">
        <f t="shared" si="7"/>
        <v>0</v>
      </c>
      <c r="AL40" s="338">
        <f t="shared" si="7"/>
        <v>0</v>
      </c>
      <c r="AM40" s="338">
        <f t="shared" si="7"/>
        <v>0</v>
      </c>
      <c r="AN40" s="338">
        <f t="shared" si="7"/>
        <v>0</v>
      </c>
      <c r="AO40" s="338">
        <f t="shared" si="7"/>
        <v>0</v>
      </c>
      <c r="AP40" s="338">
        <f t="shared" si="7"/>
        <v>0</v>
      </c>
      <c r="AQ40" s="338">
        <f t="shared" si="7"/>
        <v>0</v>
      </c>
      <c r="AR40" s="338">
        <f t="shared" si="7"/>
        <v>0</v>
      </c>
      <c r="AS40" s="338">
        <f t="shared" si="7"/>
        <v>0</v>
      </c>
      <c r="AT40" s="338">
        <f t="shared" si="7"/>
        <v>0</v>
      </c>
      <c r="AU40" s="338">
        <f t="shared" si="7"/>
        <v>0</v>
      </c>
      <c r="AV40" s="338">
        <f t="shared" si="7"/>
        <v>0</v>
      </c>
      <c r="AW40" s="338">
        <f t="shared" si="7"/>
        <v>0</v>
      </c>
      <c r="AX40" s="338">
        <f t="shared" si="7"/>
        <v>0</v>
      </c>
      <c r="AY40" s="338">
        <f t="shared" si="7"/>
        <v>0</v>
      </c>
      <c r="AZ40" s="338">
        <f t="shared" si="7"/>
        <v>0</v>
      </c>
    </row>
    <row r="43" spans="1:52" x14ac:dyDescent="0.2">
      <c r="B43" s="82" t="s">
        <v>244</v>
      </c>
    </row>
    <row r="45" spans="1:52" x14ac:dyDescent="0.2">
      <c r="E45" s="85" t="s">
        <v>220</v>
      </c>
      <c r="F45" s="136">
        <v>390000</v>
      </c>
      <c r="G45" s="85" t="str">
        <f xml:space="preserve"> SMU</f>
        <v>€ 000s</v>
      </c>
    </row>
    <row r="46" spans="1:52" s="160" customFormat="1" x14ac:dyDescent="0.2">
      <c r="A46" s="157"/>
      <c r="B46" s="157"/>
      <c r="C46" s="158"/>
      <c r="D46" s="159"/>
      <c r="E46" s="160" t="str">
        <f xml:space="preserve"> E$86</f>
        <v>Construction debt balance BEG</v>
      </c>
      <c r="F46" s="160">
        <f t="shared" ref="F46:AZ46" si="8" xml:space="preserve"> F$86</f>
        <v>0</v>
      </c>
      <c r="G46" s="160">
        <f t="shared" si="8"/>
        <v>0</v>
      </c>
      <c r="H46" s="160">
        <f t="shared" si="8"/>
        <v>0</v>
      </c>
      <c r="I46" s="160">
        <f t="shared" si="8"/>
        <v>0</v>
      </c>
      <c r="J46" s="160">
        <f t="shared" si="8"/>
        <v>0</v>
      </c>
      <c r="K46" s="160">
        <f t="shared" si="8"/>
        <v>57720</v>
      </c>
      <c r="L46" s="160">
        <f t="shared" si="8"/>
        <v>66467.395333333334</v>
      </c>
      <c r="M46" s="160">
        <f t="shared" si="8"/>
        <v>75238.031216999996</v>
      </c>
      <c r="N46" s="160">
        <f t="shared" si="8"/>
        <v>84048.978074692772</v>
      </c>
      <c r="O46" s="160">
        <f t="shared" si="8"/>
        <v>92881.149497954204</v>
      </c>
      <c r="P46" s="160">
        <f t="shared" si="8"/>
        <v>101756.10166807733</v>
      </c>
      <c r="Q46" s="160">
        <f t="shared" si="8"/>
        <v>110663.25019246207</v>
      </c>
      <c r="R46" s="160">
        <f t="shared" si="8"/>
        <v>119588.5715681357</v>
      </c>
      <c r="S46" s="160">
        <f t="shared" si="8"/>
        <v>128560.41233054677</v>
      </c>
      <c r="T46" s="160">
        <f t="shared" si="8"/>
        <v>137548.37377370367</v>
      </c>
      <c r="U46" s="160">
        <f t="shared" si="8"/>
        <v>146585.36870744938</v>
      </c>
      <c r="V46" s="160">
        <f t="shared" si="8"/>
        <v>155655.14785059364</v>
      </c>
      <c r="W46" s="160">
        <f t="shared" si="8"/>
        <v>164698.16233028666</v>
      </c>
      <c r="X46" s="160">
        <f t="shared" si="8"/>
        <v>173833.65066362932</v>
      </c>
      <c r="Y46" s="160">
        <f t="shared" si="8"/>
        <v>182980.06844095202</v>
      </c>
      <c r="Z46" s="160">
        <f t="shared" si="8"/>
        <v>192181.87946701836</v>
      </c>
      <c r="AA46" s="160">
        <f t="shared" si="8"/>
        <v>201392.51604515291</v>
      </c>
      <c r="AB46" s="160">
        <f t="shared" si="8"/>
        <v>210661.12333947228</v>
      </c>
      <c r="AC46" s="160">
        <f t="shared" si="8"/>
        <v>219963.35508136492</v>
      </c>
      <c r="AD46" s="160">
        <f t="shared" si="8"/>
        <v>229271.22682414969</v>
      </c>
      <c r="AE46" s="160">
        <f t="shared" si="8"/>
        <v>238640.97188590618</v>
      </c>
      <c r="AF46" s="160">
        <f t="shared" si="8"/>
        <v>248014.21528750684</v>
      </c>
      <c r="AG46" s="160">
        <f t="shared" si="8"/>
        <v>0</v>
      </c>
      <c r="AH46" s="160">
        <f t="shared" si="8"/>
        <v>0</v>
      </c>
      <c r="AI46" s="160">
        <f t="shared" si="8"/>
        <v>0</v>
      </c>
      <c r="AJ46" s="160">
        <f t="shared" si="8"/>
        <v>0</v>
      </c>
      <c r="AK46" s="160">
        <f t="shared" si="8"/>
        <v>0</v>
      </c>
      <c r="AL46" s="160">
        <f t="shared" si="8"/>
        <v>0</v>
      </c>
      <c r="AM46" s="160">
        <f t="shared" si="8"/>
        <v>0</v>
      </c>
      <c r="AN46" s="160">
        <f t="shared" si="8"/>
        <v>0</v>
      </c>
      <c r="AO46" s="160">
        <f t="shared" si="8"/>
        <v>0</v>
      </c>
      <c r="AP46" s="160">
        <f t="shared" si="8"/>
        <v>0</v>
      </c>
      <c r="AQ46" s="160">
        <f t="shared" si="8"/>
        <v>0</v>
      </c>
      <c r="AR46" s="160">
        <f t="shared" si="8"/>
        <v>0</v>
      </c>
      <c r="AS46" s="160">
        <f t="shared" si="8"/>
        <v>0</v>
      </c>
      <c r="AT46" s="160">
        <f t="shared" si="8"/>
        <v>0</v>
      </c>
      <c r="AU46" s="160">
        <f t="shared" si="8"/>
        <v>0</v>
      </c>
      <c r="AV46" s="160">
        <f t="shared" si="8"/>
        <v>0</v>
      </c>
      <c r="AW46" s="160">
        <f t="shared" si="8"/>
        <v>0</v>
      </c>
      <c r="AX46" s="160">
        <f t="shared" si="8"/>
        <v>0</v>
      </c>
      <c r="AY46" s="160">
        <f t="shared" si="8"/>
        <v>0</v>
      </c>
      <c r="AZ46" s="160">
        <f t="shared" si="8"/>
        <v>0</v>
      </c>
    </row>
    <row r="47" spans="1:52" x14ac:dyDescent="0.2">
      <c r="E47" s="85" t="s">
        <v>246</v>
      </c>
      <c r="J47" s="85">
        <f xml:space="preserve"> $F45 - J46</f>
        <v>390000</v>
      </c>
      <c r="K47" s="85">
        <f t="shared" ref="K47:AZ47" si="9" xml:space="preserve"> $F45 - K46</f>
        <v>332280</v>
      </c>
      <c r="L47" s="85">
        <f t="shared" si="9"/>
        <v>323532.60466666665</v>
      </c>
      <c r="M47" s="85">
        <f t="shared" si="9"/>
        <v>314761.96878300002</v>
      </c>
      <c r="N47" s="85">
        <f t="shared" si="9"/>
        <v>305951.02192530723</v>
      </c>
      <c r="O47" s="85">
        <f t="shared" si="9"/>
        <v>297118.85050204583</v>
      </c>
      <c r="P47" s="85">
        <f t="shared" si="9"/>
        <v>288243.89833192265</v>
      </c>
      <c r="Q47" s="85">
        <f t="shared" si="9"/>
        <v>279336.74980753794</v>
      </c>
      <c r="R47" s="85">
        <f t="shared" si="9"/>
        <v>270411.4284318643</v>
      </c>
      <c r="S47" s="85">
        <f t="shared" si="9"/>
        <v>261439.58766945323</v>
      </c>
      <c r="T47" s="85">
        <f t="shared" si="9"/>
        <v>252451.62622629633</v>
      </c>
      <c r="U47" s="85">
        <f t="shared" si="9"/>
        <v>243414.63129255062</v>
      </c>
      <c r="V47" s="85">
        <f t="shared" si="9"/>
        <v>234344.85214940636</v>
      </c>
      <c r="W47" s="85">
        <f t="shared" si="9"/>
        <v>225301.83766971334</v>
      </c>
      <c r="X47" s="85">
        <f t="shared" si="9"/>
        <v>216166.34933637068</v>
      </c>
      <c r="Y47" s="85">
        <f t="shared" si="9"/>
        <v>207019.93155904798</v>
      </c>
      <c r="Z47" s="85">
        <f t="shared" si="9"/>
        <v>197818.12053298164</v>
      </c>
      <c r="AA47" s="85">
        <f t="shared" si="9"/>
        <v>188607.48395484709</v>
      </c>
      <c r="AB47" s="85">
        <f t="shared" si="9"/>
        <v>179338.87666052772</v>
      </c>
      <c r="AC47" s="85">
        <f t="shared" si="9"/>
        <v>170036.64491863508</v>
      </c>
      <c r="AD47" s="85">
        <f t="shared" si="9"/>
        <v>160728.77317585031</v>
      </c>
      <c r="AE47" s="85">
        <f t="shared" si="9"/>
        <v>151359.02811409382</v>
      </c>
      <c r="AF47" s="85">
        <f t="shared" si="9"/>
        <v>141985.78471249316</v>
      </c>
      <c r="AG47" s="85">
        <f t="shared" si="9"/>
        <v>390000</v>
      </c>
      <c r="AH47" s="85">
        <f t="shared" si="9"/>
        <v>390000</v>
      </c>
      <c r="AI47" s="85">
        <f t="shared" si="9"/>
        <v>390000</v>
      </c>
      <c r="AJ47" s="85">
        <f t="shared" si="9"/>
        <v>390000</v>
      </c>
      <c r="AK47" s="85">
        <f t="shared" si="9"/>
        <v>390000</v>
      </c>
      <c r="AL47" s="85">
        <f t="shared" si="9"/>
        <v>390000</v>
      </c>
      <c r="AM47" s="85">
        <f t="shared" si="9"/>
        <v>390000</v>
      </c>
      <c r="AN47" s="85">
        <f t="shared" si="9"/>
        <v>390000</v>
      </c>
      <c r="AO47" s="85">
        <f t="shared" si="9"/>
        <v>390000</v>
      </c>
      <c r="AP47" s="85">
        <f t="shared" si="9"/>
        <v>390000</v>
      </c>
      <c r="AQ47" s="85">
        <f t="shared" si="9"/>
        <v>390000</v>
      </c>
      <c r="AR47" s="85">
        <f t="shared" si="9"/>
        <v>390000</v>
      </c>
      <c r="AS47" s="85">
        <f t="shared" si="9"/>
        <v>390000</v>
      </c>
      <c r="AT47" s="85">
        <f t="shared" si="9"/>
        <v>390000</v>
      </c>
      <c r="AU47" s="85">
        <f t="shared" si="9"/>
        <v>390000</v>
      </c>
      <c r="AV47" s="85">
        <f t="shared" si="9"/>
        <v>390000</v>
      </c>
      <c r="AW47" s="85">
        <f t="shared" si="9"/>
        <v>390000</v>
      </c>
      <c r="AX47" s="85">
        <f t="shared" si="9"/>
        <v>390000</v>
      </c>
      <c r="AY47" s="85">
        <f t="shared" si="9"/>
        <v>390000</v>
      </c>
      <c r="AZ47" s="85">
        <f t="shared" si="9"/>
        <v>390000</v>
      </c>
    </row>
    <row r="49" spans="1:52" x14ac:dyDescent="0.2">
      <c r="E49" s="85" t="s">
        <v>245</v>
      </c>
      <c r="F49" s="101">
        <v>5.0000000000000001E-3</v>
      </c>
      <c r="G49" s="85" t="s">
        <v>164</v>
      </c>
    </row>
    <row r="50" spans="1:52" x14ac:dyDescent="0.2">
      <c r="E50" s="85" t="str">
        <f xml:space="preserve"> E$47</f>
        <v>Undrawn construction debt commitment balance</v>
      </c>
      <c r="F50" s="85">
        <f t="shared" ref="F50:AZ50" si="10" xml:space="preserve"> F$47</f>
        <v>0</v>
      </c>
      <c r="G50" s="85">
        <f t="shared" si="10"/>
        <v>0</v>
      </c>
      <c r="H50" s="85">
        <f t="shared" si="10"/>
        <v>0</v>
      </c>
      <c r="I50" s="85">
        <f t="shared" si="10"/>
        <v>0</v>
      </c>
      <c r="J50" s="85">
        <f t="shared" si="10"/>
        <v>390000</v>
      </c>
      <c r="K50" s="85">
        <f t="shared" si="10"/>
        <v>332280</v>
      </c>
      <c r="L50" s="85">
        <f t="shared" si="10"/>
        <v>323532.60466666665</v>
      </c>
      <c r="M50" s="85">
        <f t="shared" si="10"/>
        <v>314761.96878300002</v>
      </c>
      <c r="N50" s="85">
        <f t="shared" si="10"/>
        <v>305951.02192530723</v>
      </c>
      <c r="O50" s="85">
        <f t="shared" si="10"/>
        <v>297118.85050204583</v>
      </c>
      <c r="P50" s="85">
        <f t="shared" si="10"/>
        <v>288243.89833192265</v>
      </c>
      <c r="Q50" s="85">
        <f t="shared" si="10"/>
        <v>279336.74980753794</v>
      </c>
      <c r="R50" s="85">
        <f t="shared" si="10"/>
        <v>270411.4284318643</v>
      </c>
      <c r="S50" s="85">
        <f t="shared" si="10"/>
        <v>261439.58766945323</v>
      </c>
      <c r="T50" s="85">
        <f t="shared" si="10"/>
        <v>252451.62622629633</v>
      </c>
      <c r="U50" s="85">
        <f t="shared" si="10"/>
        <v>243414.63129255062</v>
      </c>
      <c r="V50" s="85">
        <f t="shared" si="10"/>
        <v>234344.85214940636</v>
      </c>
      <c r="W50" s="85">
        <f t="shared" si="10"/>
        <v>225301.83766971334</v>
      </c>
      <c r="X50" s="85">
        <f t="shared" si="10"/>
        <v>216166.34933637068</v>
      </c>
      <c r="Y50" s="85">
        <f t="shared" si="10"/>
        <v>207019.93155904798</v>
      </c>
      <c r="Z50" s="85">
        <f t="shared" si="10"/>
        <v>197818.12053298164</v>
      </c>
      <c r="AA50" s="85">
        <f t="shared" si="10"/>
        <v>188607.48395484709</v>
      </c>
      <c r="AB50" s="85">
        <f t="shared" si="10"/>
        <v>179338.87666052772</v>
      </c>
      <c r="AC50" s="85">
        <f t="shared" si="10"/>
        <v>170036.64491863508</v>
      </c>
      <c r="AD50" s="85">
        <f t="shared" si="10"/>
        <v>160728.77317585031</v>
      </c>
      <c r="AE50" s="85">
        <f t="shared" si="10"/>
        <v>151359.02811409382</v>
      </c>
      <c r="AF50" s="85">
        <f t="shared" si="10"/>
        <v>141985.78471249316</v>
      </c>
      <c r="AG50" s="85">
        <f t="shared" si="10"/>
        <v>390000</v>
      </c>
      <c r="AH50" s="85">
        <f t="shared" si="10"/>
        <v>390000</v>
      </c>
      <c r="AI50" s="85">
        <f t="shared" si="10"/>
        <v>390000</v>
      </c>
      <c r="AJ50" s="85">
        <f t="shared" si="10"/>
        <v>390000</v>
      </c>
      <c r="AK50" s="85">
        <f t="shared" si="10"/>
        <v>390000</v>
      </c>
      <c r="AL50" s="85">
        <f t="shared" si="10"/>
        <v>390000</v>
      </c>
      <c r="AM50" s="85">
        <f t="shared" si="10"/>
        <v>390000</v>
      </c>
      <c r="AN50" s="85">
        <f t="shared" si="10"/>
        <v>390000</v>
      </c>
      <c r="AO50" s="85">
        <f t="shared" si="10"/>
        <v>390000</v>
      </c>
      <c r="AP50" s="85">
        <f t="shared" si="10"/>
        <v>390000</v>
      </c>
      <c r="AQ50" s="85">
        <f t="shared" si="10"/>
        <v>390000</v>
      </c>
      <c r="AR50" s="85">
        <f t="shared" si="10"/>
        <v>390000</v>
      </c>
      <c r="AS50" s="85">
        <f t="shared" si="10"/>
        <v>390000</v>
      </c>
      <c r="AT50" s="85">
        <f t="shared" si="10"/>
        <v>390000</v>
      </c>
      <c r="AU50" s="85">
        <f t="shared" si="10"/>
        <v>390000</v>
      </c>
      <c r="AV50" s="85">
        <f t="shared" si="10"/>
        <v>390000</v>
      </c>
      <c r="AW50" s="85">
        <f t="shared" si="10"/>
        <v>390000</v>
      </c>
      <c r="AX50" s="85">
        <f t="shared" si="10"/>
        <v>390000</v>
      </c>
      <c r="AY50" s="85">
        <f t="shared" si="10"/>
        <v>390000</v>
      </c>
      <c r="AZ50" s="85">
        <f t="shared" si="10"/>
        <v>390000</v>
      </c>
    </row>
    <row r="51" spans="1:52" s="197" customFormat="1" x14ac:dyDescent="0.2">
      <c r="A51" s="264"/>
      <c r="B51" s="264"/>
      <c r="C51" s="265"/>
      <c r="D51" s="266"/>
      <c r="E51" s="197" t="str">
        <f>ConTime!E$18</f>
        <v>Construction / availability period flag</v>
      </c>
      <c r="F51" s="197">
        <f>ConTime!F$18</f>
        <v>0</v>
      </c>
      <c r="G51" s="197">
        <f>ConTime!G$18</f>
        <v>0</v>
      </c>
      <c r="H51" s="197">
        <f>ConTime!H$18</f>
        <v>22</v>
      </c>
      <c r="I51" s="197">
        <f>ConTime!I$18</f>
        <v>0</v>
      </c>
      <c r="J51" s="197">
        <f>ConTime!J$18</f>
        <v>0</v>
      </c>
      <c r="K51" s="197">
        <f>ConTime!K$18</f>
        <v>1</v>
      </c>
      <c r="L51" s="197">
        <f>ConTime!L$18</f>
        <v>1</v>
      </c>
      <c r="M51" s="197">
        <f>ConTime!M$18</f>
        <v>1</v>
      </c>
      <c r="N51" s="197">
        <f>ConTime!N$18</f>
        <v>1</v>
      </c>
      <c r="O51" s="197">
        <f>ConTime!O$18</f>
        <v>1</v>
      </c>
      <c r="P51" s="197">
        <f>ConTime!P$18</f>
        <v>1</v>
      </c>
      <c r="Q51" s="197">
        <f>ConTime!Q$18</f>
        <v>1</v>
      </c>
      <c r="R51" s="197">
        <f>ConTime!R$18</f>
        <v>1</v>
      </c>
      <c r="S51" s="197">
        <f>ConTime!S$18</f>
        <v>1</v>
      </c>
      <c r="T51" s="197">
        <f>ConTime!T$18</f>
        <v>1</v>
      </c>
      <c r="U51" s="197">
        <f>ConTime!U$18</f>
        <v>1</v>
      </c>
      <c r="V51" s="197">
        <f>ConTime!V$18</f>
        <v>1</v>
      </c>
      <c r="W51" s="197">
        <f>ConTime!W$18</f>
        <v>1</v>
      </c>
      <c r="X51" s="197">
        <f>ConTime!X$18</f>
        <v>1</v>
      </c>
      <c r="Y51" s="197">
        <f>ConTime!Y$18</f>
        <v>1</v>
      </c>
      <c r="Z51" s="197">
        <f>ConTime!Z$18</f>
        <v>1</v>
      </c>
      <c r="AA51" s="197">
        <f>ConTime!AA$18</f>
        <v>1</v>
      </c>
      <c r="AB51" s="197">
        <f>ConTime!AB$18</f>
        <v>1</v>
      </c>
      <c r="AC51" s="197">
        <f>ConTime!AC$18</f>
        <v>1</v>
      </c>
      <c r="AD51" s="197">
        <f>ConTime!AD$18</f>
        <v>1</v>
      </c>
      <c r="AE51" s="197">
        <f>ConTime!AE$18</f>
        <v>1</v>
      </c>
      <c r="AF51" s="197">
        <f>ConTime!AF$18</f>
        <v>1</v>
      </c>
      <c r="AG51" s="197">
        <f>ConTime!AG$18</f>
        <v>0</v>
      </c>
      <c r="AH51" s="197">
        <f>ConTime!AH$18</f>
        <v>0</v>
      </c>
      <c r="AI51" s="197">
        <f>ConTime!AI$18</f>
        <v>0</v>
      </c>
      <c r="AJ51" s="197">
        <f>ConTime!AJ$18</f>
        <v>0</v>
      </c>
      <c r="AK51" s="197">
        <f>ConTime!AK$18</f>
        <v>0</v>
      </c>
      <c r="AL51" s="197">
        <f>ConTime!AL$18</f>
        <v>0</v>
      </c>
      <c r="AM51" s="197">
        <f>ConTime!AM$18</f>
        <v>0</v>
      </c>
      <c r="AN51" s="197">
        <f>ConTime!AN$18</f>
        <v>0</v>
      </c>
      <c r="AO51" s="197">
        <f>ConTime!AO$18</f>
        <v>0</v>
      </c>
      <c r="AP51" s="197">
        <f>ConTime!AP$18</f>
        <v>0</v>
      </c>
      <c r="AQ51" s="197">
        <f>ConTime!AQ$18</f>
        <v>0</v>
      </c>
      <c r="AR51" s="197">
        <f>ConTime!AR$18</f>
        <v>0</v>
      </c>
      <c r="AS51" s="197">
        <f>ConTime!AS$18</f>
        <v>0</v>
      </c>
      <c r="AT51" s="197">
        <f>ConTime!AT$18</f>
        <v>0</v>
      </c>
      <c r="AU51" s="197">
        <f>ConTime!AU$18</f>
        <v>0</v>
      </c>
      <c r="AV51" s="197">
        <f>ConTime!AV$18</f>
        <v>0</v>
      </c>
      <c r="AW51" s="197">
        <f>ConTime!AW$18</f>
        <v>0</v>
      </c>
      <c r="AX51" s="197">
        <f>ConTime!AX$18</f>
        <v>0</v>
      </c>
      <c r="AY51" s="197">
        <f>ConTime!AY$18</f>
        <v>0</v>
      </c>
      <c r="AZ51" s="197">
        <f>ConTime!AZ$18</f>
        <v>0</v>
      </c>
    </row>
    <row r="52" spans="1:52" x14ac:dyDescent="0.2">
      <c r="E52" s="85" t="s">
        <v>227</v>
      </c>
      <c r="H52" s="85">
        <f>SUM(J52:AZ52)</f>
        <v>2184.0208543419221</v>
      </c>
      <c r="J52" s="85">
        <f xml:space="preserve"> ($F49 / 12) * J50 * J51</f>
        <v>0</v>
      </c>
      <c r="K52" s="85">
        <f t="shared" ref="K52:AZ52" si="11" xml:space="preserve"> ($F49 / 12) * K50 * K51</f>
        <v>138.45000000000002</v>
      </c>
      <c r="L52" s="85">
        <f t="shared" si="11"/>
        <v>134.80525194444445</v>
      </c>
      <c r="M52" s="85">
        <f t="shared" si="11"/>
        <v>131.15082032625003</v>
      </c>
      <c r="N52" s="85">
        <f t="shared" si="11"/>
        <v>127.47959246887802</v>
      </c>
      <c r="O52" s="85">
        <f t="shared" si="11"/>
        <v>123.7995210425191</v>
      </c>
      <c r="P52" s="85">
        <f t="shared" si="11"/>
        <v>120.10162430496779</v>
      </c>
      <c r="Q52" s="85">
        <f t="shared" si="11"/>
        <v>116.39031241980749</v>
      </c>
      <c r="R52" s="85">
        <f t="shared" si="11"/>
        <v>112.67142851327679</v>
      </c>
      <c r="S52" s="85">
        <f t="shared" si="11"/>
        <v>108.93316152893885</v>
      </c>
      <c r="T52" s="85">
        <f t="shared" si="11"/>
        <v>105.18817759429014</v>
      </c>
      <c r="U52" s="85">
        <f t="shared" si="11"/>
        <v>101.42276303856276</v>
      </c>
      <c r="V52" s="85">
        <f t="shared" si="11"/>
        <v>97.643688395585997</v>
      </c>
      <c r="W52" s="85">
        <f t="shared" si="11"/>
        <v>93.875765695713895</v>
      </c>
      <c r="X52" s="85">
        <f t="shared" si="11"/>
        <v>90.069312223487785</v>
      </c>
      <c r="Y52" s="85">
        <f t="shared" si="11"/>
        <v>86.258304816269998</v>
      </c>
      <c r="Z52" s="85">
        <f t="shared" si="11"/>
        <v>82.42421688874235</v>
      </c>
      <c r="AA52" s="85">
        <f t="shared" si="11"/>
        <v>78.586451647852954</v>
      </c>
      <c r="AB52" s="85">
        <f t="shared" si="11"/>
        <v>74.724531941886553</v>
      </c>
      <c r="AC52" s="85">
        <f t="shared" si="11"/>
        <v>70.848602049431292</v>
      </c>
      <c r="AD52" s="85">
        <f t="shared" si="11"/>
        <v>66.970322156604297</v>
      </c>
      <c r="AE52" s="85">
        <f t="shared" si="11"/>
        <v>63.066261714205758</v>
      </c>
      <c r="AF52" s="85">
        <f t="shared" si="11"/>
        <v>59.160743630205488</v>
      </c>
      <c r="AG52" s="85">
        <f t="shared" si="11"/>
        <v>0</v>
      </c>
      <c r="AH52" s="85">
        <f t="shared" si="11"/>
        <v>0</v>
      </c>
      <c r="AI52" s="85">
        <f t="shared" si="11"/>
        <v>0</v>
      </c>
      <c r="AJ52" s="85">
        <f t="shared" si="11"/>
        <v>0</v>
      </c>
      <c r="AK52" s="85">
        <f t="shared" si="11"/>
        <v>0</v>
      </c>
      <c r="AL52" s="85">
        <f t="shared" si="11"/>
        <v>0</v>
      </c>
      <c r="AM52" s="85">
        <f t="shared" si="11"/>
        <v>0</v>
      </c>
      <c r="AN52" s="85">
        <f t="shared" si="11"/>
        <v>0</v>
      </c>
      <c r="AO52" s="85">
        <f t="shared" si="11"/>
        <v>0</v>
      </c>
      <c r="AP52" s="85">
        <f t="shared" si="11"/>
        <v>0</v>
      </c>
      <c r="AQ52" s="85">
        <f t="shared" si="11"/>
        <v>0</v>
      </c>
      <c r="AR52" s="85">
        <f t="shared" si="11"/>
        <v>0</v>
      </c>
      <c r="AS52" s="85">
        <f t="shared" si="11"/>
        <v>0</v>
      </c>
      <c r="AT52" s="85">
        <f t="shared" si="11"/>
        <v>0</v>
      </c>
      <c r="AU52" s="85">
        <f t="shared" si="11"/>
        <v>0</v>
      </c>
      <c r="AV52" s="85">
        <f t="shared" si="11"/>
        <v>0</v>
      </c>
      <c r="AW52" s="85">
        <f t="shared" si="11"/>
        <v>0</v>
      </c>
      <c r="AX52" s="85">
        <f t="shared" si="11"/>
        <v>0</v>
      </c>
      <c r="AY52" s="85">
        <f t="shared" si="11"/>
        <v>0</v>
      </c>
      <c r="AZ52" s="85">
        <f t="shared" si="11"/>
        <v>0</v>
      </c>
    </row>
    <row r="54" spans="1:52" s="122" customFormat="1" x14ac:dyDescent="0.2">
      <c r="A54" s="119"/>
      <c r="B54" s="119"/>
      <c r="C54" s="120"/>
      <c r="D54" s="121"/>
      <c r="E54" s="124" t="s">
        <v>318</v>
      </c>
      <c r="F54" s="402">
        <v>8000</v>
      </c>
      <c r="G54" s="124" t="str">
        <f xml:space="preserve"> SMU</f>
        <v>€ 000s</v>
      </c>
    </row>
    <row r="55" spans="1:52" s="96" customFormat="1" x14ac:dyDescent="0.2">
      <c r="A55" s="92"/>
      <c r="B55" s="93"/>
      <c r="C55" s="94"/>
      <c r="D55" s="95"/>
      <c r="E55" s="96" t="str">
        <f>ConTime!E$26</f>
        <v>Construction period end / conversion date flag</v>
      </c>
      <c r="F55" s="96">
        <f>ConTime!F$26</f>
        <v>0</v>
      </c>
      <c r="G55" s="96">
        <f>ConTime!G$26</f>
        <v>0</v>
      </c>
      <c r="H55" s="96">
        <f>ConTime!H$26</f>
        <v>1</v>
      </c>
      <c r="I55" s="96">
        <f>ConTime!I$26</f>
        <v>0</v>
      </c>
      <c r="J55" s="96">
        <f>ConTime!J$26</f>
        <v>0</v>
      </c>
      <c r="K55" s="96">
        <f>ConTime!K$26</f>
        <v>0</v>
      </c>
      <c r="L55" s="96">
        <f>ConTime!L$26</f>
        <v>0</v>
      </c>
      <c r="M55" s="96">
        <f>ConTime!M$26</f>
        <v>0</v>
      </c>
      <c r="N55" s="96">
        <f>ConTime!N$26</f>
        <v>0</v>
      </c>
      <c r="O55" s="96">
        <f>ConTime!O$26</f>
        <v>0</v>
      </c>
      <c r="P55" s="96">
        <f>ConTime!P$26</f>
        <v>0</v>
      </c>
      <c r="Q55" s="96">
        <f>ConTime!Q$26</f>
        <v>0</v>
      </c>
      <c r="R55" s="96">
        <f>ConTime!R$26</f>
        <v>0</v>
      </c>
      <c r="S55" s="96">
        <f>ConTime!S$26</f>
        <v>0</v>
      </c>
      <c r="T55" s="96">
        <f>ConTime!T$26</f>
        <v>0</v>
      </c>
      <c r="U55" s="96">
        <f>ConTime!U$26</f>
        <v>0</v>
      </c>
      <c r="V55" s="96">
        <f>ConTime!V$26</f>
        <v>0</v>
      </c>
      <c r="W55" s="96">
        <f>ConTime!W$26</f>
        <v>0</v>
      </c>
      <c r="X55" s="96">
        <f>ConTime!X$26</f>
        <v>0</v>
      </c>
      <c r="Y55" s="96">
        <f>ConTime!Y$26</f>
        <v>0</v>
      </c>
      <c r="Z55" s="96">
        <f>ConTime!Z$26</f>
        <v>0</v>
      </c>
      <c r="AA55" s="96">
        <f>ConTime!AA$26</f>
        <v>0</v>
      </c>
      <c r="AB55" s="96">
        <f>ConTime!AB$26</f>
        <v>0</v>
      </c>
      <c r="AC55" s="96">
        <f>ConTime!AC$26</f>
        <v>0</v>
      </c>
      <c r="AD55" s="96">
        <f>ConTime!AD$26</f>
        <v>0</v>
      </c>
      <c r="AE55" s="96">
        <f>ConTime!AE$26</f>
        <v>0</v>
      </c>
      <c r="AF55" s="96">
        <f>ConTime!AF$26</f>
        <v>1</v>
      </c>
      <c r="AG55" s="96">
        <f>ConTime!AG$26</f>
        <v>0</v>
      </c>
      <c r="AH55" s="96">
        <f>ConTime!AH$26</f>
        <v>0</v>
      </c>
      <c r="AI55" s="96">
        <f>ConTime!AI$26</f>
        <v>0</v>
      </c>
      <c r="AJ55" s="96">
        <f>ConTime!AJ$26</f>
        <v>0</v>
      </c>
      <c r="AK55" s="96">
        <f>ConTime!AK$26</f>
        <v>0</v>
      </c>
      <c r="AL55" s="96">
        <f>ConTime!AL$26</f>
        <v>0</v>
      </c>
      <c r="AM55" s="96">
        <f>ConTime!AM$26</f>
        <v>0</v>
      </c>
      <c r="AN55" s="96">
        <f>ConTime!AN$26</f>
        <v>0</v>
      </c>
      <c r="AO55" s="96">
        <f>ConTime!AO$26</f>
        <v>0</v>
      </c>
      <c r="AP55" s="96">
        <f>ConTime!AP$26</f>
        <v>0</v>
      </c>
      <c r="AQ55" s="96">
        <f>ConTime!AQ$26</f>
        <v>0</v>
      </c>
      <c r="AR55" s="96">
        <f>ConTime!AR$26</f>
        <v>0</v>
      </c>
      <c r="AS55" s="96">
        <f>ConTime!AS$26</f>
        <v>0</v>
      </c>
      <c r="AT55" s="96">
        <f>ConTime!AT$26</f>
        <v>0</v>
      </c>
      <c r="AU55" s="96">
        <f>ConTime!AU$26</f>
        <v>0</v>
      </c>
      <c r="AV55" s="96">
        <f>ConTime!AV$26</f>
        <v>0</v>
      </c>
      <c r="AW55" s="96">
        <f>ConTime!AW$26</f>
        <v>0</v>
      </c>
      <c r="AX55" s="96">
        <f>ConTime!AX$26</f>
        <v>0</v>
      </c>
      <c r="AY55" s="96">
        <f>ConTime!AY$26</f>
        <v>0</v>
      </c>
      <c r="AZ55" s="96">
        <f>ConTime!AZ$26</f>
        <v>0</v>
      </c>
    </row>
    <row r="56" spans="1:52" x14ac:dyDescent="0.2">
      <c r="E56" s="85" t="s">
        <v>321</v>
      </c>
      <c r="H56" s="85">
        <f>SUM(J56:AZ56)</f>
        <v>8000</v>
      </c>
      <c r="J56" s="85">
        <f xml:space="preserve"> $F54 * J55</f>
        <v>0</v>
      </c>
      <c r="K56" s="85">
        <f t="shared" ref="K56:AZ56" si="12" xml:space="preserve"> $F54 * K55</f>
        <v>0</v>
      </c>
      <c r="L56" s="85">
        <f t="shared" si="12"/>
        <v>0</v>
      </c>
      <c r="M56" s="85">
        <f t="shared" si="12"/>
        <v>0</v>
      </c>
      <c r="N56" s="85">
        <f t="shared" si="12"/>
        <v>0</v>
      </c>
      <c r="O56" s="85">
        <f t="shared" si="12"/>
        <v>0</v>
      </c>
      <c r="P56" s="85">
        <f t="shared" si="12"/>
        <v>0</v>
      </c>
      <c r="Q56" s="85">
        <f t="shared" si="12"/>
        <v>0</v>
      </c>
      <c r="R56" s="85">
        <f t="shared" si="12"/>
        <v>0</v>
      </c>
      <c r="S56" s="85">
        <f t="shared" si="12"/>
        <v>0</v>
      </c>
      <c r="T56" s="85">
        <f t="shared" si="12"/>
        <v>0</v>
      </c>
      <c r="U56" s="85">
        <f t="shared" si="12"/>
        <v>0</v>
      </c>
      <c r="V56" s="85">
        <f t="shared" si="12"/>
        <v>0</v>
      </c>
      <c r="W56" s="85">
        <f t="shared" si="12"/>
        <v>0</v>
      </c>
      <c r="X56" s="85">
        <f t="shared" si="12"/>
        <v>0</v>
      </c>
      <c r="Y56" s="85">
        <f t="shared" si="12"/>
        <v>0</v>
      </c>
      <c r="Z56" s="85">
        <f t="shared" si="12"/>
        <v>0</v>
      </c>
      <c r="AA56" s="85">
        <f t="shared" si="12"/>
        <v>0</v>
      </c>
      <c r="AB56" s="85">
        <f t="shared" si="12"/>
        <v>0</v>
      </c>
      <c r="AC56" s="85">
        <f t="shared" si="12"/>
        <v>0</v>
      </c>
      <c r="AD56" s="85">
        <f t="shared" si="12"/>
        <v>0</v>
      </c>
      <c r="AE56" s="85">
        <f t="shared" si="12"/>
        <v>0</v>
      </c>
      <c r="AF56" s="85">
        <f t="shared" si="12"/>
        <v>8000</v>
      </c>
      <c r="AG56" s="85">
        <f t="shared" si="12"/>
        <v>0</v>
      </c>
      <c r="AH56" s="85">
        <f t="shared" si="12"/>
        <v>0</v>
      </c>
      <c r="AI56" s="85">
        <f t="shared" si="12"/>
        <v>0</v>
      </c>
      <c r="AJ56" s="85">
        <f t="shared" si="12"/>
        <v>0</v>
      </c>
      <c r="AK56" s="85">
        <f t="shared" si="12"/>
        <v>0</v>
      </c>
      <c r="AL56" s="85">
        <f t="shared" si="12"/>
        <v>0</v>
      </c>
      <c r="AM56" s="85">
        <f t="shared" si="12"/>
        <v>0</v>
      </c>
      <c r="AN56" s="85">
        <f t="shared" si="12"/>
        <v>0</v>
      </c>
      <c r="AO56" s="85">
        <f t="shared" si="12"/>
        <v>0</v>
      </c>
      <c r="AP56" s="85">
        <f t="shared" si="12"/>
        <v>0</v>
      </c>
      <c r="AQ56" s="85">
        <f t="shared" si="12"/>
        <v>0</v>
      </c>
      <c r="AR56" s="85">
        <f t="shared" si="12"/>
        <v>0</v>
      </c>
      <c r="AS56" s="85">
        <f t="shared" si="12"/>
        <v>0</v>
      </c>
      <c r="AT56" s="85">
        <f t="shared" si="12"/>
        <v>0</v>
      </c>
      <c r="AU56" s="85">
        <f t="shared" si="12"/>
        <v>0</v>
      </c>
      <c r="AV56" s="85">
        <f t="shared" si="12"/>
        <v>0</v>
      </c>
      <c r="AW56" s="85">
        <f t="shared" si="12"/>
        <v>0</v>
      </c>
      <c r="AX56" s="85">
        <f t="shared" si="12"/>
        <v>0</v>
      </c>
      <c r="AY56" s="85">
        <f t="shared" si="12"/>
        <v>0</v>
      </c>
      <c r="AZ56" s="85">
        <f t="shared" si="12"/>
        <v>0</v>
      </c>
    </row>
    <row r="57" spans="1:52" s="140" customFormat="1" x14ac:dyDescent="0.2">
      <c r="A57" s="137"/>
      <c r="B57" s="145"/>
      <c r="C57" s="146"/>
      <c r="D57" s="139"/>
      <c r="E57" s="140" t="str">
        <f xml:space="preserve"> E56 &amp; " total"</f>
        <v>Senior DSRA deposits DC total</v>
      </c>
      <c r="F57" s="248">
        <f xml:space="preserve"> SUM(J56:AZ56)</f>
        <v>8000</v>
      </c>
      <c r="G57" s="140" t="str">
        <f xml:space="preserve"> SMU</f>
        <v>€ 000s</v>
      </c>
      <c r="AF57" s="248"/>
    </row>
    <row r="60" spans="1:52" x14ac:dyDescent="0.2">
      <c r="B60" s="82" t="s">
        <v>222</v>
      </c>
    </row>
    <row r="62" spans="1:52" s="135" customFormat="1" x14ac:dyDescent="0.2">
      <c r="A62" s="82"/>
      <c r="B62" s="82"/>
      <c r="C62" s="83"/>
      <c r="D62" s="275"/>
      <c r="E62" s="135" t="str">
        <f xml:space="preserve"> E$11</f>
        <v>Arrangement fees</v>
      </c>
      <c r="F62" s="135">
        <f t="shared" ref="F62:AZ62" si="13" xml:space="preserve"> F$11</f>
        <v>0</v>
      </c>
      <c r="G62" s="135">
        <f t="shared" si="13"/>
        <v>0</v>
      </c>
      <c r="H62" s="135">
        <f t="shared" si="13"/>
        <v>7800</v>
      </c>
      <c r="I62" s="135">
        <f t="shared" si="13"/>
        <v>0</v>
      </c>
      <c r="J62" s="135">
        <f t="shared" si="13"/>
        <v>7800</v>
      </c>
      <c r="K62" s="135">
        <f t="shared" si="13"/>
        <v>0</v>
      </c>
      <c r="L62" s="135">
        <f t="shared" si="13"/>
        <v>0</v>
      </c>
      <c r="M62" s="135">
        <f t="shared" si="13"/>
        <v>0</v>
      </c>
      <c r="N62" s="135">
        <f t="shared" si="13"/>
        <v>0</v>
      </c>
      <c r="O62" s="135">
        <f t="shared" si="13"/>
        <v>0</v>
      </c>
      <c r="P62" s="135">
        <f t="shared" si="13"/>
        <v>0</v>
      </c>
      <c r="Q62" s="135">
        <f t="shared" si="13"/>
        <v>0</v>
      </c>
      <c r="R62" s="135">
        <f t="shared" si="13"/>
        <v>0</v>
      </c>
      <c r="S62" s="135">
        <f t="shared" si="13"/>
        <v>0</v>
      </c>
      <c r="T62" s="135">
        <f t="shared" si="13"/>
        <v>0</v>
      </c>
      <c r="U62" s="135">
        <f t="shared" si="13"/>
        <v>0</v>
      </c>
      <c r="V62" s="135">
        <f t="shared" si="13"/>
        <v>0</v>
      </c>
      <c r="W62" s="135">
        <f t="shared" si="13"/>
        <v>0</v>
      </c>
      <c r="X62" s="135">
        <f t="shared" si="13"/>
        <v>0</v>
      </c>
      <c r="Y62" s="135">
        <f t="shared" si="13"/>
        <v>0</v>
      </c>
      <c r="Z62" s="135">
        <f t="shared" si="13"/>
        <v>0</v>
      </c>
      <c r="AA62" s="135">
        <f t="shared" si="13"/>
        <v>0</v>
      </c>
      <c r="AB62" s="135">
        <f t="shared" si="13"/>
        <v>0</v>
      </c>
      <c r="AC62" s="135">
        <f t="shared" si="13"/>
        <v>0</v>
      </c>
      <c r="AD62" s="135">
        <f t="shared" si="13"/>
        <v>0</v>
      </c>
      <c r="AE62" s="135">
        <f t="shared" si="13"/>
        <v>0</v>
      </c>
      <c r="AF62" s="135">
        <f t="shared" si="13"/>
        <v>0</v>
      </c>
      <c r="AG62" s="135">
        <f t="shared" si="13"/>
        <v>0</v>
      </c>
      <c r="AH62" s="135">
        <f t="shared" si="13"/>
        <v>0</v>
      </c>
      <c r="AI62" s="135">
        <f t="shared" si="13"/>
        <v>0</v>
      </c>
      <c r="AJ62" s="135">
        <f t="shared" si="13"/>
        <v>0</v>
      </c>
      <c r="AK62" s="135">
        <f t="shared" si="13"/>
        <v>0</v>
      </c>
      <c r="AL62" s="135">
        <f t="shared" si="13"/>
        <v>0</v>
      </c>
      <c r="AM62" s="135">
        <f t="shared" si="13"/>
        <v>0</v>
      </c>
      <c r="AN62" s="135">
        <f t="shared" si="13"/>
        <v>0</v>
      </c>
      <c r="AO62" s="135">
        <f t="shared" si="13"/>
        <v>0</v>
      </c>
      <c r="AP62" s="135">
        <f t="shared" si="13"/>
        <v>0</v>
      </c>
      <c r="AQ62" s="135">
        <f t="shared" si="13"/>
        <v>0</v>
      </c>
      <c r="AR62" s="135">
        <f t="shared" si="13"/>
        <v>0</v>
      </c>
      <c r="AS62" s="135">
        <f t="shared" si="13"/>
        <v>0</v>
      </c>
      <c r="AT62" s="135">
        <f t="shared" si="13"/>
        <v>0</v>
      </c>
      <c r="AU62" s="135">
        <f t="shared" si="13"/>
        <v>0</v>
      </c>
      <c r="AV62" s="135">
        <f t="shared" si="13"/>
        <v>0</v>
      </c>
      <c r="AW62" s="135">
        <f t="shared" si="13"/>
        <v>0</v>
      </c>
      <c r="AX62" s="135">
        <f t="shared" si="13"/>
        <v>0</v>
      </c>
      <c r="AY62" s="135">
        <f t="shared" si="13"/>
        <v>0</v>
      </c>
      <c r="AZ62" s="135">
        <f t="shared" si="13"/>
        <v>0</v>
      </c>
    </row>
    <row r="63" spans="1:52" s="135" customFormat="1" x14ac:dyDescent="0.2">
      <c r="A63" s="82"/>
      <c r="B63" s="82"/>
      <c r="C63" s="83"/>
      <c r="D63" s="275"/>
      <c r="E63" s="135" t="str">
        <f>E$16</f>
        <v>Agent bank fees DC</v>
      </c>
      <c r="F63" s="135">
        <f t="shared" ref="F63:AZ63" si="14">F$16</f>
        <v>0</v>
      </c>
      <c r="G63" s="135">
        <f t="shared" si="14"/>
        <v>0</v>
      </c>
      <c r="H63" s="135">
        <f t="shared" si="14"/>
        <v>660</v>
      </c>
      <c r="I63" s="135">
        <f t="shared" si="14"/>
        <v>0</v>
      </c>
      <c r="J63" s="135">
        <f t="shared" si="14"/>
        <v>0</v>
      </c>
      <c r="K63" s="135">
        <f t="shared" si="14"/>
        <v>30</v>
      </c>
      <c r="L63" s="135">
        <f t="shared" si="14"/>
        <v>30</v>
      </c>
      <c r="M63" s="135">
        <f t="shared" si="14"/>
        <v>30</v>
      </c>
      <c r="N63" s="135">
        <f t="shared" si="14"/>
        <v>30</v>
      </c>
      <c r="O63" s="135">
        <f t="shared" si="14"/>
        <v>30</v>
      </c>
      <c r="P63" s="135">
        <f t="shared" si="14"/>
        <v>30</v>
      </c>
      <c r="Q63" s="135">
        <f t="shared" si="14"/>
        <v>30</v>
      </c>
      <c r="R63" s="135">
        <f t="shared" si="14"/>
        <v>30</v>
      </c>
      <c r="S63" s="135">
        <f t="shared" si="14"/>
        <v>30</v>
      </c>
      <c r="T63" s="135">
        <f t="shared" si="14"/>
        <v>30</v>
      </c>
      <c r="U63" s="135">
        <f t="shared" si="14"/>
        <v>30</v>
      </c>
      <c r="V63" s="135">
        <f t="shared" si="14"/>
        <v>30</v>
      </c>
      <c r="W63" s="135">
        <f t="shared" si="14"/>
        <v>30</v>
      </c>
      <c r="X63" s="135">
        <f t="shared" si="14"/>
        <v>30</v>
      </c>
      <c r="Y63" s="135">
        <f t="shared" si="14"/>
        <v>30</v>
      </c>
      <c r="Z63" s="135">
        <f t="shared" si="14"/>
        <v>30</v>
      </c>
      <c r="AA63" s="135">
        <f t="shared" si="14"/>
        <v>30</v>
      </c>
      <c r="AB63" s="135">
        <f t="shared" si="14"/>
        <v>30</v>
      </c>
      <c r="AC63" s="135">
        <f t="shared" si="14"/>
        <v>30</v>
      </c>
      <c r="AD63" s="135">
        <f t="shared" si="14"/>
        <v>30</v>
      </c>
      <c r="AE63" s="135">
        <f t="shared" si="14"/>
        <v>30</v>
      </c>
      <c r="AF63" s="135">
        <f t="shared" si="14"/>
        <v>30</v>
      </c>
      <c r="AG63" s="135">
        <f t="shared" si="14"/>
        <v>0</v>
      </c>
      <c r="AH63" s="135">
        <f t="shared" si="14"/>
        <v>0</v>
      </c>
      <c r="AI63" s="135">
        <f t="shared" si="14"/>
        <v>0</v>
      </c>
      <c r="AJ63" s="135">
        <f t="shared" si="14"/>
        <v>0</v>
      </c>
      <c r="AK63" s="135">
        <f t="shared" si="14"/>
        <v>0</v>
      </c>
      <c r="AL63" s="135">
        <f t="shared" si="14"/>
        <v>0</v>
      </c>
      <c r="AM63" s="135">
        <f t="shared" si="14"/>
        <v>0</v>
      </c>
      <c r="AN63" s="135">
        <f t="shared" si="14"/>
        <v>0</v>
      </c>
      <c r="AO63" s="135">
        <f t="shared" si="14"/>
        <v>0</v>
      </c>
      <c r="AP63" s="135">
        <f t="shared" si="14"/>
        <v>0</v>
      </c>
      <c r="AQ63" s="135">
        <f t="shared" si="14"/>
        <v>0</v>
      </c>
      <c r="AR63" s="135">
        <f t="shared" si="14"/>
        <v>0</v>
      </c>
      <c r="AS63" s="135">
        <f t="shared" si="14"/>
        <v>0</v>
      </c>
      <c r="AT63" s="135">
        <f t="shared" si="14"/>
        <v>0</v>
      </c>
      <c r="AU63" s="135">
        <f t="shared" si="14"/>
        <v>0</v>
      </c>
      <c r="AV63" s="135">
        <f t="shared" si="14"/>
        <v>0</v>
      </c>
      <c r="AW63" s="135">
        <f t="shared" si="14"/>
        <v>0</v>
      </c>
      <c r="AX63" s="135">
        <f t="shared" si="14"/>
        <v>0</v>
      </c>
      <c r="AY63" s="135">
        <f t="shared" si="14"/>
        <v>0</v>
      </c>
      <c r="AZ63" s="135">
        <f t="shared" si="14"/>
        <v>0</v>
      </c>
    </row>
    <row r="64" spans="1:52" s="135" customFormat="1" x14ac:dyDescent="0.2">
      <c r="A64" s="82"/>
      <c r="B64" s="82"/>
      <c r="C64" s="83"/>
      <c r="D64" s="275"/>
      <c r="E64" s="135" t="str">
        <f xml:space="preserve"> E$37</f>
        <v>Interest during construction</v>
      </c>
      <c r="F64" s="135">
        <f t="shared" ref="F64:AZ64" si="15" xml:space="preserve"> F$37</f>
        <v>0</v>
      </c>
      <c r="G64" s="135">
        <f t="shared" si="15"/>
        <v>0</v>
      </c>
      <c r="H64" s="135">
        <f t="shared" si="15"/>
        <v>16260.923828532959</v>
      </c>
      <c r="I64" s="135">
        <f t="shared" si="15"/>
        <v>0</v>
      </c>
      <c r="J64" s="135">
        <f t="shared" si="15"/>
        <v>0</v>
      </c>
      <c r="K64" s="135">
        <f t="shared" si="15"/>
        <v>285.79416666666668</v>
      </c>
      <c r="L64" s="135">
        <f t="shared" si="15"/>
        <v>318.48960263888887</v>
      </c>
      <c r="M64" s="135">
        <f t="shared" si="15"/>
        <v>372.5327517897291</v>
      </c>
      <c r="N64" s="135">
        <f t="shared" si="15"/>
        <v>402.7346866079028</v>
      </c>
      <c r="O64" s="135">
        <f t="shared" si="15"/>
        <v>459.89069161139821</v>
      </c>
      <c r="P64" s="135">
        <f t="shared" si="15"/>
        <v>503.83403117596612</v>
      </c>
      <c r="Q64" s="135">
        <f t="shared" si="15"/>
        <v>530.26140717221415</v>
      </c>
      <c r="R64" s="135">
        <f t="shared" si="15"/>
        <v>592.12952450056071</v>
      </c>
      <c r="S64" s="135">
        <f t="shared" si="15"/>
        <v>616.01864241720318</v>
      </c>
      <c r="T64" s="135">
        <f t="shared" si="15"/>
        <v>681.05548958785209</v>
      </c>
      <c r="U64" s="135">
        <f t="shared" si="15"/>
        <v>725.80116589174588</v>
      </c>
      <c r="V64" s="135">
        <f t="shared" si="15"/>
        <v>696.12441122071039</v>
      </c>
      <c r="W64" s="135">
        <f t="shared" si="15"/>
        <v>815.48465098259976</v>
      </c>
      <c r="X64" s="135">
        <f t="shared" si="15"/>
        <v>832.95290942989038</v>
      </c>
      <c r="Y64" s="135">
        <f t="shared" si="15"/>
        <v>906.00547776665815</v>
      </c>
      <c r="Z64" s="135">
        <f t="shared" si="15"/>
        <v>920.87150577946284</v>
      </c>
      <c r="AA64" s="135">
        <f t="shared" si="15"/>
        <v>997.17266625134721</v>
      </c>
      <c r="AB64" s="135">
        <f t="shared" si="15"/>
        <v>1043.0651454239146</v>
      </c>
      <c r="AC64" s="135">
        <f t="shared" si="15"/>
        <v>1053.99107643154</v>
      </c>
      <c r="AD64" s="135">
        <f t="shared" si="15"/>
        <v>1135.2110050390188</v>
      </c>
      <c r="AE64" s="135">
        <f t="shared" si="15"/>
        <v>1143.4879902866337</v>
      </c>
      <c r="AF64" s="135">
        <f t="shared" si="15"/>
        <v>1228.0148298610582</v>
      </c>
      <c r="AG64" s="135">
        <f t="shared" si="15"/>
        <v>0</v>
      </c>
      <c r="AH64" s="135">
        <f t="shared" si="15"/>
        <v>0</v>
      </c>
      <c r="AI64" s="135">
        <f t="shared" si="15"/>
        <v>0</v>
      </c>
      <c r="AJ64" s="135">
        <f t="shared" si="15"/>
        <v>0</v>
      </c>
      <c r="AK64" s="135">
        <f t="shared" si="15"/>
        <v>0</v>
      </c>
      <c r="AL64" s="135">
        <f t="shared" si="15"/>
        <v>0</v>
      </c>
      <c r="AM64" s="135">
        <f t="shared" si="15"/>
        <v>0</v>
      </c>
      <c r="AN64" s="135">
        <f t="shared" si="15"/>
        <v>0</v>
      </c>
      <c r="AO64" s="135">
        <f t="shared" si="15"/>
        <v>0</v>
      </c>
      <c r="AP64" s="135">
        <f t="shared" si="15"/>
        <v>0</v>
      </c>
      <c r="AQ64" s="135">
        <f t="shared" si="15"/>
        <v>0</v>
      </c>
      <c r="AR64" s="135">
        <f t="shared" si="15"/>
        <v>0</v>
      </c>
      <c r="AS64" s="135">
        <f t="shared" si="15"/>
        <v>0</v>
      </c>
      <c r="AT64" s="135">
        <f t="shared" si="15"/>
        <v>0</v>
      </c>
      <c r="AU64" s="135">
        <f t="shared" si="15"/>
        <v>0</v>
      </c>
      <c r="AV64" s="135">
        <f t="shared" si="15"/>
        <v>0</v>
      </c>
      <c r="AW64" s="135">
        <f t="shared" si="15"/>
        <v>0</v>
      </c>
      <c r="AX64" s="135">
        <f t="shared" si="15"/>
        <v>0</v>
      </c>
      <c r="AY64" s="135">
        <f t="shared" si="15"/>
        <v>0</v>
      </c>
      <c r="AZ64" s="135">
        <f t="shared" si="15"/>
        <v>0</v>
      </c>
    </row>
    <row r="65" spans="1:52" s="135" customFormat="1" x14ac:dyDescent="0.2">
      <c r="A65" s="82"/>
      <c r="B65" s="82"/>
      <c r="C65" s="83"/>
      <c r="D65" s="275"/>
      <c r="E65" s="135" t="str">
        <f>E$52</f>
        <v>Commitment fees</v>
      </c>
      <c r="F65" s="135">
        <f t="shared" ref="F65:AZ65" si="16">F$52</f>
        <v>0</v>
      </c>
      <c r="G65" s="135">
        <f t="shared" si="16"/>
        <v>0</v>
      </c>
      <c r="H65" s="135">
        <f t="shared" si="16"/>
        <v>2184.0208543419221</v>
      </c>
      <c r="I65" s="135">
        <f t="shared" si="16"/>
        <v>0</v>
      </c>
      <c r="J65" s="135">
        <f t="shared" si="16"/>
        <v>0</v>
      </c>
      <c r="K65" s="135">
        <f t="shared" si="16"/>
        <v>138.45000000000002</v>
      </c>
      <c r="L65" s="135">
        <f t="shared" si="16"/>
        <v>134.80525194444445</v>
      </c>
      <c r="M65" s="135">
        <f t="shared" si="16"/>
        <v>131.15082032625003</v>
      </c>
      <c r="N65" s="135">
        <f t="shared" si="16"/>
        <v>127.47959246887802</v>
      </c>
      <c r="O65" s="135">
        <f t="shared" si="16"/>
        <v>123.7995210425191</v>
      </c>
      <c r="P65" s="135">
        <f t="shared" si="16"/>
        <v>120.10162430496779</v>
      </c>
      <c r="Q65" s="135">
        <f t="shared" si="16"/>
        <v>116.39031241980749</v>
      </c>
      <c r="R65" s="135">
        <f t="shared" si="16"/>
        <v>112.67142851327679</v>
      </c>
      <c r="S65" s="135">
        <f t="shared" si="16"/>
        <v>108.93316152893885</v>
      </c>
      <c r="T65" s="135">
        <f t="shared" si="16"/>
        <v>105.18817759429014</v>
      </c>
      <c r="U65" s="135">
        <f t="shared" si="16"/>
        <v>101.42276303856276</v>
      </c>
      <c r="V65" s="135">
        <f t="shared" si="16"/>
        <v>97.643688395585997</v>
      </c>
      <c r="W65" s="135">
        <f t="shared" si="16"/>
        <v>93.875765695713895</v>
      </c>
      <c r="X65" s="135">
        <f t="shared" si="16"/>
        <v>90.069312223487785</v>
      </c>
      <c r="Y65" s="135">
        <f t="shared" si="16"/>
        <v>86.258304816269998</v>
      </c>
      <c r="Z65" s="135">
        <f t="shared" si="16"/>
        <v>82.42421688874235</v>
      </c>
      <c r="AA65" s="135">
        <f t="shared" si="16"/>
        <v>78.586451647852954</v>
      </c>
      <c r="AB65" s="135">
        <f t="shared" si="16"/>
        <v>74.724531941886553</v>
      </c>
      <c r="AC65" s="135">
        <f t="shared" si="16"/>
        <v>70.848602049431292</v>
      </c>
      <c r="AD65" s="135">
        <f t="shared" si="16"/>
        <v>66.970322156604297</v>
      </c>
      <c r="AE65" s="135">
        <f t="shared" si="16"/>
        <v>63.066261714205758</v>
      </c>
      <c r="AF65" s="135">
        <f t="shared" si="16"/>
        <v>59.160743630205488</v>
      </c>
      <c r="AG65" s="135">
        <f t="shared" si="16"/>
        <v>0</v>
      </c>
      <c r="AH65" s="135">
        <f t="shared" si="16"/>
        <v>0</v>
      </c>
      <c r="AI65" s="135">
        <f t="shared" si="16"/>
        <v>0</v>
      </c>
      <c r="AJ65" s="135">
        <f t="shared" si="16"/>
        <v>0</v>
      </c>
      <c r="AK65" s="135">
        <f t="shared" si="16"/>
        <v>0</v>
      </c>
      <c r="AL65" s="135">
        <f t="shared" si="16"/>
        <v>0</v>
      </c>
      <c r="AM65" s="135">
        <f t="shared" si="16"/>
        <v>0</v>
      </c>
      <c r="AN65" s="135">
        <f t="shared" si="16"/>
        <v>0</v>
      </c>
      <c r="AO65" s="135">
        <f t="shared" si="16"/>
        <v>0</v>
      </c>
      <c r="AP65" s="135">
        <f t="shared" si="16"/>
        <v>0</v>
      </c>
      <c r="AQ65" s="135">
        <f t="shared" si="16"/>
        <v>0</v>
      </c>
      <c r="AR65" s="135">
        <f t="shared" si="16"/>
        <v>0</v>
      </c>
      <c r="AS65" s="135">
        <f t="shared" si="16"/>
        <v>0</v>
      </c>
      <c r="AT65" s="135">
        <f t="shared" si="16"/>
        <v>0</v>
      </c>
      <c r="AU65" s="135">
        <f t="shared" si="16"/>
        <v>0</v>
      </c>
      <c r="AV65" s="135">
        <f t="shared" si="16"/>
        <v>0</v>
      </c>
      <c r="AW65" s="135">
        <f t="shared" si="16"/>
        <v>0</v>
      </c>
      <c r="AX65" s="135">
        <f t="shared" si="16"/>
        <v>0</v>
      </c>
      <c r="AY65" s="135">
        <f t="shared" si="16"/>
        <v>0</v>
      </c>
      <c r="AZ65" s="135">
        <f t="shared" si="16"/>
        <v>0</v>
      </c>
    </row>
    <row r="66" spans="1:52" s="135" customFormat="1" x14ac:dyDescent="0.2">
      <c r="A66" s="82"/>
      <c r="B66" s="82"/>
      <c r="C66" s="83"/>
      <c r="D66" s="275"/>
      <c r="E66" s="135" t="str">
        <f>E$56</f>
        <v>Senior DSRA deposits DC</v>
      </c>
      <c r="F66" s="135">
        <f t="shared" ref="F66:AZ66" si="17">F$56</f>
        <v>0</v>
      </c>
      <c r="G66" s="135">
        <f t="shared" si="17"/>
        <v>0</v>
      </c>
      <c r="H66" s="135">
        <f t="shared" si="17"/>
        <v>8000</v>
      </c>
      <c r="I66" s="135">
        <f t="shared" si="17"/>
        <v>0</v>
      </c>
      <c r="J66" s="135">
        <f t="shared" si="17"/>
        <v>0</v>
      </c>
      <c r="K66" s="135">
        <f t="shared" si="17"/>
        <v>0</v>
      </c>
      <c r="L66" s="135">
        <f t="shared" si="17"/>
        <v>0</v>
      </c>
      <c r="M66" s="135">
        <f t="shared" si="17"/>
        <v>0</v>
      </c>
      <c r="N66" s="135">
        <f t="shared" si="17"/>
        <v>0</v>
      </c>
      <c r="O66" s="135">
        <f t="shared" si="17"/>
        <v>0</v>
      </c>
      <c r="P66" s="135">
        <f t="shared" si="17"/>
        <v>0</v>
      </c>
      <c r="Q66" s="135">
        <f t="shared" si="17"/>
        <v>0</v>
      </c>
      <c r="R66" s="135">
        <f t="shared" si="17"/>
        <v>0</v>
      </c>
      <c r="S66" s="135">
        <f t="shared" si="17"/>
        <v>0</v>
      </c>
      <c r="T66" s="135">
        <f t="shared" si="17"/>
        <v>0</v>
      </c>
      <c r="U66" s="135">
        <f t="shared" si="17"/>
        <v>0</v>
      </c>
      <c r="V66" s="135">
        <f t="shared" si="17"/>
        <v>0</v>
      </c>
      <c r="W66" s="135">
        <f t="shared" si="17"/>
        <v>0</v>
      </c>
      <c r="X66" s="135">
        <f t="shared" si="17"/>
        <v>0</v>
      </c>
      <c r="Y66" s="135">
        <f t="shared" si="17"/>
        <v>0</v>
      </c>
      <c r="Z66" s="135">
        <f t="shared" si="17"/>
        <v>0</v>
      </c>
      <c r="AA66" s="135">
        <f t="shared" si="17"/>
        <v>0</v>
      </c>
      <c r="AB66" s="135">
        <f t="shared" si="17"/>
        <v>0</v>
      </c>
      <c r="AC66" s="135">
        <f t="shared" si="17"/>
        <v>0</v>
      </c>
      <c r="AD66" s="135">
        <f t="shared" si="17"/>
        <v>0</v>
      </c>
      <c r="AE66" s="135">
        <f t="shared" si="17"/>
        <v>0</v>
      </c>
      <c r="AF66" s="135">
        <f t="shared" si="17"/>
        <v>8000</v>
      </c>
      <c r="AG66" s="135">
        <f t="shared" si="17"/>
        <v>0</v>
      </c>
      <c r="AH66" s="135">
        <f t="shared" si="17"/>
        <v>0</v>
      </c>
      <c r="AI66" s="135">
        <f t="shared" si="17"/>
        <v>0</v>
      </c>
      <c r="AJ66" s="135">
        <f t="shared" si="17"/>
        <v>0</v>
      </c>
      <c r="AK66" s="135">
        <f t="shared" si="17"/>
        <v>0</v>
      </c>
      <c r="AL66" s="135">
        <f t="shared" si="17"/>
        <v>0</v>
      </c>
      <c r="AM66" s="135">
        <f t="shared" si="17"/>
        <v>0</v>
      </c>
      <c r="AN66" s="135">
        <f t="shared" si="17"/>
        <v>0</v>
      </c>
      <c r="AO66" s="135">
        <f t="shared" si="17"/>
        <v>0</v>
      </c>
      <c r="AP66" s="135">
        <f t="shared" si="17"/>
        <v>0</v>
      </c>
      <c r="AQ66" s="135">
        <f t="shared" si="17"/>
        <v>0</v>
      </c>
      <c r="AR66" s="135">
        <f t="shared" si="17"/>
        <v>0</v>
      </c>
      <c r="AS66" s="135">
        <f t="shared" si="17"/>
        <v>0</v>
      </c>
      <c r="AT66" s="135">
        <f t="shared" si="17"/>
        <v>0</v>
      </c>
      <c r="AU66" s="135">
        <f t="shared" si="17"/>
        <v>0</v>
      </c>
      <c r="AV66" s="135">
        <f t="shared" si="17"/>
        <v>0</v>
      </c>
      <c r="AW66" s="135">
        <f t="shared" si="17"/>
        <v>0</v>
      </c>
      <c r="AX66" s="135">
        <f t="shared" si="17"/>
        <v>0</v>
      </c>
      <c r="AY66" s="135">
        <f t="shared" si="17"/>
        <v>0</v>
      </c>
      <c r="AZ66" s="135">
        <f t="shared" si="17"/>
        <v>0</v>
      </c>
    </row>
    <row r="67" spans="1:52" x14ac:dyDescent="0.2">
      <c r="E67" s="135" t="s">
        <v>217</v>
      </c>
      <c r="H67" s="85">
        <f>SUM(J67:AZ67)</f>
        <v>34904.944682874884</v>
      </c>
      <c r="J67" s="114">
        <f>SUM(J62:J66)</f>
        <v>7800</v>
      </c>
      <c r="K67" s="114">
        <f t="shared" ref="K67:AZ67" si="18">SUM(K62:K66)</f>
        <v>454.24416666666673</v>
      </c>
      <c r="L67" s="114">
        <f t="shared" si="18"/>
        <v>483.29485458333329</v>
      </c>
      <c r="M67" s="114">
        <f t="shared" si="18"/>
        <v>533.68357211597913</v>
      </c>
      <c r="N67" s="114">
        <f t="shared" si="18"/>
        <v>560.21427907678083</v>
      </c>
      <c r="O67" s="114">
        <f t="shared" si="18"/>
        <v>613.69021265391734</v>
      </c>
      <c r="P67" s="114">
        <f t="shared" si="18"/>
        <v>653.93565548093397</v>
      </c>
      <c r="Q67" s="114">
        <f t="shared" si="18"/>
        <v>676.65171959202166</v>
      </c>
      <c r="R67" s="114">
        <f t="shared" si="18"/>
        <v>734.80095301383744</v>
      </c>
      <c r="S67" s="114">
        <f t="shared" si="18"/>
        <v>754.95180394614204</v>
      </c>
      <c r="T67" s="114">
        <f t="shared" si="18"/>
        <v>816.24366718214219</v>
      </c>
      <c r="U67" s="114">
        <f t="shared" si="18"/>
        <v>857.2239289303086</v>
      </c>
      <c r="V67" s="114">
        <f t="shared" si="18"/>
        <v>823.76809961629635</v>
      </c>
      <c r="W67" s="114">
        <f t="shared" si="18"/>
        <v>939.36041667831364</v>
      </c>
      <c r="X67" s="114">
        <f t="shared" si="18"/>
        <v>953.02222165337821</v>
      </c>
      <c r="Y67" s="114">
        <f t="shared" si="18"/>
        <v>1022.2637825829281</v>
      </c>
      <c r="Z67" s="114">
        <f t="shared" si="18"/>
        <v>1033.2957226682051</v>
      </c>
      <c r="AA67" s="114">
        <f t="shared" si="18"/>
        <v>1105.7591178992002</v>
      </c>
      <c r="AB67" s="114">
        <f t="shared" si="18"/>
        <v>1147.7896773658013</v>
      </c>
      <c r="AC67" s="114">
        <f t="shared" si="18"/>
        <v>1154.8396784809713</v>
      </c>
      <c r="AD67" s="114">
        <f t="shared" si="18"/>
        <v>1232.181327195623</v>
      </c>
      <c r="AE67" s="114">
        <f t="shared" si="18"/>
        <v>1236.5542520008394</v>
      </c>
      <c r="AF67" s="114">
        <f t="shared" si="18"/>
        <v>9317.175573491264</v>
      </c>
      <c r="AG67" s="114">
        <f t="shared" si="18"/>
        <v>0</v>
      </c>
      <c r="AH67" s="114">
        <f t="shared" si="18"/>
        <v>0</v>
      </c>
      <c r="AI67" s="114">
        <f t="shared" si="18"/>
        <v>0</v>
      </c>
      <c r="AJ67" s="114">
        <f t="shared" si="18"/>
        <v>0</v>
      </c>
      <c r="AK67" s="114">
        <f t="shared" si="18"/>
        <v>0</v>
      </c>
      <c r="AL67" s="114">
        <f t="shared" si="18"/>
        <v>0</v>
      </c>
      <c r="AM67" s="114">
        <f t="shared" si="18"/>
        <v>0</v>
      </c>
      <c r="AN67" s="114">
        <f t="shared" si="18"/>
        <v>0</v>
      </c>
      <c r="AO67" s="114">
        <f t="shared" si="18"/>
        <v>0</v>
      </c>
      <c r="AP67" s="114">
        <f t="shared" si="18"/>
        <v>0</v>
      </c>
      <c r="AQ67" s="114">
        <f t="shared" si="18"/>
        <v>0</v>
      </c>
      <c r="AR67" s="114">
        <f t="shared" si="18"/>
        <v>0</v>
      </c>
      <c r="AS67" s="114">
        <f t="shared" si="18"/>
        <v>0</v>
      </c>
      <c r="AT67" s="114">
        <f t="shared" si="18"/>
        <v>0</v>
      </c>
      <c r="AU67" s="114">
        <f t="shared" si="18"/>
        <v>0</v>
      </c>
      <c r="AV67" s="114">
        <f t="shared" si="18"/>
        <v>0</v>
      </c>
      <c r="AW67" s="114">
        <f t="shared" si="18"/>
        <v>0</v>
      </c>
      <c r="AX67" s="114">
        <f t="shared" si="18"/>
        <v>0</v>
      </c>
      <c r="AY67" s="114">
        <f t="shared" si="18"/>
        <v>0</v>
      </c>
      <c r="AZ67" s="114">
        <f t="shared" si="18"/>
        <v>0</v>
      </c>
    </row>
    <row r="70" spans="1:52" x14ac:dyDescent="0.2">
      <c r="A70" s="81" t="s">
        <v>213</v>
      </c>
    </row>
    <row r="72" spans="1:52" s="96" customFormat="1" x14ac:dyDescent="0.2">
      <c r="A72" s="92"/>
      <c r="B72" s="93"/>
      <c r="C72" s="94"/>
      <c r="D72" s="95"/>
      <c r="E72" s="96" t="str">
        <f xml:space="preserve"> ConCost!E$41</f>
        <v>Construction costs</v>
      </c>
      <c r="F72" s="96">
        <f xml:space="preserve"> ConCost!F$41</f>
        <v>0</v>
      </c>
      <c r="G72" s="96" t="str">
        <f xml:space="preserve"> ConCost!G$41</f>
        <v>€ 000s</v>
      </c>
      <c r="H72" s="96">
        <f xml:space="preserve"> ConCost!H$41</f>
        <v>368500</v>
      </c>
      <c r="I72" s="96">
        <f xml:space="preserve"> ConCost!I$41</f>
        <v>0</v>
      </c>
      <c r="J72" s="96">
        <f xml:space="preserve"> ConCost!J$41</f>
        <v>64350</v>
      </c>
      <c r="K72" s="96">
        <f xml:space="preserve"> ConCost!K$41</f>
        <v>10480</v>
      </c>
      <c r="L72" s="96">
        <f xml:space="preserve"> ConCost!L$41</f>
        <v>10480</v>
      </c>
      <c r="M72" s="96">
        <f xml:space="preserve"> ConCost!M$41</f>
        <v>10480</v>
      </c>
      <c r="N72" s="96">
        <f xml:space="preserve"> ConCost!N$41</f>
        <v>10480</v>
      </c>
      <c r="O72" s="96">
        <f xml:space="preserve"> ConCost!O$41</f>
        <v>10480</v>
      </c>
      <c r="P72" s="96">
        <f xml:space="preserve"> ConCost!P$41</f>
        <v>10480</v>
      </c>
      <c r="Q72" s="96">
        <f xml:space="preserve"> ConCost!Q$41</f>
        <v>10480</v>
      </c>
      <c r="R72" s="96">
        <f xml:space="preserve"> ConCost!R$41</f>
        <v>10480</v>
      </c>
      <c r="S72" s="96">
        <f xml:space="preserve"> ConCost!S$41</f>
        <v>10480</v>
      </c>
      <c r="T72" s="96">
        <f xml:space="preserve"> ConCost!T$41</f>
        <v>10480</v>
      </c>
      <c r="U72" s="96">
        <f xml:space="preserve"> ConCost!U$41</f>
        <v>10480</v>
      </c>
      <c r="V72" s="96">
        <f xml:space="preserve"> ConCost!V$41</f>
        <v>10480</v>
      </c>
      <c r="W72" s="96">
        <f xml:space="preserve"> ConCost!W$41</f>
        <v>10480</v>
      </c>
      <c r="X72" s="96">
        <f xml:space="preserve"> ConCost!X$41</f>
        <v>10480</v>
      </c>
      <c r="Y72" s="96">
        <f xml:space="preserve"> ConCost!Y$41</f>
        <v>10480</v>
      </c>
      <c r="Z72" s="96">
        <f xml:space="preserve"> ConCost!Z$41</f>
        <v>10480</v>
      </c>
      <c r="AA72" s="96">
        <f xml:space="preserve"> ConCost!AA$41</f>
        <v>10480</v>
      </c>
      <c r="AB72" s="96">
        <f xml:space="preserve"> ConCost!AB$41</f>
        <v>10480</v>
      </c>
      <c r="AC72" s="96">
        <f xml:space="preserve"> ConCost!AC$41</f>
        <v>10480</v>
      </c>
      <c r="AD72" s="96">
        <f xml:space="preserve"> ConCost!AD$41</f>
        <v>10480</v>
      </c>
      <c r="AE72" s="96">
        <f xml:space="preserve"> ConCost!AE$41</f>
        <v>10480</v>
      </c>
      <c r="AF72" s="96">
        <f xml:space="preserve"> ConCost!AF$41</f>
        <v>84070</v>
      </c>
      <c r="AG72" s="96">
        <f xml:space="preserve"> ConCost!AG$41</f>
        <v>0</v>
      </c>
      <c r="AH72" s="96">
        <f xml:space="preserve"> ConCost!AH$41</f>
        <v>0</v>
      </c>
      <c r="AI72" s="96">
        <f xml:space="preserve"> ConCost!AI$41</f>
        <v>0</v>
      </c>
      <c r="AJ72" s="96">
        <f xml:space="preserve"> ConCost!AJ$41</f>
        <v>0</v>
      </c>
      <c r="AK72" s="96">
        <f xml:space="preserve"> ConCost!AK$41</f>
        <v>0</v>
      </c>
      <c r="AL72" s="96">
        <f xml:space="preserve"> ConCost!AL$41</f>
        <v>0</v>
      </c>
      <c r="AM72" s="96">
        <f xml:space="preserve"> ConCost!AM$41</f>
        <v>0</v>
      </c>
      <c r="AN72" s="96">
        <f xml:space="preserve"> ConCost!AN$41</f>
        <v>0</v>
      </c>
      <c r="AO72" s="96">
        <f xml:space="preserve"> ConCost!AO$41</f>
        <v>0</v>
      </c>
      <c r="AP72" s="96">
        <f xml:space="preserve"> ConCost!AP$41</f>
        <v>0</v>
      </c>
      <c r="AQ72" s="96">
        <f xml:space="preserve"> ConCost!AQ$41</f>
        <v>0</v>
      </c>
      <c r="AR72" s="96">
        <f xml:space="preserve"> ConCost!AR$41</f>
        <v>0</v>
      </c>
      <c r="AS72" s="96">
        <f xml:space="preserve"> ConCost!AS$41</f>
        <v>0</v>
      </c>
      <c r="AT72" s="96">
        <f xml:space="preserve"> ConCost!AT$41</f>
        <v>0</v>
      </c>
      <c r="AU72" s="96">
        <f xml:space="preserve"> ConCost!AU$41</f>
        <v>0</v>
      </c>
      <c r="AV72" s="96">
        <f xml:space="preserve"> ConCost!AV$41</f>
        <v>0</v>
      </c>
      <c r="AW72" s="96">
        <f xml:space="preserve"> ConCost!AW$41</f>
        <v>0</v>
      </c>
      <c r="AX72" s="96">
        <f xml:space="preserve"> ConCost!AX$41</f>
        <v>0</v>
      </c>
      <c r="AY72" s="96">
        <f xml:space="preserve"> ConCost!AY$41</f>
        <v>0</v>
      </c>
      <c r="AZ72" s="96">
        <f xml:space="preserve"> ConCost!AZ$41</f>
        <v>0</v>
      </c>
    </row>
    <row r="73" spans="1:52" s="135" customFormat="1" x14ac:dyDescent="0.2">
      <c r="A73" s="82"/>
      <c r="B73" s="82"/>
      <c r="C73" s="83"/>
      <c r="D73" s="275"/>
      <c r="E73" s="135" t="str">
        <f>E$67</f>
        <v>Finance costs DC</v>
      </c>
      <c r="F73" s="135">
        <f t="shared" ref="F73:AZ73" si="19">F$67</f>
        <v>0</v>
      </c>
      <c r="G73" s="135">
        <f t="shared" si="19"/>
        <v>0</v>
      </c>
      <c r="H73" s="135">
        <f t="shared" si="19"/>
        <v>34904.944682874884</v>
      </c>
      <c r="I73" s="135">
        <f t="shared" si="19"/>
        <v>0</v>
      </c>
      <c r="J73" s="135">
        <f t="shared" si="19"/>
        <v>7800</v>
      </c>
      <c r="K73" s="135">
        <f t="shared" si="19"/>
        <v>454.24416666666673</v>
      </c>
      <c r="L73" s="135">
        <f t="shared" si="19"/>
        <v>483.29485458333329</v>
      </c>
      <c r="M73" s="135">
        <f t="shared" si="19"/>
        <v>533.68357211597913</v>
      </c>
      <c r="N73" s="135">
        <f t="shared" si="19"/>
        <v>560.21427907678083</v>
      </c>
      <c r="O73" s="135">
        <f t="shared" si="19"/>
        <v>613.69021265391734</v>
      </c>
      <c r="P73" s="135">
        <f t="shared" si="19"/>
        <v>653.93565548093397</v>
      </c>
      <c r="Q73" s="135">
        <f t="shared" si="19"/>
        <v>676.65171959202166</v>
      </c>
      <c r="R73" s="135">
        <f t="shared" si="19"/>
        <v>734.80095301383744</v>
      </c>
      <c r="S73" s="135">
        <f t="shared" si="19"/>
        <v>754.95180394614204</v>
      </c>
      <c r="T73" s="135">
        <f t="shared" si="19"/>
        <v>816.24366718214219</v>
      </c>
      <c r="U73" s="135">
        <f t="shared" si="19"/>
        <v>857.2239289303086</v>
      </c>
      <c r="V73" s="135">
        <f t="shared" si="19"/>
        <v>823.76809961629635</v>
      </c>
      <c r="W73" s="135">
        <f t="shared" si="19"/>
        <v>939.36041667831364</v>
      </c>
      <c r="X73" s="135">
        <f t="shared" si="19"/>
        <v>953.02222165337821</v>
      </c>
      <c r="Y73" s="135">
        <f t="shared" si="19"/>
        <v>1022.2637825829281</v>
      </c>
      <c r="Z73" s="135">
        <f t="shared" si="19"/>
        <v>1033.2957226682051</v>
      </c>
      <c r="AA73" s="135">
        <f t="shared" si="19"/>
        <v>1105.7591178992002</v>
      </c>
      <c r="AB73" s="135">
        <f t="shared" si="19"/>
        <v>1147.7896773658013</v>
      </c>
      <c r="AC73" s="135">
        <f t="shared" si="19"/>
        <v>1154.8396784809713</v>
      </c>
      <c r="AD73" s="135">
        <f t="shared" si="19"/>
        <v>1232.181327195623</v>
      </c>
      <c r="AE73" s="135">
        <f t="shared" si="19"/>
        <v>1236.5542520008394</v>
      </c>
      <c r="AF73" s="135">
        <f t="shared" si="19"/>
        <v>9317.175573491264</v>
      </c>
      <c r="AG73" s="135">
        <f t="shared" si="19"/>
        <v>0</v>
      </c>
      <c r="AH73" s="135">
        <f t="shared" si="19"/>
        <v>0</v>
      </c>
      <c r="AI73" s="135">
        <f t="shared" si="19"/>
        <v>0</v>
      </c>
      <c r="AJ73" s="135">
        <f t="shared" si="19"/>
        <v>0</v>
      </c>
      <c r="AK73" s="135">
        <f t="shared" si="19"/>
        <v>0</v>
      </c>
      <c r="AL73" s="135">
        <f t="shared" si="19"/>
        <v>0</v>
      </c>
      <c r="AM73" s="135">
        <f t="shared" si="19"/>
        <v>0</v>
      </c>
      <c r="AN73" s="135">
        <f t="shared" si="19"/>
        <v>0</v>
      </c>
      <c r="AO73" s="135">
        <f t="shared" si="19"/>
        <v>0</v>
      </c>
      <c r="AP73" s="135">
        <f t="shared" si="19"/>
        <v>0</v>
      </c>
      <c r="AQ73" s="135">
        <f t="shared" si="19"/>
        <v>0</v>
      </c>
      <c r="AR73" s="135">
        <f t="shared" si="19"/>
        <v>0</v>
      </c>
      <c r="AS73" s="135">
        <f t="shared" si="19"/>
        <v>0</v>
      </c>
      <c r="AT73" s="135">
        <f t="shared" si="19"/>
        <v>0</v>
      </c>
      <c r="AU73" s="135">
        <f t="shared" si="19"/>
        <v>0</v>
      </c>
      <c r="AV73" s="135">
        <f t="shared" si="19"/>
        <v>0</v>
      </c>
      <c r="AW73" s="135">
        <f t="shared" si="19"/>
        <v>0</v>
      </c>
      <c r="AX73" s="135">
        <f t="shared" si="19"/>
        <v>0</v>
      </c>
      <c r="AY73" s="135">
        <f t="shared" si="19"/>
        <v>0</v>
      </c>
      <c r="AZ73" s="135">
        <f t="shared" si="19"/>
        <v>0</v>
      </c>
    </row>
    <row r="74" spans="1:52" x14ac:dyDescent="0.2">
      <c r="E74" s="85" t="s">
        <v>206</v>
      </c>
      <c r="H74" s="85">
        <f>SUM(J74:AZ74)</f>
        <v>403404.94468287478</v>
      </c>
      <c r="J74" s="114">
        <f>SUM(J72:J73)</f>
        <v>72150</v>
      </c>
      <c r="K74" s="114">
        <f t="shared" ref="K74:AZ74" si="20">SUM(K72:K73)</f>
        <v>10934.244166666667</v>
      </c>
      <c r="L74" s="114">
        <f t="shared" si="20"/>
        <v>10963.294854583333</v>
      </c>
      <c r="M74" s="114">
        <f t="shared" si="20"/>
        <v>11013.683572115979</v>
      </c>
      <c r="N74" s="114">
        <f t="shared" si="20"/>
        <v>11040.214279076781</v>
      </c>
      <c r="O74" s="114">
        <f t="shared" si="20"/>
        <v>11093.690212653917</v>
      </c>
      <c r="P74" s="114">
        <f t="shared" si="20"/>
        <v>11133.935655480935</v>
      </c>
      <c r="Q74" s="114">
        <f t="shared" si="20"/>
        <v>11156.651719592022</v>
      </c>
      <c r="R74" s="114">
        <f t="shared" si="20"/>
        <v>11214.800953013837</v>
      </c>
      <c r="S74" s="114">
        <f t="shared" si="20"/>
        <v>11234.951803946142</v>
      </c>
      <c r="T74" s="114">
        <f t="shared" si="20"/>
        <v>11296.243667182142</v>
      </c>
      <c r="U74" s="114">
        <f t="shared" si="20"/>
        <v>11337.223928930309</v>
      </c>
      <c r="V74" s="114">
        <f t="shared" si="20"/>
        <v>11303.768099616296</v>
      </c>
      <c r="W74" s="114">
        <f t="shared" si="20"/>
        <v>11419.360416678313</v>
      </c>
      <c r="X74" s="114">
        <f t="shared" si="20"/>
        <v>11433.022221653378</v>
      </c>
      <c r="Y74" s="114">
        <f t="shared" si="20"/>
        <v>11502.263782582928</v>
      </c>
      <c r="Z74" s="114">
        <f t="shared" si="20"/>
        <v>11513.295722668205</v>
      </c>
      <c r="AA74" s="114">
        <f t="shared" si="20"/>
        <v>11585.759117899201</v>
      </c>
      <c r="AB74" s="114">
        <f t="shared" si="20"/>
        <v>11627.789677365801</v>
      </c>
      <c r="AC74" s="114">
        <f t="shared" si="20"/>
        <v>11634.839678480972</v>
      </c>
      <c r="AD74" s="114">
        <f t="shared" si="20"/>
        <v>11712.181327195623</v>
      </c>
      <c r="AE74" s="114">
        <f t="shared" si="20"/>
        <v>11716.554252000838</v>
      </c>
      <c r="AF74" s="114">
        <f t="shared" si="20"/>
        <v>93387.175573491259</v>
      </c>
      <c r="AG74" s="114">
        <f t="shared" si="20"/>
        <v>0</v>
      </c>
      <c r="AH74" s="114">
        <f t="shared" si="20"/>
        <v>0</v>
      </c>
      <c r="AI74" s="114">
        <f t="shared" si="20"/>
        <v>0</v>
      </c>
      <c r="AJ74" s="114">
        <f t="shared" si="20"/>
        <v>0</v>
      </c>
      <c r="AK74" s="114">
        <f t="shared" si="20"/>
        <v>0</v>
      </c>
      <c r="AL74" s="114">
        <f t="shared" si="20"/>
        <v>0</v>
      </c>
      <c r="AM74" s="114">
        <f t="shared" si="20"/>
        <v>0</v>
      </c>
      <c r="AN74" s="114">
        <f t="shared" si="20"/>
        <v>0</v>
      </c>
      <c r="AO74" s="114">
        <f t="shared" si="20"/>
        <v>0</v>
      </c>
      <c r="AP74" s="114">
        <f t="shared" si="20"/>
        <v>0</v>
      </c>
      <c r="AQ74" s="114">
        <f t="shared" si="20"/>
        <v>0</v>
      </c>
      <c r="AR74" s="114">
        <f t="shared" si="20"/>
        <v>0</v>
      </c>
      <c r="AS74" s="114">
        <f t="shared" si="20"/>
        <v>0</v>
      </c>
      <c r="AT74" s="114">
        <f t="shared" si="20"/>
        <v>0</v>
      </c>
      <c r="AU74" s="114">
        <f t="shared" si="20"/>
        <v>0</v>
      </c>
      <c r="AV74" s="114">
        <f t="shared" si="20"/>
        <v>0</v>
      </c>
      <c r="AW74" s="114">
        <f t="shared" si="20"/>
        <v>0</v>
      </c>
      <c r="AX74" s="114">
        <f t="shared" si="20"/>
        <v>0</v>
      </c>
      <c r="AY74" s="114">
        <f t="shared" si="20"/>
        <v>0</v>
      </c>
      <c r="AZ74" s="114">
        <f t="shared" si="20"/>
        <v>0</v>
      </c>
    </row>
    <row r="76" spans="1:52" s="272" customFormat="1" x14ac:dyDescent="0.2">
      <c r="A76" s="252"/>
      <c r="B76" s="97"/>
      <c r="C76" s="98"/>
      <c r="D76" s="271"/>
      <c r="E76" s="272" t="s">
        <v>208</v>
      </c>
      <c r="F76" s="101">
        <v>0.8</v>
      </c>
      <c r="G76" s="272" t="s">
        <v>209</v>
      </c>
      <c r="AF76" s="100"/>
    </row>
    <row r="77" spans="1:52" x14ac:dyDescent="0.2">
      <c r="E77" s="85" t="str">
        <f xml:space="preserve"> E$74</f>
        <v>Sources / Uses of cash</v>
      </c>
      <c r="F77" s="85">
        <f t="shared" ref="F77:AZ77" si="21" xml:space="preserve"> F$74</f>
        <v>0</v>
      </c>
      <c r="G77" s="85">
        <f t="shared" si="21"/>
        <v>0</v>
      </c>
      <c r="H77" s="85">
        <f t="shared" si="21"/>
        <v>403404.94468287478</v>
      </c>
      <c r="I77" s="85">
        <f t="shared" si="21"/>
        <v>0</v>
      </c>
      <c r="J77" s="85">
        <f t="shared" si="21"/>
        <v>72150</v>
      </c>
      <c r="K77" s="85">
        <f t="shared" si="21"/>
        <v>10934.244166666667</v>
      </c>
      <c r="L77" s="85">
        <f t="shared" si="21"/>
        <v>10963.294854583333</v>
      </c>
      <c r="M77" s="85">
        <f t="shared" si="21"/>
        <v>11013.683572115979</v>
      </c>
      <c r="N77" s="85">
        <f t="shared" si="21"/>
        <v>11040.214279076781</v>
      </c>
      <c r="O77" s="85">
        <f t="shared" si="21"/>
        <v>11093.690212653917</v>
      </c>
      <c r="P77" s="85">
        <f t="shared" si="21"/>
        <v>11133.935655480935</v>
      </c>
      <c r="Q77" s="85">
        <f t="shared" si="21"/>
        <v>11156.651719592022</v>
      </c>
      <c r="R77" s="85">
        <f t="shared" si="21"/>
        <v>11214.800953013837</v>
      </c>
      <c r="S77" s="85">
        <f t="shared" si="21"/>
        <v>11234.951803946142</v>
      </c>
      <c r="T77" s="85">
        <f t="shared" si="21"/>
        <v>11296.243667182142</v>
      </c>
      <c r="U77" s="85">
        <f t="shared" si="21"/>
        <v>11337.223928930309</v>
      </c>
      <c r="V77" s="85">
        <f t="shared" si="21"/>
        <v>11303.768099616296</v>
      </c>
      <c r="W77" s="85">
        <f t="shared" si="21"/>
        <v>11419.360416678313</v>
      </c>
      <c r="X77" s="85">
        <f t="shared" si="21"/>
        <v>11433.022221653378</v>
      </c>
      <c r="Y77" s="85">
        <f t="shared" si="21"/>
        <v>11502.263782582928</v>
      </c>
      <c r="Z77" s="85">
        <f t="shared" si="21"/>
        <v>11513.295722668205</v>
      </c>
      <c r="AA77" s="85">
        <f t="shared" si="21"/>
        <v>11585.759117899201</v>
      </c>
      <c r="AB77" s="85">
        <f t="shared" si="21"/>
        <v>11627.789677365801</v>
      </c>
      <c r="AC77" s="85">
        <f t="shared" si="21"/>
        <v>11634.839678480972</v>
      </c>
      <c r="AD77" s="85">
        <f t="shared" si="21"/>
        <v>11712.181327195623</v>
      </c>
      <c r="AE77" s="85">
        <f t="shared" si="21"/>
        <v>11716.554252000838</v>
      </c>
      <c r="AF77" s="85">
        <f t="shared" si="21"/>
        <v>93387.175573491259</v>
      </c>
      <c r="AG77" s="85">
        <f t="shared" si="21"/>
        <v>0</v>
      </c>
      <c r="AH77" s="85">
        <f t="shared" si="21"/>
        <v>0</v>
      </c>
      <c r="AI77" s="85">
        <f t="shared" si="21"/>
        <v>0</v>
      </c>
      <c r="AJ77" s="85">
        <f t="shared" si="21"/>
        <v>0</v>
      </c>
      <c r="AK77" s="85">
        <f t="shared" si="21"/>
        <v>0</v>
      </c>
      <c r="AL77" s="85">
        <f t="shared" si="21"/>
        <v>0</v>
      </c>
      <c r="AM77" s="85">
        <f t="shared" si="21"/>
        <v>0</v>
      </c>
      <c r="AN77" s="85">
        <f t="shared" si="21"/>
        <v>0</v>
      </c>
      <c r="AO77" s="85">
        <f t="shared" si="21"/>
        <v>0</v>
      </c>
      <c r="AP77" s="85">
        <f t="shared" si="21"/>
        <v>0</v>
      </c>
      <c r="AQ77" s="85">
        <f t="shared" si="21"/>
        <v>0</v>
      </c>
      <c r="AR77" s="85">
        <f t="shared" si="21"/>
        <v>0</v>
      </c>
      <c r="AS77" s="85">
        <f t="shared" si="21"/>
        <v>0</v>
      </c>
      <c r="AT77" s="85">
        <f t="shared" si="21"/>
        <v>0</v>
      </c>
      <c r="AU77" s="85">
        <f t="shared" si="21"/>
        <v>0</v>
      </c>
      <c r="AV77" s="85">
        <f t="shared" si="21"/>
        <v>0</v>
      </c>
      <c r="AW77" s="85">
        <f t="shared" si="21"/>
        <v>0</v>
      </c>
      <c r="AX77" s="85">
        <f t="shared" si="21"/>
        <v>0</v>
      </c>
      <c r="AY77" s="85">
        <f t="shared" si="21"/>
        <v>0</v>
      </c>
      <c r="AZ77" s="85">
        <f t="shared" si="21"/>
        <v>0</v>
      </c>
    </row>
    <row r="78" spans="1:52" x14ac:dyDescent="0.2">
      <c r="E78" s="85" t="s">
        <v>207</v>
      </c>
      <c r="H78" s="85">
        <f>SUM(J78:AZ78)</f>
        <v>322723.95574629982</v>
      </c>
      <c r="J78" s="85">
        <f xml:space="preserve"> $F76 * J77</f>
        <v>57720</v>
      </c>
      <c r="K78" s="85">
        <f t="shared" ref="K78:AZ78" si="22" xml:space="preserve"> $F76 * K77</f>
        <v>8747.3953333333338</v>
      </c>
      <c r="L78" s="85">
        <f t="shared" si="22"/>
        <v>8770.6358836666677</v>
      </c>
      <c r="M78" s="85">
        <f t="shared" si="22"/>
        <v>8810.9468576927829</v>
      </c>
      <c r="N78" s="85">
        <f t="shared" si="22"/>
        <v>8832.1714232614249</v>
      </c>
      <c r="O78" s="85">
        <f t="shared" si="22"/>
        <v>8874.9521701231333</v>
      </c>
      <c r="P78" s="85">
        <f t="shared" si="22"/>
        <v>8907.1485243847474</v>
      </c>
      <c r="Q78" s="85">
        <f t="shared" si="22"/>
        <v>8925.3213756736186</v>
      </c>
      <c r="R78" s="85">
        <f t="shared" si="22"/>
        <v>8971.8407624110696</v>
      </c>
      <c r="S78" s="85">
        <f t="shared" si="22"/>
        <v>8987.9614431569134</v>
      </c>
      <c r="T78" s="85">
        <f t="shared" si="22"/>
        <v>9036.9949337457128</v>
      </c>
      <c r="U78" s="85">
        <f t="shared" si="22"/>
        <v>9069.7791431442474</v>
      </c>
      <c r="V78" s="85">
        <f t="shared" si="22"/>
        <v>9043.0144796930381</v>
      </c>
      <c r="W78" s="85">
        <f t="shared" si="22"/>
        <v>9135.4883333426515</v>
      </c>
      <c r="X78" s="85">
        <f t="shared" si="22"/>
        <v>9146.4177773227038</v>
      </c>
      <c r="Y78" s="85">
        <f t="shared" si="22"/>
        <v>9201.8110260663434</v>
      </c>
      <c r="Z78" s="85">
        <f t="shared" si="22"/>
        <v>9210.6365781345648</v>
      </c>
      <c r="AA78" s="85">
        <f t="shared" si="22"/>
        <v>9268.6072943193612</v>
      </c>
      <c r="AB78" s="85">
        <f t="shared" si="22"/>
        <v>9302.2317418926414</v>
      </c>
      <c r="AC78" s="85">
        <f t="shared" si="22"/>
        <v>9307.8717427847787</v>
      </c>
      <c r="AD78" s="85">
        <f t="shared" si="22"/>
        <v>9369.7450617564991</v>
      </c>
      <c r="AE78" s="85">
        <f t="shared" si="22"/>
        <v>9373.2434016006719</v>
      </c>
      <c r="AF78" s="85">
        <f t="shared" si="22"/>
        <v>74709.740458793007</v>
      </c>
      <c r="AG78" s="85">
        <f t="shared" si="22"/>
        <v>0</v>
      </c>
      <c r="AH78" s="85">
        <f t="shared" si="22"/>
        <v>0</v>
      </c>
      <c r="AI78" s="85">
        <f t="shared" si="22"/>
        <v>0</v>
      </c>
      <c r="AJ78" s="85">
        <f t="shared" si="22"/>
        <v>0</v>
      </c>
      <c r="AK78" s="85">
        <f t="shared" si="22"/>
        <v>0</v>
      </c>
      <c r="AL78" s="85">
        <f t="shared" si="22"/>
        <v>0</v>
      </c>
      <c r="AM78" s="85">
        <f t="shared" si="22"/>
        <v>0</v>
      </c>
      <c r="AN78" s="85">
        <f t="shared" si="22"/>
        <v>0</v>
      </c>
      <c r="AO78" s="85">
        <f t="shared" si="22"/>
        <v>0</v>
      </c>
      <c r="AP78" s="85">
        <f t="shared" si="22"/>
        <v>0</v>
      </c>
      <c r="AQ78" s="85">
        <f t="shared" si="22"/>
        <v>0</v>
      </c>
      <c r="AR78" s="85">
        <f t="shared" si="22"/>
        <v>0</v>
      </c>
      <c r="AS78" s="85">
        <f t="shared" si="22"/>
        <v>0</v>
      </c>
      <c r="AT78" s="85">
        <f t="shared" si="22"/>
        <v>0</v>
      </c>
      <c r="AU78" s="85">
        <f t="shared" si="22"/>
        <v>0</v>
      </c>
      <c r="AV78" s="85">
        <f t="shared" si="22"/>
        <v>0</v>
      </c>
      <c r="AW78" s="85">
        <f t="shared" si="22"/>
        <v>0</v>
      </c>
      <c r="AX78" s="85">
        <f t="shared" si="22"/>
        <v>0</v>
      </c>
      <c r="AY78" s="85">
        <f t="shared" si="22"/>
        <v>0</v>
      </c>
      <c r="AZ78" s="85">
        <f t="shared" si="22"/>
        <v>0</v>
      </c>
    </row>
    <row r="80" spans="1:52" s="160" customFormat="1" x14ac:dyDescent="0.2">
      <c r="A80" s="157"/>
      <c r="B80" s="157"/>
      <c r="C80" s="158"/>
      <c r="D80" s="159"/>
      <c r="E80" s="160" t="str">
        <f xml:space="preserve"> E$86</f>
        <v>Construction debt balance BEG</v>
      </c>
      <c r="F80" s="160">
        <f t="shared" ref="F80:AZ80" si="23" xml:space="preserve"> F$86</f>
        <v>0</v>
      </c>
      <c r="G80" s="160">
        <f t="shared" si="23"/>
        <v>0</v>
      </c>
      <c r="H80" s="160">
        <f t="shared" si="23"/>
        <v>0</v>
      </c>
      <c r="I80" s="160">
        <f t="shared" si="23"/>
        <v>0</v>
      </c>
      <c r="J80" s="160">
        <f t="shared" si="23"/>
        <v>0</v>
      </c>
      <c r="K80" s="160">
        <f t="shared" si="23"/>
        <v>57720</v>
      </c>
      <c r="L80" s="160">
        <f t="shared" si="23"/>
        <v>66467.395333333334</v>
      </c>
      <c r="M80" s="160">
        <f t="shared" si="23"/>
        <v>75238.031216999996</v>
      </c>
      <c r="N80" s="160">
        <f t="shared" si="23"/>
        <v>84048.978074692772</v>
      </c>
      <c r="O80" s="160">
        <f t="shared" si="23"/>
        <v>92881.149497954204</v>
      </c>
      <c r="P80" s="160">
        <f t="shared" si="23"/>
        <v>101756.10166807733</v>
      </c>
      <c r="Q80" s="160">
        <f t="shared" si="23"/>
        <v>110663.25019246207</v>
      </c>
      <c r="R80" s="160">
        <f t="shared" si="23"/>
        <v>119588.5715681357</v>
      </c>
      <c r="S80" s="160">
        <f t="shared" si="23"/>
        <v>128560.41233054677</v>
      </c>
      <c r="T80" s="160">
        <f t="shared" si="23"/>
        <v>137548.37377370367</v>
      </c>
      <c r="U80" s="160">
        <f t="shared" si="23"/>
        <v>146585.36870744938</v>
      </c>
      <c r="V80" s="160">
        <f t="shared" si="23"/>
        <v>155655.14785059364</v>
      </c>
      <c r="W80" s="160">
        <f t="shared" si="23"/>
        <v>164698.16233028666</v>
      </c>
      <c r="X80" s="160">
        <f t="shared" si="23"/>
        <v>173833.65066362932</v>
      </c>
      <c r="Y80" s="160">
        <f t="shared" si="23"/>
        <v>182980.06844095202</v>
      </c>
      <c r="Z80" s="160">
        <f t="shared" si="23"/>
        <v>192181.87946701836</v>
      </c>
      <c r="AA80" s="160">
        <f t="shared" si="23"/>
        <v>201392.51604515291</v>
      </c>
      <c r="AB80" s="160">
        <f t="shared" si="23"/>
        <v>210661.12333947228</v>
      </c>
      <c r="AC80" s="160">
        <f t="shared" si="23"/>
        <v>219963.35508136492</v>
      </c>
      <c r="AD80" s="160">
        <f t="shared" si="23"/>
        <v>229271.22682414969</v>
      </c>
      <c r="AE80" s="160">
        <f t="shared" si="23"/>
        <v>238640.97188590618</v>
      </c>
      <c r="AF80" s="160">
        <f t="shared" si="23"/>
        <v>248014.21528750684</v>
      </c>
      <c r="AG80" s="160">
        <f t="shared" si="23"/>
        <v>0</v>
      </c>
      <c r="AH80" s="160">
        <f t="shared" si="23"/>
        <v>0</v>
      </c>
      <c r="AI80" s="160">
        <f t="shared" si="23"/>
        <v>0</v>
      </c>
      <c r="AJ80" s="160">
        <f t="shared" si="23"/>
        <v>0</v>
      </c>
      <c r="AK80" s="160">
        <f t="shared" si="23"/>
        <v>0</v>
      </c>
      <c r="AL80" s="160">
        <f t="shared" si="23"/>
        <v>0</v>
      </c>
      <c r="AM80" s="160">
        <f t="shared" si="23"/>
        <v>0</v>
      </c>
      <c r="AN80" s="160">
        <f t="shared" si="23"/>
        <v>0</v>
      </c>
      <c r="AO80" s="160">
        <f t="shared" si="23"/>
        <v>0</v>
      </c>
      <c r="AP80" s="160">
        <f t="shared" si="23"/>
        <v>0</v>
      </c>
      <c r="AQ80" s="160">
        <f t="shared" si="23"/>
        <v>0</v>
      </c>
      <c r="AR80" s="160">
        <f t="shared" si="23"/>
        <v>0</v>
      </c>
      <c r="AS80" s="160">
        <f t="shared" si="23"/>
        <v>0</v>
      </c>
      <c r="AT80" s="160">
        <f t="shared" si="23"/>
        <v>0</v>
      </c>
      <c r="AU80" s="160">
        <f t="shared" si="23"/>
        <v>0</v>
      </c>
      <c r="AV80" s="160">
        <f t="shared" si="23"/>
        <v>0</v>
      </c>
      <c r="AW80" s="160">
        <f t="shared" si="23"/>
        <v>0</v>
      </c>
      <c r="AX80" s="160">
        <f t="shared" si="23"/>
        <v>0</v>
      </c>
      <c r="AY80" s="160">
        <f t="shared" si="23"/>
        <v>0</v>
      </c>
      <c r="AZ80" s="160">
        <f t="shared" si="23"/>
        <v>0</v>
      </c>
    </row>
    <row r="81" spans="1:52" x14ac:dyDescent="0.2">
      <c r="D81" s="84" t="s">
        <v>23</v>
      </c>
      <c r="E81" s="85" t="str">
        <f xml:space="preserve"> E$78</f>
        <v>Construction debt draws</v>
      </c>
      <c r="F81" s="85">
        <f t="shared" ref="F81:AZ81" si="24" xml:space="preserve"> F$78</f>
        <v>0</v>
      </c>
      <c r="G81" s="85">
        <f t="shared" si="24"/>
        <v>0</v>
      </c>
      <c r="H81" s="85">
        <f t="shared" si="24"/>
        <v>322723.95574629982</v>
      </c>
      <c r="I81" s="85">
        <f t="shared" si="24"/>
        <v>0</v>
      </c>
      <c r="J81" s="85">
        <f t="shared" si="24"/>
        <v>57720</v>
      </c>
      <c r="K81" s="85">
        <f t="shared" si="24"/>
        <v>8747.3953333333338</v>
      </c>
      <c r="L81" s="85">
        <f t="shared" si="24"/>
        <v>8770.6358836666677</v>
      </c>
      <c r="M81" s="85">
        <f t="shared" si="24"/>
        <v>8810.9468576927829</v>
      </c>
      <c r="N81" s="85">
        <f t="shared" si="24"/>
        <v>8832.1714232614249</v>
      </c>
      <c r="O81" s="85">
        <f t="shared" si="24"/>
        <v>8874.9521701231333</v>
      </c>
      <c r="P81" s="85">
        <f t="shared" si="24"/>
        <v>8907.1485243847474</v>
      </c>
      <c r="Q81" s="85">
        <f t="shared" si="24"/>
        <v>8925.3213756736186</v>
      </c>
      <c r="R81" s="85">
        <f t="shared" si="24"/>
        <v>8971.8407624110696</v>
      </c>
      <c r="S81" s="85">
        <f t="shared" si="24"/>
        <v>8987.9614431569134</v>
      </c>
      <c r="T81" s="85">
        <f t="shared" si="24"/>
        <v>9036.9949337457128</v>
      </c>
      <c r="U81" s="85">
        <f t="shared" si="24"/>
        <v>9069.7791431442474</v>
      </c>
      <c r="V81" s="85">
        <f t="shared" si="24"/>
        <v>9043.0144796930381</v>
      </c>
      <c r="W81" s="85">
        <f t="shared" si="24"/>
        <v>9135.4883333426515</v>
      </c>
      <c r="X81" s="85">
        <f t="shared" si="24"/>
        <v>9146.4177773227038</v>
      </c>
      <c r="Y81" s="85">
        <f t="shared" si="24"/>
        <v>9201.8110260663434</v>
      </c>
      <c r="Z81" s="85">
        <f t="shared" si="24"/>
        <v>9210.6365781345648</v>
      </c>
      <c r="AA81" s="85">
        <f t="shared" si="24"/>
        <v>9268.6072943193612</v>
      </c>
      <c r="AB81" s="85">
        <f t="shared" si="24"/>
        <v>9302.2317418926414</v>
      </c>
      <c r="AC81" s="85">
        <f t="shared" si="24"/>
        <v>9307.8717427847787</v>
      </c>
      <c r="AD81" s="85">
        <f t="shared" si="24"/>
        <v>9369.7450617564991</v>
      </c>
      <c r="AE81" s="85">
        <f t="shared" si="24"/>
        <v>9373.2434016006719</v>
      </c>
      <c r="AF81" s="85">
        <f t="shared" si="24"/>
        <v>74709.740458793007</v>
      </c>
      <c r="AG81" s="85">
        <f t="shared" si="24"/>
        <v>0</v>
      </c>
      <c r="AH81" s="85">
        <f t="shared" si="24"/>
        <v>0</v>
      </c>
      <c r="AI81" s="85">
        <f t="shared" si="24"/>
        <v>0</v>
      </c>
      <c r="AJ81" s="85">
        <f t="shared" si="24"/>
        <v>0</v>
      </c>
      <c r="AK81" s="85">
        <f t="shared" si="24"/>
        <v>0</v>
      </c>
      <c r="AL81" s="85">
        <f t="shared" si="24"/>
        <v>0</v>
      </c>
      <c r="AM81" s="85">
        <f t="shared" si="24"/>
        <v>0</v>
      </c>
      <c r="AN81" s="85">
        <f t="shared" si="24"/>
        <v>0</v>
      </c>
      <c r="AO81" s="85">
        <f t="shared" si="24"/>
        <v>0</v>
      </c>
      <c r="AP81" s="85">
        <f t="shared" si="24"/>
        <v>0</v>
      </c>
      <c r="AQ81" s="85">
        <f t="shared" si="24"/>
        <v>0</v>
      </c>
      <c r="AR81" s="85">
        <f t="shared" si="24"/>
        <v>0</v>
      </c>
      <c r="AS81" s="85">
        <f t="shared" si="24"/>
        <v>0</v>
      </c>
      <c r="AT81" s="85">
        <f t="shared" si="24"/>
        <v>0</v>
      </c>
      <c r="AU81" s="85">
        <f t="shared" si="24"/>
        <v>0</v>
      </c>
      <c r="AV81" s="85">
        <f t="shared" si="24"/>
        <v>0</v>
      </c>
      <c r="AW81" s="85">
        <f t="shared" si="24"/>
        <v>0</v>
      </c>
      <c r="AX81" s="85">
        <f t="shared" si="24"/>
        <v>0</v>
      </c>
      <c r="AY81" s="85">
        <f t="shared" si="24"/>
        <v>0</v>
      </c>
      <c r="AZ81" s="85">
        <f t="shared" si="24"/>
        <v>0</v>
      </c>
    </row>
    <row r="82" spans="1:52" s="96" customFormat="1" x14ac:dyDescent="0.2">
      <c r="A82" s="92"/>
      <c r="B82" s="93"/>
      <c r="C82" s="94"/>
      <c r="D82" s="95"/>
      <c r="E82" s="96" t="str">
        <f>ConTime!E$26</f>
        <v>Construction period end / conversion date flag</v>
      </c>
      <c r="F82" s="96">
        <f>ConTime!F$26</f>
        <v>0</v>
      </c>
      <c r="G82" s="96">
        <f>ConTime!G$26</f>
        <v>0</v>
      </c>
      <c r="H82" s="96">
        <f>ConTime!H$26</f>
        <v>1</v>
      </c>
      <c r="I82" s="96">
        <f>ConTime!I$26</f>
        <v>0</v>
      </c>
      <c r="J82" s="96">
        <f>ConTime!J$26</f>
        <v>0</v>
      </c>
      <c r="K82" s="96">
        <f>ConTime!K$26</f>
        <v>0</v>
      </c>
      <c r="L82" s="96">
        <f>ConTime!L$26</f>
        <v>0</v>
      </c>
      <c r="M82" s="96">
        <f>ConTime!M$26</f>
        <v>0</v>
      </c>
      <c r="N82" s="96">
        <f>ConTime!N$26</f>
        <v>0</v>
      </c>
      <c r="O82" s="96">
        <f>ConTime!O$26</f>
        <v>0</v>
      </c>
      <c r="P82" s="96">
        <f>ConTime!P$26</f>
        <v>0</v>
      </c>
      <c r="Q82" s="96">
        <f>ConTime!Q$26</f>
        <v>0</v>
      </c>
      <c r="R82" s="96">
        <f>ConTime!R$26</f>
        <v>0</v>
      </c>
      <c r="S82" s="96">
        <f>ConTime!S$26</f>
        <v>0</v>
      </c>
      <c r="T82" s="96">
        <f>ConTime!T$26</f>
        <v>0</v>
      </c>
      <c r="U82" s="96">
        <f>ConTime!U$26</f>
        <v>0</v>
      </c>
      <c r="V82" s="96">
        <f>ConTime!V$26</f>
        <v>0</v>
      </c>
      <c r="W82" s="96">
        <f>ConTime!W$26</f>
        <v>0</v>
      </c>
      <c r="X82" s="96">
        <f>ConTime!X$26</f>
        <v>0</v>
      </c>
      <c r="Y82" s="96">
        <f>ConTime!Y$26</f>
        <v>0</v>
      </c>
      <c r="Z82" s="96">
        <f>ConTime!Z$26</f>
        <v>0</v>
      </c>
      <c r="AA82" s="96">
        <f>ConTime!AA$26</f>
        <v>0</v>
      </c>
      <c r="AB82" s="96">
        <f>ConTime!AB$26</f>
        <v>0</v>
      </c>
      <c r="AC82" s="96">
        <f>ConTime!AC$26</f>
        <v>0</v>
      </c>
      <c r="AD82" s="96">
        <f>ConTime!AD$26</f>
        <v>0</v>
      </c>
      <c r="AE82" s="96">
        <f>ConTime!AE$26</f>
        <v>0</v>
      </c>
      <c r="AF82" s="96">
        <f>ConTime!AF$26</f>
        <v>1</v>
      </c>
      <c r="AG82" s="96">
        <f>ConTime!AG$26</f>
        <v>0</v>
      </c>
      <c r="AH82" s="96">
        <f>ConTime!AH$26</f>
        <v>0</v>
      </c>
      <c r="AI82" s="96">
        <f>ConTime!AI$26</f>
        <v>0</v>
      </c>
      <c r="AJ82" s="96">
        <f>ConTime!AJ$26</f>
        <v>0</v>
      </c>
      <c r="AK82" s="96">
        <f>ConTime!AK$26</f>
        <v>0</v>
      </c>
      <c r="AL82" s="96">
        <f>ConTime!AL$26</f>
        <v>0</v>
      </c>
      <c r="AM82" s="96">
        <f>ConTime!AM$26</f>
        <v>0</v>
      </c>
      <c r="AN82" s="96">
        <f>ConTime!AN$26</f>
        <v>0</v>
      </c>
      <c r="AO82" s="96">
        <f>ConTime!AO$26</f>
        <v>0</v>
      </c>
      <c r="AP82" s="96">
        <f>ConTime!AP$26</f>
        <v>0</v>
      </c>
      <c r="AQ82" s="96">
        <f>ConTime!AQ$26</f>
        <v>0</v>
      </c>
      <c r="AR82" s="96">
        <f>ConTime!AR$26</f>
        <v>0</v>
      </c>
      <c r="AS82" s="96">
        <f>ConTime!AS$26</f>
        <v>0</v>
      </c>
      <c r="AT82" s="96">
        <f>ConTime!AT$26</f>
        <v>0</v>
      </c>
      <c r="AU82" s="96">
        <f>ConTime!AU$26</f>
        <v>0</v>
      </c>
      <c r="AV82" s="96">
        <f>ConTime!AV$26</f>
        <v>0</v>
      </c>
      <c r="AW82" s="96">
        <f>ConTime!AW$26</f>
        <v>0</v>
      </c>
      <c r="AX82" s="96">
        <f>ConTime!AX$26</f>
        <v>0</v>
      </c>
      <c r="AY82" s="96">
        <f>ConTime!AY$26</f>
        <v>0</v>
      </c>
      <c r="AZ82" s="96">
        <f>ConTime!AZ$26</f>
        <v>0</v>
      </c>
    </row>
    <row r="83" spans="1:52" x14ac:dyDescent="0.2">
      <c r="E83" s="85" t="s">
        <v>249</v>
      </c>
      <c r="H83" s="85">
        <f>SUM(J83:AZ83)</f>
        <v>322723.95574629982</v>
      </c>
      <c r="J83" s="85">
        <f xml:space="preserve"> SUM(J80:J81) * J82</f>
        <v>0</v>
      </c>
      <c r="K83" s="85">
        <f t="shared" ref="K83:AZ83" si="25" xml:space="preserve"> SUM(K80:K81) * K82</f>
        <v>0</v>
      </c>
      <c r="L83" s="85">
        <f t="shared" si="25"/>
        <v>0</v>
      </c>
      <c r="M83" s="85">
        <f t="shared" si="25"/>
        <v>0</v>
      </c>
      <c r="N83" s="85">
        <f t="shared" si="25"/>
        <v>0</v>
      </c>
      <c r="O83" s="85">
        <f t="shared" si="25"/>
        <v>0</v>
      </c>
      <c r="P83" s="85">
        <f t="shared" si="25"/>
        <v>0</v>
      </c>
      <c r="Q83" s="85">
        <f t="shared" si="25"/>
        <v>0</v>
      </c>
      <c r="R83" s="85">
        <f t="shared" si="25"/>
        <v>0</v>
      </c>
      <c r="S83" s="85">
        <f t="shared" si="25"/>
        <v>0</v>
      </c>
      <c r="T83" s="85">
        <f t="shared" si="25"/>
        <v>0</v>
      </c>
      <c r="U83" s="85">
        <f t="shared" si="25"/>
        <v>0</v>
      </c>
      <c r="V83" s="85">
        <f t="shared" si="25"/>
        <v>0</v>
      </c>
      <c r="W83" s="85">
        <f t="shared" si="25"/>
        <v>0</v>
      </c>
      <c r="X83" s="85">
        <f t="shared" si="25"/>
        <v>0</v>
      </c>
      <c r="Y83" s="85">
        <f t="shared" si="25"/>
        <v>0</v>
      </c>
      <c r="Z83" s="85">
        <f t="shared" si="25"/>
        <v>0</v>
      </c>
      <c r="AA83" s="85">
        <f t="shared" si="25"/>
        <v>0</v>
      </c>
      <c r="AB83" s="85">
        <f t="shared" si="25"/>
        <v>0</v>
      </c>
      <c r="AC83" s="85">
        <f t="shared" si="25"/>
        <v>0</v>
      </c>
      <c r="AD83" s="85">
        <f t="shared" si="25"/>
        <v>0</v>
      </c>
      <c r="AE83" s="85">
        <f t="shared" si="25"/>
        <v>0</v>
      </c>
      <c r="AF83" s="85">
        <f t="shared" si="25"/>
        <v>322723.95574629982</v>
      </c>
      <c r="AG83" s="85">
        <f t="shared" si="25"/>
        <v>0</v>
      </c>
      <c r="AH83" s="85">
        <f t="shared" si="25"/>
        <v>0</v>
      </c>
      <c r="AI83" s="85">
        <f t="shared" si="25"/>
        <v>0</v>
      </c>
      <c r="AJ83" s="85">
        <f t="shared" si="25"/>
        <v>0</v>
      </c>
      <c r="AK83" s="85">
        <f t="shared" si="25"/>
        <v>0</v>
      </c>
      <c r="AL83" s="85">
        <f t="shared" si="25"/>
        <v>0</v>
      </c>
      <c r="AM83" s="85">
        <f t="shared" si="25"/>
        <v>0</v>
      </c>
      <c r="AN83" s="85">
        <f t="shared" si="25"/>
        <v>0</v>
      </c>
      <c r="AO83" s="85">
        <f t="shared" si="25"/>
        <v>0</v>
      </c>
      <c r="AP83" s="85">
        <f t="shared" si="25"/>
        <v>0</v>
      </c>
      <c r="AQ83" s="85">
        <f t="shared" si="25"/>
        <v>0</v>
      </c>
      <c r="AR83" s="85">
        <f t="shared" si="25"/>
        <v>0</v>
      </c>
      <c r="AS83" s="85">
        <f t="shared" si="25"/>
        <v>0</v>
      </c>
      <c r="AT83" s="85">
        <f t="shared" si="25"/>
        <v>0</v>
      </c>
      <c r="AU83" s="85">
        <f t="shared" si="25"/>
        <v>0</v>
      </c>
      <c r="AV83" s="85">
        <f t="shared" si="25"/>
        <v>0</v>
      </c>
      <c r="AW83" s="85">
        <f t="shared" si="25"/>
        <v>0</v>
      </c>
      <c r="AX83" s="85">
        <f t="shared" si="25"/>
        <v>0</v>
      </c>
      <c r="AY83" s="85">
        <f t="shared" si="25"/>
        <v>0</v>
      </c>
      <c r="AZ83" s="85">
        <f t="shared" si="25"/>
        <v>0</v>
      </c>
    </row>
    <row r="84" spans="1:52" s="140" customFormat="1" x14ac:dyDescent="0.2">
      <c r="A84" s="137"/>
      <c r="B84" s="145"/>
      <c r="C84" s="146"/>
      <c r="D84" s="139"/>
      <c r="E84" s="140" t="str">
        <f xml:space="preserve"> E83 &amp; " total"</f>
        <v>Construction debt converted to term total</v>
      </c>
      <c r="F84" s="248">
        <f xml:space="preserve"> SUM(J83:AZ83)</f>
        <v>322723.95574629982</v>
      </c>
      <c r="G84" s="140" t="str">
        <f xml:space="preserve"> SMU</f>
        <v>€ 000s</v>
      </c>
      <c r="AF84" s="248"/>
    </row>
    <row r="86" spans="1:52" s="317" customFormat="1" x14ac:dyDescent="0.2">
      <c r="A86" s="313"/>
      <c r="B86" s="314"/>
      <c r="C86" s="315"/>
      <c r="D86" s="316"/>
      <c r="E86" s="317" t="s">
        <v>210</v>
      </c>
      <c r="J86" s="317">
        <f xml:space="preserve"> I89</f>
        <v>0</v>
      </c>
      <c r="K86" s="317">
        <f t="shared" ref="K86:AZ86" si="26" xml:space="preserve"> J89</f>
        <v>57720</v>
      </c>
      <c r="L86" s="317">
        <f t="shared" si="26"/>
        <v>66467.395333333334</v>
      </c>
      <c r="M86" s="317">
        <f t="shared" si="26"/>
        <v>75238.031216999996</v>
      </c>
      <c r="N86" s="317">
        <f t="shared" si="26"/>
        <v>84048.978074692772</v>
      </c>
      <c r="O86" s="317">
        <f t="shared" si="26"/>
        <v>92881.149497954204</v>
      </c>
      <c r="P86" s="317">
        <f t="shared" si="26"/>
        <v>101756.10166807733</v>
      </c>
      <c r="Q86" s="317">
        <f t="shared" si="26"/>
        <v>110663.25019246207</v>
      </c>
      <c r="R86" s="317">
        <f t="shared" si="26"/>
        <v>119588.5715681357</v>
      </c>
      <c r="S86" s="317">
        <f t="shared" si="26"/>
        <v>128560.41233054677</v>
      </c>
      <c r="T86" s="317">
        <f t="shared" si="26"/>
        <v>137548.37377370367</v>
      </c>
      <c r="U86" s="317">
        <f t="shared" si="26"/>
        <v>146585.36870744938</v>
      </c>
      <c r="V86" s="317">
        <f t="shared" si="26"/>
        <v>155655.14785059364</v>
      </c>
      <c r="W86" s="317">
        <f t="shared" si="26"/>
        <v>164698.16233028666</v>
      </c>
      <c r="X86" s="317">
        <f t="shared" si="26"/>
        <v>173833.65066362932</v>
      </c>
      <c r="Y86" s="317">
        <f t="shared" si="26"/>
        <v>182980.06844095202</v>
      </c>
      <c r="Z86" s="317">
        <f t="shared" si="26"/>
        <v>192181.87946701836</v>
      </c>
      <c r="AA86" s="317">
        <f t="shared" si="26"/>
        <v>201392.51604515291</v>
      </c>
      <c r="AB86" s="317">
        <f t="shared" si="26"/>
        <v>210661.12333947228</v>
      </c>
      <c r="AC86" s="317">
        <f t="shared" si="26"/>
        <v>219963.35508136492</v>
      </c>
      <c r="AD86" s="317">
        <f t="shared" si="26"/>
        <v>229271.22682414969</v>
      </c>
      <c r="AE86" s="317">
        <f t="shared" si="26"/>
        <v>238640.97188590618</v>
      </c>
      <c r="AF86" s="317">
        <f t="shared" si="26"/>
        <v>248014.21528750684</v>
      </c>
      <c r="AG86" s="317">
        <f t="shared" si="26"/>
        <v>0</v>
      </c>
      <c r="AH86" s="317">
        <f t="shared" si="26"/>
        <v>0</v>
      </c>
      <c r="AI86" s="317">
        <f t="shared" si="26"/>
        <v>0</v>
      </c>
      <c r="AJ86" s="317">
        <f t="shared" si="26"/>
        <v>0</v>
      </c>
      <c r="AK86" s="317">
        <f t="shared" si="26"/>
        <v>0</v>
      </c>
      <c r="AL86" s="317">
        <f t="shared" si="26"/>
        <v>0</v>
      </c>
      <c r="AM86" s="317">
        <f t="shared" si="26"/>
        <v>0</v>
      </c>
      <c r="AN86" s="317">
        <f t="shared" si="26"/>
        <v>0</v>
      </c>
      <c r="AO86" s="317">
        <f t="shared" si="26"/>
        <v>0</v>
      </c>
      <c r="AP86" s="317">
        <f t="shared" si="26"/>
        <v>0</v>
      </c>
      <c r="AQ86" s="317">
        <f t="shared" si="26"/>
        <v>0</v>
      </c>
      <c r="AR86" s="317">
        <f t="shared" si="26"/>
        <v>0</v>
      </c>
      <c r="AS86" s="317">
        <f t="shared" si="26"/>
        <v>0</v>
      </c>
      <c r="AT86" s="317">
        <f t="shared" si="26"/>
        <v>0</v>
      </c>
      <c r="AU86" s="317">
        <f t="shared" si="26"/>
        <v>0</v>
      </c>
      <c r="AV86" s="317">
        <f t="shared" si="26"/>
        <v>0</v>
      </c>
      <c r="AW86" s="317">
        <f t="shared" si="26"/>
        <v>0</v>
      </c>
      <c r="AX86" s="317">
        <f t="shared" si="26"/>
        <v>0</v>
      </c>
      <c r="AY86" s="317">
        <f t="shared" si="26"/>
        <v>0</v>
      </c>
      <c r="AZ86" s="317">
        <f t="shared" si="26"/>
        <v>0</v>
      </c>
    </row>
    <row r="87" spans="1:52" s="122" customFormat="1" x14ac:dyDescent="0.2">
      <c r="A87" s="119"/>
      <c r="B87" s="166"/>
      <c r="C87" s="167"/>
      <c r="D87" s="121" t="s">
        <v>23</v>
      </c>
      <c r="E87" s="122" t="str">
        <f xml:space="preserve"> E$78</f>
        <v>Construction debt draws</v>
      </c>
      <c r="F87" s="122">
        <f t="shared" ref="F87:AZ87" si="27" xml:space="preserve"> F$78</f>
        <v>0</v>
      </c>
      <c r="G87" s="122">
        <f t="shared" si="27"/>
        <v>0</v>
      </c>
      <c r="H87" s="122">
        <f t="shared" si="27"/>
        <v>322723.95574629982</v>
      </c>
      <c r="I87" s="122">
        <f t="shared" si="27"/>
        <v>0</v>
      </c>
      <c r="J87" s="122">
        <f t="shared" si="27"/>
        <v>57720</v>
      </c>
      <c r="K87" s="122">
        <f t="shared" si="27"/>
        <v>8747.3953333333338</v>
      </c>
      <c r="L87" s="122">
        <f t="shared" si="27"/>
        <v>8770.6358836666677</v>
      </c>
      <c r="M87" s="122">
        <f t="shared" si="27"/>
        <v>8810.9468576927829</v>
      </c>
      <c r="N87" s="122">
        <f t="shared" si="27"/>
        <v>8832.1714232614249</v>
      </c>
      <c r="O87" s="122">
        <f t="shared" si="27"/>
        <v>8874.9521701231333</v>
      </c>
      <c r="P87" s="122">
        <f t="shared" si="27"/>
        <v>8907.1485243847474</v>
      </c>
      <c r="Q87" s="122">
        <f t="shared" si="27"/>
        <v>8925.3213756736186</v>
      </c>
      <c r="R87" s="122">
        <f t="shared" si="27"/>
        <v>8971.8407624110696</v>
      </c>
      <c r="S87" s="122">
        <f t="shared" si="27"/>
        <v>8987.9614431569134</v>
      </c>
      <c r="T87" s="122">
        <f t="shared" si="27"/>
        <v>9036.9949337457128</v>
      </c>
      <c r="U87" s="122">
        <f t="shared" si="27"/>
        <v>9069.7791431442474</v>
      </c>
      <c r="V87" s="122">
        <f t="shared" si="27"/>
        <v>9043.0144796930381</v>
      </c>
      <c r="W87" s="122">
        <f t="shared" si="27"/>
        <v>9135.4883333426515</v>
      </c>
      <c r="X87" s="122">
        <f t="shared" si="27"/>
        <v>9146.4177773227038</v>
      </c>
      <c r="Y87" s="122">
        <f t="shared" si="27"/>
        <v>9201.8110260663434</v>
      </c>
      <c r="Z87" s="122">
        <f t="shared" si="27"/>
        <v>9210.6365781345648</v>
      </c>
      <c r="AA87" s="122">
        <f t="shared" si="27"/>
        <v>9268.6072943193612</v>
      </c>
      <c r="AB87" s="122">
        <f t="shared" si="27"/>
        <v>9302.2317418926414</v>
      </c>
      <c r="AC87" s="122">
        <f t="shared" si="27"/>
        <v>9307.8717427847787</v>
      </c>
      <c r="AD87" s="122">
        <f t="shared" si="27"/>
        <v>9369.7450617564991</v>
      </c>
      <c r="AE87" s="122">
        <f t="shared" si="27"/>
        <v>9373.2434016006719</v>
      </c>
      <c r="AF87" s="122">
        <f t="shared" si="27"/>
        <v>74709.740458793007</v>
      </c>
      <c r="AG87" s="122">
        <f t="shared" si="27"/>
        <v>0</v>
      </c>
      <c r="AH87" s="122">
        <f t="shared" si="27"/>
        <v>0</v>
      </c>
      <c r="AI87" s="122">
        <f t="shared" si="27"/>
        <v>0</v>
      </c>
      <c r="AJ87" s="122">
        <f t="shared" si="27"/>
        <v>0</v>
      </c>
      <c r="AK87" s="122">
        <f t="shared" si="27"/>
        <v>0</v>
      </c>
      <c r="AL87" s="122">
        <f t="shared" si="27"/>
        <v>0</v>
      </c>
      <c r="AM87" s="122">
        <f t="shared" si="27"/>
        <v>0</v>
      </c>
      <c r="AN87" s="122">
        <f t="shared" si="27"/>
        <v>0</v>
      </c>
      <c r="AO87" s="122">
        <f t="shared" si="27"/>
        <v>0</v>
      </c>
      <c r="AP87" s="122">
        <f t="shared" si="27"/>
        <v>0</v>
      </c>
      <c r="AQ87" s="122">
        <f t="shared" si="27"/>
        <v>0</v>
      </c>
      <c r="AR87" s="122">
        <f t="shared" si="27"/>
        <v>0</v>
      </c>
      <c r="AS87" s="122">
        <f t="shared" si="27"/>
        <v>0</v>
      </c>
      <c r="AT87" s="122">
        <f t="shared" si="27"/>
        <v>0</v>
      </c>
      <c r="AU87" s="122">
        <f t="shared" si="27"/>
        <v>0</v>
      </c>
      <c r="AV87" s="122">
        <f t="shared" si="27"/>
        <v>0</v>
      </c>
      <c r="AW87" s="122">
        <f t="shared" si="27"/>
        <v>0</v>
      </c>
      <c r="AX87" s="122">
        <f t="shared" si="27"/>
        <v>0</v>
      </c>
      <c r="AY87" s="122">
        <f t="shared" si="27"/>
        <v>0</v>
      </c>
      <c r="AZ87" s="122">
        <f t="shared" si="27"/>
        <v>0</v>
      </c>
    </row>
    <row r="88" spans="1:52" s="124" customFormat="1" x14ac:dyDescent="0.2">
      <c r="A88" s="166"/>
      <c r="B88" s="166"/>
      <c r="C88" s="167"/>
      <c r="D88" s="168" t="s">
        <v>24</v>
      </c>
      <c r="E88" s="124" t="str">
        <f>E$83</f>
        <v>Construction debt converted to term</v>
      </c>
      <c r="F88" s="124">
        <f t="shared" ref="F88:AZ88" si="28">F$83</f>
        <v>0</v>
      </c>
      <c r="G88" s="124">
        <f t="shared" si="28"/>
        <v>0</v>
      </c>
      <c r="H88" s="124">
        <f t="shared" si="28"/>
        <v>322723.95574629982</v>
      </c>
      <c r="I88" s="124">
        <f t="shared" si="28"/>
        <v>0</v>
      </c>
      <c r="J88" s="124">
        <f t="shared" si="28"/>
        <v>0</v>
      </c>
      <c r="K88" s="124">
        <f t="shared" si="28"/>
        <v>0</v>
      </c>
      <c r="L88" s="124">
        <f t="shared" si="28"/>
        <v>0</v>
      </c>
      <c r="M88" s="124">
        <f t="shared" si="28"/>
        <v>0</v>
      </c>
      <c r="N88" s="124">
        <f t="shared" si="28"/>
        <v>0</v>
      </c>
      <c r="O88" s="124">
        <f t="shared" si="28"/>
        <v>0</v>
      </c>
      <c r="P88" s="124">
        <f t="shared" si="28"/>
        <v>0</v>
      </c>
      <c r="Q88" s="124">
        <f t="shared" si="28"/>
        <v>0</v>
      </c>
      <c r="R88" s="124">
        <f t="shared" si="28"/>
        <v>0</v>
      </c>
      <c r="S88" s="124">
        <f t="shared" si="28"/>
        <v>0</v>
      </c>
      <c r="T88" s="124">
        <f t="shared" si="28"/>
        <v>0</v>
      </c>
      <c r="U88" s="124">
        <f t="shared" si="28"/>
        <v>0</v>
      </c>
      <c r="V88" s="124">
        <f t="shared" si="28"/>
        <v>0</v>
      </c>
      <c r="W88" s="124">
        <f t="shared" si="28"/>
        <v>0</v>
      </c>
      <c r="X88" s="124">
        <f t="shared" si="28"/>
        <v>0</v>
      </c>
      <c r="Y88" s="124">
        <f t="shared" si="28"/>
        <v>0</v>
      </c>
      <c r="Z88" s="124">
        <f t="shared" si="28"/>
        <v>0</v>
      </c>
      <c r="AA88" s="124">
        <f t="shared" si="28"/>
        <v>0</v>
      </c>
      <c r="AB88" s="124">
        <f t="shared" si="28"/>
        <v>0</v>
      </c>
      <c r="AC88" s="124">
        <f t="shared" si="28"/>
        <v>0</v>
      </c>
      <c r="AD88" s="124">
        <f t="shared" si="28"/>
        <v>0</v>
      </c>
      <c r="AE88" s="124">
        <f t="shared" si="28"/>
        <v>0</v>
      </c>
      <c r="AF88" s="124">
        <f t="shared" si="28"/>
        <v>322723.95574629982</v>
      </c>
      <c r="AG88" s="124">
        <f t="shared" si="28"/>
        <v>0</v>
      </c>
      <c r="AH88" s="124">
        <f t="shared" si="28"/>
        <v>0</v>
      </c>
      <c r="AI88" s="124">
        <f t="shared" si="28"/>
        <v>0</v>
      </c>
      <c r="AJ88" s="124">
        <f t="shared" si="28"/>
        <v>0</v>
      </c>
      <c r="AK88" s="124">
        <f t="shared" si="28"/>
        <v>0</v>
      </c>
      <c r="AL88" s="124">
        <f t="shared" si="28"/>
        <v>0</v>
      </c>
      <c r="AM88" s="124">
        <f t="shared" si="28"/>
        <v>0</v>
      </c>
      <c r="AN88" s="124">
        <f t="shared" si="28"/>
        <v>0</v>
      </c>
      <c r="AO88" s="124">
        <f t="shared" si="28"/>
        <v>0</v>
      </c>
      <c r="AP88" s="124">
        <f t="shared" si="28"/>
        <v>0</v>
      </c>
      <c r="AQ88" s="124">
        <f t="shared" si="28"/>
        <v>0</v>
      </c>
      <c r="AR88" s="124">
        <f t="shared" si="28"/>
        <v>0</v>
      </c>
      <c r="AS88" s="124">
        <f t="shared" si="28"/>
        <v>0</v>
      </c>
      <c r="AT88" s="124">
        <f t="shared" si="28"/>
        <v>0</v>
      </c>
      <c r="AU88" s="124">
        <f t="shared" si="28"/>
        <v>0</v>
      </c>
      <c r="AV88" s="124">
        <f t="shared" si="28"/>
        <v>0</v>
      </c>
      <c r="AW88" s="124">
        <f t="shared" si="28"/>
        <v>0</v>
      </c>
      <c r="AX88" s="124">
        <f t="shared" si="28"/>
        <v>0</v>
      </c>
      <c r="AY88" s="124">
        <f t="shared" si="28"/>
        <v>0</v>
      </c>
      <c r="AZ88" s="124">
        <f t="shared" si="28"/>
        <v>0</v>
      </c>
    </row>
    <row r="89" spans="1:52" s="322" customFormat="1" ht="13.5" thickBot="1" x14ac:dyDescent="0.25">
      <c r="A89" s="318"/>
      <c r="B89" s="319"/>
      <c r="C89" s="320"/>
      <c r="D89" s="321"/>
      <c r="E89" s="322" t="s">
        <v>210</v>
      </c>
      <c r="J89" s="322">
        <f xml:space="preserve"> J86 + J87 - J88</f>
        <v>57720</v>
      </c>
      <c r="K89" s="322">
        <f t="shared" ref="K89:AZ89" si="29" xml:space="preserve"> K86 + K87 - K88</f>
        <v>66467.395333333334</v>
      </c>
      <c r="L89" s="322">
        <f t="shared" si="29"/>
        <v>75238.031216999996</v>
      </c>
      <c r="M89" s="322">
        <f t="shared" si="29"/>
        <v>84048.978074692772</v>
      </c>
      <c r="N89" s="322">
        <f t="shared" si="29"/>
        <v>92881.149497954204</v>
      </c>
      <c r="O89" s="322">
        <f t="shared" si="29"/>
        <v>101756.10166807733</v>
      </c>
      <c r="P89" s="322">
        <f t="shared" si="29"/>
        <v>110663.25019246207</v>
      </c>
      <c r="Q89" s="322">
        <f t="shared" si="29"/>
        <v>119588.5715681357</v>
      </c>
      <c r="R89" s="322">
        <f t="shared" si="29"/>
        <v>128560.41233054677</v>
      </c>
      <c r="S89" s="322">
        <f t="shared" si="29"/>
        <v>137548.37377370367</v>
      </c>
      <c r="T89" s="322">
        <f t="shared" si="29"/>
        <v>146585.36870744938</v>
      </c>
      <c r="U89" s="322">
        <f t="shared" si="29"/>
        <v>155655.14785059364</v>
      </c>
      <c r="V89" s="322">
        <f t="shared" si="29"/>
        <v>164698.16233028666</v>
      </c>
      <c r="W89" s="322">
        <f t="shared" si="29"/>
        <v>173833.65066362932</v>
      </c>
      <c r="X89" s="322">
        <f t="shared" si="29"/>
        <v>182980.06844095202</v>
      </c>
      <c r="Y89" s="322">
        <f t="shared" si="29"/>
        <v>192181.87946701836</v>
      </c>
      <c r="Z89" s="322">
        <f t="shared" si="29"/>
        <v>201392.51604515291</v>
      </c>
      <c r="AA89" s="322">
        <f t="shared" si="29"/>
        <v>210661.12333947228</v>
      </c>
      <c r="AB89" s="322">
        <f t="shared" si="29"/>
        <v>219963.35508136492</v>
      </c>
      <c r="AC89" s="322">
        <f t="shared" si="29"/>
        <v>229271.22682414969</v>
      </c>
      <c r="AD89" s="322">
        <f t="shared" si="29"/>
        <v>238640.97188590618</v>
      </c>
      <c r="AE89" s="322">
        <f t="shared" si="29"/>
        <v>248014.21528750684</v>
      </c>
      <c r="AF89" s="322">
        <f t="shared" si="29"/>
        <v>0</v>
      </c>
      <c r="AG89" s="322">
        <f t="shared" si="29"/>
        <v>0</v>
      </c>
      <c r="AH89" s="322">
        <f t="shared" si="29"/>
        <v>0</v>
      </c>
      <c r="AI89" s="322">
        <f t="shared" si="29"/>
        <v>0</v>
      </c>
      <c r="AJ89" s="322">
        <f t="shared" si="29"/>
        <v>0</v>
      </c>
      <c r="AK89" s="322">
        <f t="shared" si="29"/>
        <v>0</v>
      </c>
      <c r="AL89" s="322">
        <f t="shared" si="29"/>
        <v>0</v>
      </c>
      <c r="AM89" s="322">
        <f t="shared" si="29"/>
        <v>0</v>
      </c>
      <c r="AN89" s="322">
        <f t="shared" si="29"/>
        <v>0</v>
      </c>
      <c r="AO89" s="322">
        <f t="shared" si="29"/>
        <v>0</v>
      </c>
      <c r="AP89" s="322">
        <f t="shared" si="29"/>
        <v>0</v>
      </c>
      <c r="AQ89" s="322">
        <f t="shared" si="29"/>
        <v>0</v>
      </c>
      <c r="AR89" s="322">
        <f t="shared" si="29"/>
        <v>0</v>
      </c>
      <c r="AS89" s="322">
        <f t="shared" si="29"/>
        <v>0</v>
      </c>
      <c r="AT89" s="322">
        <f t="shared" si="29"/>
        <v>0</v>
      </c>
      <c r="AU89" s="322">
        <f t="shared" si="29"/>
        <v>0</v>
      </c>
      <c r="AV89" s="322">
        <f t="shared" si="29"/>
        <v>0</v>
      </c>
      <c r="AW89" s="322">
        <f t="shared" si="29"/>
        <v>0</v>
      </c>
      <c r="AX89" s="322">
        <f t="shared" si="29"/>
        <v>0</v>
      </c>
      <c r="AY89" s="322">
        <f t="shared" si="29"/>
        <v>0</v>
      </c>
      <c r="AZ89" s="322">
        <f t="shared" si="29"/>
        <v>0</v>
      </c>
    </row>
    <row r="90" spans="1:52" ht="13.5" thickTop="1" x14ac:dyDescent="0.2"/>
    <row r="92" spans="1:52" x14ac:dyDescent="0.2">
      <c r="A92" s="81" t="s">
        <v>214</v>
      </c>
    </row>
    <row r="94" spans="1:52" x14ac:dyDescent="0.2">
      <c r="E94" s="85" t="str">
        <f xml:space="preserve"> E$74</f>
        <v>Sources / Uses of cash</v>
      </c>
      <c r="F94" s="85">
        <f t="shared" ref="F94:AZ94" si="30" xml:space="preserve"> F$74</f>
        <v>0</v>
      </c>
      <c r="G94" s="85">
        <f t="shared" si="30"/>
        <v>0</v>
      </c>
      <c r="H94" s="85">
        <f t="shared" si="30"/>
        <v>403404.94468287478</v>
      </c>
      <c r="I94" s="85">
        <f t="shared" si="30"/>
        <v>0</v>
      </c>
      <c r="J94" s="85">
        <f t="shared" si="30"/>
        <v>72150</v>
      </c>
      <c r="K94" s="85">
        <f t="shared" si="30"/>
        <v>10934.244166666667</v>
      </c>
      <c r="L94" s="85">
        <f t="shared" si="30"/>
        <v>10963.294854583333</v>
      </c>
      <c r="M94" s="85">
        <f t="shared" si="30"/>
        <v>11013.683572115979</v>
      </c>
      <c r="N94" s="85">
        <f t="shared" si="30"/>
        <v>11040.214279076781</v>
      </c>
      <c r="O94" s="85">
        <f t="shared" si="30"/>
        <v>11093.690212653917</v>
      </c>
      <c r="P94" s="85">
        <f t="shared" si="30"/>
        <v>11133.935655480935</v>
      </c>
      <c r="Q94" s="85">
        <f t="shared" si="30"/>
        <v>11156.651719592022</v>
      </c>
      <c r="R94" s="85">
        <f t="shared" si="30"/>
        <v>11214.800953013837</v>
      </c>
      <c r="S94" s="85">
        <f t="shared" si="30"/>
        <v>11234.951803946142</v>
      </c>
      <c r="T94" s="85">
        <f t="shared" si="30"/>
        <v>11296.243667182142</v>
      </c>
      <c r="U94" s="85">
        <f t="shared" si="30"/>
        <v>11337.223928930309</v>
      </c>
      <c r="V94" s="85">
        <f t="shared" si="30"/>
        <v>11303.768099616296</v>
      </c>
      <c r="W94" s="85">
        <f t="shared" si="30"/>
        <v>11419.360416678313</v>
      </c>
      <c r="X94" s="85">
        <f t="shared" si="30"/>
        <v>11433.022221653378</v>
      </c>
      <c r="Y94" s="85">
        <f t="shared" si="30"/>
        <v>11502.263782582928</v>
      </c>
      <c r="Z94" s="85">
        <f t="shared" si="30"/>
        <v>11513.295722668205</v>
      </c>
      <c r="AA94" s="85">
        <f t="shared" si="30"/>
        <v>11585.759117899201</v>
      </c>
      <c r="AB94" s="85">
        <f t="shared" si="30"/>
        <v>11627.789677365801</v>
      </c>
      <c r="AC94" s="85">
        <f t="shared" si="30"/>
        <v>11634.839678480972</v>
      </c>
      <c r="AD94" s="85">
        <f t="shared" si="30"/>
        <v>11712.181327195623</v>
      </c>
      <c r="AE94" s="85">
        <f t="shared" si="30"/>
        <v>11716.554252000838</v>
      </c>
      <c r="AF94" s="85">
        <f t="shared" si="30"/>
        <v>93387.175573491259</v>
      </c>
      <c r="AG94" s="85">
        <f t="shared" si="30"/>
        <v>0</v>
      </c>
      <c r="AH94" s="85">
        <f t="shared" si="30"/>
        <v>0</v>
      </c>
      <c r="AI94" s="85">
        <f t="shared" si="30"/>
        <v>0</v>
      </c>
      <c r="AJ94" s="85">
        <f t="shared" si="30"/>
        <v>0</v>
      </c>
      <c r="AK94" s="85">
        <f t="shared" si="30"/>
        <v>0</v>
      </c>
      <c r="AL94" s="85">
        <f t="shared" si="30"/>
        <v>0</v>
      </c>
      <c r="AM94" s="85">
        <f t="shared" si="30"/>
        <v>0</v>
      </c>
      <c r="AN94" s="85">
        <f t="shared" si="30"/>
        <v>0</v>
      </c>
      <c r="AO94" s="85">
        <f t="shared" si="30"/>
        <v>0</v>
      </c>
      <c r="AP94" s="85">
        <f t="shared" si="30"/>
        <v>0</v>
      </c>
      <c r="AQ94" s="85">
        <f t="shared" si="30"/>
        <v>0</v>
      </c>
      <c r="AR94" s="85">
        <f t="shared" si="30"/>
        <v>0</v>
      </c>
      <c r="AS94" s="85">
        <f t="shared" si="30"/>
        <v>0</v>
      </c>
      <c r="AT94" s="85">
        <f t="shared" si="30"/>
        <v>0</v>
      </c>
      <c r="AU94" s="85">
        <f t="shared" si="30"/>
        <v>0</v>
      </c>
      <c r="AV94" s="85">
        <f t="shared" si="30"/>
        <v>0</v>
      </c>
      <c r="AW94" s="85">
        <f t="shared" si="30"/>
        <v>0</v>
      </c>
      <c r="AX94" s="85">
        <f t="shared" si="30"/>
        <v>0</v>
      </c>
      <c r="AY94" s="85">
        <f t="shared" si="30"/>
        <v>0</v>
      </c>
      <c r="AZ94" s="85">
        <f t="shared" si="30"/>
        <v>0</v>
      </c>
    </row>
    <row r="95" spans="1:52" s="122" customFormat="1" x14ac:dyDescent="0.2">
      <c r="A95" s="119"/>
      <c r="B95" s="166"/>
      <c r="C95" s="167"/>
      <c r="D95" s="121" t="s">
        <v>24</v>
      </c>
      <c r="E95" s="122" t="str">
        <f xml:space="preserve"> E$78</f>
        <v>Construction debt draws</v>
      </c>
      <c r="F95" s="122">
        <f t="shared" ref="F95:AZ95" si="31" xml:space="preserve"> F$78</f>
        <v>0</v>
      </c>
      <c r="G95" s="122">
        <f t="shared" si="31"/>
        <v>0</v>
      </c>
      <c r="H95" s="122">
        <f t="shared" si="31"/>
        <v>322723.95574629982</v>
      </c>
      <c r="I95" s="122">
        <f t="shared" si="31"/>
        <v>0</v>
      </c>
      <c r="J95" s="122">
        <f t="shared" si="31"/>
        <v>57720</v>
      </c>
      <c r="K95" s="122">
        <f t="shared" si="31"/>
        <v>8747.3953333333338</v>
      </c>
      <c r="L95" s="122">
        <f t="shared" si="31"/>
        <v>8770.6358836666677</v>
      </c>
      <c r="M95" s="122">
        <f t="shared" si="31"/>
        <v>8810.9468576927829</v>
      </c>
      <c r="N95" s="122">
        <f t="shared" si="31"/>
        <v>8832.1714232614249</v>
      </c>
      <c r="O95" s="122">
        <f t="shared" si="31"/>
        <v>8874.9521701231333</v>
      </c>
      <c r="P95" s="122">
        <f t="shared" si="31"/>
        <v>8907.1485243847474</v>
      </c>
      <c r="Q95" s="122">
        <f t="shared" si="31"/>
        <v>8925.3213756736186</v>
      </c>
      <c r="R95" s="122">
        <f t="shared" si="31"/>
        <v>8971.8407624110696</v>
      </c>
      <c r="S95" s="122">
        <f t="shared" si="31"/>
        <v>8987.9614431569134</v>
      </c>
      <c r="T95" s="122">
        <f t="shared" si="31"/>
        <v>9036.9949337457128</v>
      </c>
      <c r="U95" s="122">
        <f t="shared" si="31"/>
        <v>9069.7791431442474</v>
      </c>
      <c r="V95" s="122">
        <f t="shared" si="31"/>
        <v>9043.0144796930381</v>
      </c>
      <c r="W95" s="122">
        <f t="shared" si="31"/>
        <v>9135.4883333426515</v>
      </c>
      <c r="X95" s="122">
        <f t="shared" si="31"/>
        <v>9146.4177773227038</v>
      </c>
      <c r="Y95" s="122">
        <f t="shared" si="31"/>
        <v>9201.8110260663434</v>
      </c>
      <c r="Z95" s="122">
        <f t="shared" si="31"/>
        <v>9210.6365781345648</v>
      </c>
      <c r="AA95" s="122">
        <f t="shared" si="31"/>
        <v>9268.6072943193612</v>
      </c>
      <c r="AB95" s="122">
        <f t="shared" si="31"/>
        <v>9302.2317418926414</v>
      </c>
      <c r="AC95" s="122">
        <f t="shared" si="31"/>
        <v>9307.8717427847787</v>
      </c>
      <c r="AD95" s="122">
        <f t="shared" si="31"/>
        <v>9369.7450617564991</v>
      </c>
      <c r="AE95" s="122">
        <f t="shared" si="31"/>
        <v>9373.2434016006719</v>
      </c>
      <c r="AF95" s="122">
        <f t="shared" si="31"/>
        <v>74709.740458793007</v>
      </c>
      <c r="AG95" s="122">
        <f t="shared" si="31"/>
        <v>0</v>
      </c>
      <c r="AH95" s="122">
        <f t="shared" si="31"/>
        <v>0</v>
      </c>
      <c r="AI95" s="122">
        <f t="shared" si="31"/>
        <v>0</v>
      </c>
      <c r="AJ95" s="122">
        <f t="shared" si="31"/>
        <v>0</v>
      </c>
      <c r="AK95" s="122">
        <f t="shared" si="31"/>
        <v>0</v>
      </c>
      <c r="AL95" s="122">
        <f t="shared" si="31"/>
        <v>0</v>
      </c>
      <c r="AM95" s="122">
        <f t="shared" si="31"/>
        <v>0</v>
      </c>
      <c r="AN95" s="122">
        <f t="shared" si="31"/>
        <v>0</v>
      </c>
      <c r="AO95" s="122">
        <f t="shared" si="31"/>
        <v>0</v>
      </c>
      <c r="AP95" s="122">
        <f t="shared" si="31"/>
        <v>0</v>
      </c>
      <c r="AQ95" s="122">
        <f t="shared" si="31"/>
        <v>0</v>
      </c>
      <c r="AR95" s="122">
        <f t="shared" si="31"/>
        <v>0</v>
      </c>
      <c r="AS95" s="122">
        <f t="shared" si="31"/>
        <v>0</v>
      </c>
      <c r="AT95" s="122">
        <f t="shared" si="31"/>
        <v>0</v>
      </c>
      <c r="AU95" s="122">
        <f t="shared" si="31"/>
        <v>0</v>
      </c>
      <c r="AV95" s="122">
        <f t="shared" si="31"/>
        <v>0</v>
      </c>
      <c r="AW95" s="122">
        <f t="shared" si="31"/>
        <v>0</v>
      </c>
      <c r="AX95" s="122">
        <f t="shared" si="31"/>
        <v>0</v>
      </c>
      <c r="AY95" s="122">
        <f t="shared" si="31"/>
        <v>0</v>
      </c>
      <c r="AZ95" s="122">
        <f t="shared" si="31"/>
        <v>0</v>
      </c>
    </row>
    <row r="96" spans="1:52" x14ac:dyDescent="0.2">
      <c r="E96" s="85" t="s">
        <v>215</v>
      </c>
      <c r="H96" s="85">
        <f>SUM(J96:AZ96)</f>
        <v>80680.988936574955</v>
      </c>
      <c r="J96" s="85">
        <f xml:space="preserve"> J94 - J95</f>
        <v>14430</v>
      </c>
      <c r="K96" s="85">
        <f t="shared" ref="K96:AZ96" si="32" xml:space="preserve"> K94 - K95</f>
        <v>2186.8488333333335</v>
      </c>
      <c r="L96" s="85">
        <f t="shared" si="32"/>
        <v>2192.6589709166656</v>
      </c>
      <c r="M96" s="85">
        <f t="shared" si="32"/>
        <v>2202.7367144231957</v>
      </c>
      <c r="N96" s="85">
        <f t="shared" si="32"/>
        <v>2208.0428558153562</v>
      </c>
      <c r="O96" s="85">
        <f t="shared" si="32"/>
        <v>2218.7380425307838</v>
      </c>
      <c r="P96" s="85">
        <f t="shared" si="32"/>
        <v>2226.7871310961873</v>
      </c>
      <c r="Q96" s="85">
        <f t="shared" si="32"/>
        <v>2231.3303439184037</v>
      </c>
      <c r="R96" s="85">
        <f t="shared" si="32"/>
        <v>2242.9601906027674</v>
      </c>
      <c r="S96" s="85">
        <f t="shared" si="32"/>
        <v>2246.9903607892284</v>
      </c>
      <c r="T96" s="85">
        <f t="shared" si="32"/>
        <v>2259.2487334364287</v>
      </c>
      <c r="U96" s="85">
        <f t="shared" si="32"/>
        <v>2267.4447857860614</v>
      </c>
      <c r="V96" s="85">
        <f t="shared" si="32"/>
        <v>2260.7536199232582</v>
      </c>
      <c r="W96" s="85">
        <f t="shared" si="32"/>
        <v>2283.872083335662</v>
      </c>
      <c r="X96" s="85">
        <f t="shared" si="32"/>
        <v>2286.6044443306746</v>
      </c>
      <c r="Y96" s="85">
        <f t="shared" si="32"/>
        <v>2300.4527565165845</v>
      </c>
      <c r="Z96" s="85">
        <f t="shared" si="32"/>
        <v>2302.6591445336398</v>
      </c>
      <c r="AA96" s="85">
        <f t="shared" si="32"/>
        <v>2317.1518235798394</v>
      </c>
      <c r="AB96" s="85">
        <f t="shared" si="32"/>
        <v>2325.5579354731599</v>
      </c>
      <c r="AC96" s="85">
        <f t="shared" si="32"/>
        <v>2326.9679356961933</v>
      </c>
      <c r="AD96" s="85">
        <f t="shared" si="32"/>
        <v>2342.4362654391243</v>
      </c>
      <c r="AE96" s="85">
        <f t="shared" si="32"/>
        <v>2343.3108504001666</v>
      </c>
      <c r="AF96" s="85">
        <f t="shared" si="32"/>
        <v>18677.435114698252</v>
      </c>
      <c r="AG96" s="85">
        <f t="shared" si="32"/>
        <v>0</v>
      </c>
      <c r="AH96" s="85">
        <f t="shared" si="32"/>
        <v>0</v>
      </c>
      <c r="AI96" s="85">
        <f t="shared" si="32"/>
        <v>0</v>
      </c>
      <c r="AJ96" s="85">
        <f t="shared" si="32"/>
        <v>0</v>
      </c>
      <c r="AK96" s="85">
        <f t="shared" si="32"/>
        <v>0</v>
      </c>
      <c r="AL96" s="85">
        <f t="shared" si="32"/>
        <v>0</v>
      </c>
      <c r="AM96" s="85">
        <f t="shared" si="32"/>
        <v>0</v>
      </c>
      <c r="AN96" s="85">
        <f t="shared" si="32"/>
        <v>0</v>
      </c>
      <c r="AO96" s="85">
        <f t="shared" si="32"/>
        <v>0</v>
      </c>
      <c r="AP96" s="85">
        <f t="shared" si="32"/>
        <v>0</v>
      </c>
      <c r="AQ96" s="85">
        <f t="shared" si="32"/>
        <v>0</v>
      </c>
      <c r="AR96" s="85">
        <f t="shared" si="32"/>
        <v>0</v>
      </c>
      <c r="AS96" s="85">
        <f t="shared" si="32"/>
        <v>0</v>
      </c>
      <c r="AT96" s="85">
        <f t="shared" si="32"/>
        <v>0</v>
      </c>
      <c r="AU96" s="85">
        <f t="shared" si="32"/>
        <v>0</v>
      </c>
      <c r="AV96" s="85">
        <f t="shared" si="32"/>
        <v>0</v>
      </c>
      <c r="AW96" s="85">
        <f t="shared" si="32"/>
        <v>0</v>
      </c>
      <c r="AX96" s="85">
        <f t="shared" si="32"/>
        <v>0</v>
      </c>
      <c r="AY96" s="85">
        <f t="shared" si="32"/>
        <v>0</v>
      </c>
      <c r="AZ96" s="85">
        <f t="shared" si="32"/>
        <v>0</v>
      </c>
    </row>
    <row r="97" spans="1:52" s="140" customFormat="1" x14ac:dyDescent="0.2">
      <c r="A97" s="137"/>
      <c r="B97" s="145"/>
      <c r="C97" s="146"/>
      <c r="D97" s="139"/>
      <c r="E97" s="140" t="str">
        <f xml:space="preserve"> E96 &amp; " total"</f>
        <v>Equity investment total</v>
      </c>
      <c r="F97" s="248">
        <f xml:space="preserve"> SUM(J96:AZ96)</f>
        <v>80680.988936574955</v>
      </c>
      <c r="G97" s="140" t="str">
        <f xml:space="preserve"> SMU</f>
        <v>€ 000s</v>
      </c>
      <c r="AF97" s="248"/>
    </row>
    <row r="99" spans="1:52" x14ac:dyDescent="0.2">
      <c r="E99" s="85" t="str">
        <f xml:space="preserve"> E$96</f>
        <v>Equity investment</v>
      </c>
      <c r="F99" s="85">
        <f t="shared" ref="F99:AZ99" si="33" xml:space="preserve"> F$96</f>
        <v>0</v>
      </c>
      <c r="G99" s="85">
        <f t="shared" si="33"/>
        <v>0</v>
      </c>
      <c r="H99" s="85">
        <f t="shared" si="33"/>
        <v>80680.988936574955</v>
      </c>
      <c r="I99" s="85">
        <f t="shared" si="33"/>
        <v>0</v>
      </c>
      <c r="J99" s="85">
        <f t="shared" si="33"/>
        <v>14430</v>
      </c>
      <c r="K99" s="85">
        <f t="shared" si="33"/>
        <v>2186.8488333333335</v>
      </c>
      <c r="L99" s="85">
        <f t="shared" si="33"/>
        <v>2192.6589709166656</v>
      </c>
      <c r="M99" s="85">
        <f t="shared" si="33"/>
        <v>2202.7367144231957</v>
      </c>
      <c r="N99" s="85">
        <f t="shared" si="33"/>
        <v>2208.0428558153562</v>
      </c>
      <c r="O99" s="85">
        <f t="shared" si="33"/>
        <v>2218.7380425307838</v>
      </c>
      <c r="P99" s="85">
        <f t="shared" si="33"/>
        <v>2226.7871310961873</v>
      </c>
      <c r="Q99" s="85">
        <f t="shared" si="33"/>
        <v>2231.3303439184037</v>
      </c>
      <c r="R99" s="85">
        <f t="shared" si="33"/>
        <v>2242.9601906027674</v>
      </c>
      <c r="S99" s="85">
        <f t="shared" si="33"/>
        <v>2246.9903607892284</v>
      </c>
      <c r="T99" s="85">
        <f t="shared" si="33"/>
        <v>2259.2487334364287</v>
      </c>
      <c r="U99" s="85">
        <f t="shared" si="33"/>
        <v>2267.4447857860614</v>
      </c>
      <c r="V99" s="85">
        <f t="shared" si="33"/>
        <v>2260.7536199232582</v>
      </c>
      <c r="W99" s="85">
        <f t="shared" si="33"/>
        <v>2283.872083335662</v>
      </c>
      <c r="X99" s="85">
        <f t="shared" si="33"/>
        <v>2286.6044443306746</v>
      </c>
      <c r="Y99" s="85">
        <f t="shared" si="33"/>
        <v>2300.4527565165845</v>
      </c>
      <c r="Z99" s="85">
        <f t="shared" si="33"/>
        <v>2302.6591445336398</v>
      </c>
      <c r="AA99" s="85">
        <f t="shared" si="33"/>
        <v>2317.1518235798394</v>
      </c>
      <c r="AB99" s="85">
        <f t="shared" si="33"/>
        <v>2325.5579354731599</v>
      </c>
      <c r="AC99" s="85">
        <f t="shared" si="33"/>
        <v>2326.9679356961933</v>
      </c>
      <c r="AD99" s="85">
        <f t="shared" si="33"/>
        <v>2342.4362654391243</v>
      </c>
      <c r="AE99" s="85">
        <f t="shared" si="33"/>
        <v>2343.3108504001666</v>
      </c>
      <c r="AF99" s="85">
        <f t="shared" si="33"/>
        <v>18677.435114698252</v>
      </c>
      <c r="AG99" s="85">
        <f t="shared" si="33"/>
        <v>0</v>
      </c>
      <c r="AH99" s="85">
        <f t="shared" si="33"/>
        <v>0</v>
      </c>
      <c r="AI99" s="85">
        <f t="shared" si="33"/>
        <v>0</v>
      </c>
      <c r="AJ99" s="85">
        <f t="shared" si="33"/>
        <v>0</v>
      </c>
      <c r="AK99" s="85">
        <f t="shared" si="33"/>
        <v>0</v>
      </c>
      <c r="AL99" s="85">
        <f t="shared" si="33"/>
        <v>0</v>
      </c>
      <c r="AM99" s="85">
        <f t="shared" si="33"/>
        <v>0</v>
      </c>
      <c r="AN99" s="85">
        <f t="shared" si="33"/>
        <v>0</v>
      </c>
      <c r="AO99" s="85">
        <f t="shared" si="33"/>
        <v>0</v>
      </c>
      <c r="AP99" s="85">
        <f t="shared" si="33"/>
        <v>0</v>
      </c>
      <c r="AQ99" s="85">
        <f t="shared" si="33"/>
        <v>0</v>
      </c>
      <c r="AR99" s="85">
        <f t="shared" si="33"/>
        <v>0</v>
      </c>
      <c r="AS99" s="85">
        <f t="shared" si="33"/>
        <v>0</v>
      </c>
      <c r="AT99" s="85">
        <f t="shared" si="33"/>
        <v>0</v>
      </c>
      <c r="AU99" s="85">
        <f t="shared" si="33"/>
        <v>0</v>
      </c>
      <c r="AV99" s="85">
        <f t="shared" si="33"/>
        <v>0</v>
      </c>
      <c r="AW99" s="85">
        <f t="shared" si="33"/>
        <v>0</v>
      </c>
      <c r="AX99" s="85">
        <f t="shared" si="33"/>
        <v>0</v>
      </c>
      <c r="AY99" s="85">
        <f t="shared" si="33"/>
        <v>0</v>
      </c>
      <c r="AZ99" s="85">
        <f t="shared" si="33"/>
        <v>0</v>
      </c>
    </row>
    <row r="100" spans="1:52" s="140" customFormat="1" x14ac:dyDescent="0.2">
      <c r="A100" s="137"/>
      <c r="B100" s="145"/>
      <c r="C100" s="146"/>
      <c r="D100" s="139"/>
      <c r="E100" s="140" t="str">
        <f xml:space="preserve"> E99 &amp; " NEG (for XIRR)"</f>
        <v>Equity investment NEG (for XIRR)</v>
      </c>
      <c r="G100" s="140">
        <f xml:space="preserve"> G99</f>
        <v>0</v>
      </c>
      <c r="H100" s="140">
        <f>SUM(J100:AZ100)</f>
        <v>-80680.988936574955</v>
      </c>
      <c r="J100" s="140">
        <f xml:space="preserve"> -1 * J99</f>
        <v>-14430</v>
      </c>
      <c r="K100" s="140">
        <f t="shared" ref="K100:AZ100" si="34" xml:space="preserve"> -1 * K99</f>
        <v>-2186.8488333333335</v>
      </c>
      <c r="L100" s="140">
        <f t="shared" si="34"/>
        <v>-2192.6589709166656</v>
      </c>
      <c r="M100" s="140">
        <f t="shared" si="34"/>
        <v>-2202.7367144231957</v>
      </c>
      <c r="N100" s="140">
        <f t="shared" si="34"/>
        <v>-2208.0428558153562</v>
      </c>
      <c r="O100" s="140">
        <f t="shared" si="34"/>
        <v>-2218.7380425307838</v>
      </c>
      <c r="P100" s="140">
        <f t="shared" si="34"/>
        <v>-2226.7871310961873</v>
      </c>
      <c r="Q100" s="140">
        <f t="shared" si="34"/>
        <v>-2231.3303439184037</v>
      </c>
      <c r="R100" s="140">
        <f t="shared" si="34"/>
        <v>-2242.9601906027674</v>
      </c>
      <c r="S100" s="140">
        <f t="shared" si="34"/>
        <v>-2246.9903607892284</v>
      </c>
      <c r="T100" s="140">
        <f t="shared" si="34"/>
        <v>-2259.2487334364287</v>
      </c>
      <c r="U100" s="140">
        <f t="shared" si="34"/>
        <v>-2267.4447857860614</v>
      </c>
      <c r="V100" s="140">
        <f t="shared" si="34"/>
        <v>-2260.7536199232582</v>
      </c>
      <c r="W100" s="140">
        <f t="shared" si="34"/>
        <v>-2283.872083335662</v>
      </c>
      <c r="X100" s="140">
        <f t="shared" si="34"/>
        <v>-2286.6044443306746</v>
      </c>
      <c r="Y100" s="140">
        <f t="shared" si="34"/>
        <v>-2300.4527565165845</v>
      </c>
      <c r="Z100" s="140">
        <f t="shared" si="34"/>
        <v>-2302.6591445336398</v>
      </c>
      <c r="AA100" s="140">
        <f t="shared" si="34"/>
        <v>-2317.1518235798394</v>
      </c>
      <c r="AB100" s="140">
        <f t="shared" si="34"/>
        <v>-2325.5579354731599</v>
      </c>
      <c r="AC100" s="140">
        <f t="shared" si="34"/>
        <v>-2326.9679356961933</v>
      </c>
      <c r="AD100" s="140">
        <f t="shared" si="34"/>
        <v>-2342.4362654391243</v>
      </c>
      <c r="AE100" s="140">
        <f t="shared" si="34"/>
        <v>-2343.3108504001666</v>
      </c>
      <c r="AF100" s="140">
        <f t="shared" si="34"/>
        <v>-18677.435114698252</v>
      </c>
      <c r="AG100" s="140">
        <f t="shared" si="34"/>
        <v>0</v>
      </c>
      <c r="AH100" s="140">
        <f t="shared" si="34"/>
        <v>0</v>
      </c>
      <c r="AI100" s="140">
        <f t="shared" si="34"/>
        <v>0</v>
      </c>
      <c r="AJ100" s="140">
        <f t="shared" si="34"/>
        <v>0</v>
      </c>
      <c r="AK100" s="140">
        <f t="shared" si="34"/>
        <v>0</v>
      </c>
      <c r="AL100" s="140">
        <f t="shared" si="34"/>
        <v>0</v>
      </c>
      <c r="AM100" s="140">
        <f t="shared" si="34"/>
        <v>0</v>
      </c>
      <c r="AN100" s="140">
        <f t="shared" si="34"/>
        <v>0</v>
      </c>
      <c r="AO100" s="140">
        <f t="shared" si="34"/>
        <v>0</v>
      </c>
      <c r="AP100" s="140">
        <f t="shared" si="34"/>
        <v>0</v>
      </c>
      <c r="AQ100" s="140">
        <f t="shared" si="34"/>
        <v>0</v>
      </c>
      <c r="AR100" s="140">
        <f t="shared" si="34"/>
        <v>0</v>
      </c>
      <c r="AS100" s="140">
        <f t="shared" si="34"/>
        <v>0</v>
      </c>
      <c r="AT100" s="140">
        <f t="shared" si="34"/>
        <v>0</v>
      </c>
      <c r="AU100" s="140">
        <f t="shared" si="34"/>
        <v>0</v>
      </c>
      <c r="AV100" s="140">
        <f t="shared" si="34"/>
        <v>0</v>
      </c>
      <c r="AW100" s="140">
        <f t="shared" si="34"/>
        <v>0</v>
      </c>
      <c r="AX100" s="140">
        <f t="shared" si="34"/>
        <v>0</v>
      </c>
      <c r="AY100" s="140">
        <f t="shared" si="34"/>
        <v>0</v>
      </c>
      <c r="AZ100" s="140">
        <f t="shared" si="34"/>
        <v>0</v>
      </c>
    </row>
    <row r="103" spans="1:52" x14ac:dyDescent="0.2">
      <c r="A103" s="81" t="s">
        <v>285</v>
      </c>
    </row>
    <row r="105" spans="1:52" x14ac:dyDescent="0.2">
      <c r="E105" s="367" t="s">
        <v>272</v>
      </c>
      <c r="F105" s="270">
        <v>41578</v>
      </c>
      <c r="G105" s="367" t="s">
        <v>273</v>
      </c>
      <c r="H105" s="367"/>
      <c r="I105" s="367"/>
      <c r="J105" s="367"/>
    </row>
    <row r="106" spans="1:52" x14ac:dyDescent="0.2">
      <c r="E106" s="284" t="str">
        <f>ConTime!E$13</f>
        <v>Construction period month ending</v>
      </c>
      <c r="F106" s="284">
        <f>ConTime!F$13</f>
        <v>0</v>
      </c>
      <c r="G106" s="284">
        <f>ConTime!G$13</f>
        <v>0</v>
      </c>
      <c r="H106" s="284">
        <f>ConTime!H$13</f>
        <v>0</v>
      </c>
      <c r="I106" s="284">
        <f>ConTime!I$13</f>
        <v>0</v>
      </c>
      <c r="J106" s="284">
        <f>ConTime!J$13</f>
        <v>41698</v>
      </c>
      <c r="K106" s="284">
        <f>ConTime!K$13</f>
        <v>41729</v>
      </c>
      <c r="L106" s="284">
        <f>ConTime!L$13</f>
        <v>41759</v>
      </c>
      <c r="M106" s="284">
        <f>ConTime!M$13</f>
        <v>41790</v>
      </c>
      <c r="N106" s="284">
        <f>ConTime!N$13</f>
        <v>41820</v>
      </c>
      <c r="O106" s="284">
        <f>ConTime!O$13</f>
        <v>41851</v>
      </c>
      <c r="P106" s="284">
        <f>ConTime!P$13</f>
        <v>41882</v>
      </c>
      <c r="Q106" s="284">
        <f>ConTime!Q$13</f>
        <v>41912</v>
      </c>
      <c r="R106" s="284">
        <f>ConTime!R$13</f>
        <v>41943</v>
      </c>
      <c r="S106" s="284">
        <f>ConTime!S$13</f>
        <v>41973</v>
      </c>
      <c r="T106" s="284">
        <f>ConTime!T$13</f>
        <v>42004</v>
      </c>
      <c r="U106" s="284">
        <f>ConTime!U$13</f>
        <v>42035</v>
      </c>
      <c r="V106" s="284">
        <f>ConTime!V$13</f>
        <v>42063</v>
      </c>
      <c r="W106" s="284">
        <f>ConTime!W$13</f>
        <v>42094</v>
      </c>
      <c r="X106" s="284">
        <f>ConTime!X$13</f>
        <v>42124</v>
      </c>
      <c r="Y106" s="284">
        <f>ConTime!Y$13</f>
        <v>42155</v>
      </c>
      <c r="Z106" s="284">
        <f>ConTime!Z$13</f>
        <v>42185</v>
      </c>
      <c r="AA106" s="284">
        <f>ConTime!AA$13</f>
        <v>42216</v>
      </c>
      <c r="AB106" s="284">
        <f>ConTime!AB$13</f>
        <v>42247</v>
      </c>
      <c r="AC106" s="284">
        <f>ConTime!AC$13</f>
        <v>42277</v>
      </c>
      <c r="AD106" s="284">
        <f>ConTime!AD$13</f>
        <v>42308</v>
      </c>
      <c r="AE106" s="284">
        <f>ConTime!AE$13</f>
        <v>42338</v>
      </c>
      <c r="AF106" s="284">
        <f>ConTime!AF$13</f>
        <v>42369</v>
      </c>
      <c r="AG106" s="284">
        <f>ConTime!AG$13</f>
        <v>42400</v>
      </c>
      <c r="AH106" s="284">
        <f>ConTime!AH$13</f>
        <v>42429</v>
      </c>
      <c r="AI106" s="284">
        <f>ConTime!AI$13</f>
        <v>42460</v>
      </c>
      <c r="AJ106" s="284">
        <f>ConTime!AJ$13</f>
        <v>42490</v>
      </c>
      <c r="AK106" s="284">
        <f>ConTime!AK$13</f>
        <v>42521</v>
      </c>
      <c r="AL106" s="284">
        <f>ConTime!AL$13</f>
        <v>42551</v>
      </c>
      <c r="AM106" s="284">
        <f>ConTime!AM$13</f>
        <v>42582</v>
      </c>
      <c r="AN106" s="284">
        <f>ConTime!AN$13</f>
        <v>42613</v>
      </c>
      <c r="AO106" s="284">
        <f>ConTime!AO$13</f>
        <v>42643</v>
      </c>
      <c r="AP106" s="284">
        <f>ConTime!AP$13</f>
        <v>42674</v>
      </c>
      <c r="AQ106" s="284">
        <f>ConTime!AQ$13</f>
        <v>42704</v>
      </c>
      <c r="AR106" s="284">
        <f>ConTime!AR$13</f>
        <v>42735</v>
      </c>
      <c r="AS106" s="284">
        <f>ConTime!AS$13</f>
        <v>42766</v>
      </c>
      <c r="AT106" s="284">
        <f>ConTime!AT$13</f>
        <v>42794</v>
      </c>
      <c r="AU106" s="284">
        <f>ConTime!AU$13</f>
        <v>42825</v>
      </c>
      <c r="AV106" s="284">
        <f>ConTime!AV$13</f>
        <v>42855</v>
      </c>
      <c r="AW106" s="284">
        <f>ConTime!AW$13</f>
        <v>42886</v>
      </c>
      <c r="AX106" s="284">
        <f>ConTime!AX$13</f>
        <v>42916</v>
      </c>
      <c r="AY106" s="284">
        <f>ConTime!AY$13</f>
        <v>42947</v>
      </c>
      <c r="AZ106" s="284">
        <f>ConTime!AZ$13</f>
        <v>42978</v>
      </c>
    </row>
    <row r="107" spans="1:52" x14ac:dyDescent="0.2">
      <c r="E107" s="85" t="s">
        <v>274</v>
      </c>
      <c r="J107" s="85">
        <f t="shared" ref="J107:AZ107" si="35" xml:space="preserve"> J106 - $F105</f>
        <v>120</v>
      </c>
      <c r="K107" s="85">
        <f t="shared" si="35"/>
        <v>151</v>
      </c>
      <c r="L107" s="85">
        <f t="shared" si="35"/>
        <v>181</v>
      </c>
      <c r="M107" s="85">
        <f t="shared" si="35"/>
        <v>212</v>
      </c>
      <c r="N107" s="85">
        <f t="shared" si="35"/>
        <v>242</v>
      </c>
      <c r="O107" s="85">
        <f t="shared" si="35"/>
        <v>273</v>
      </c>
      <c r="P107" s="85">
        <f t="shared" si="35"/>
        <v>304</v>
      </c>
      <c r="Q107" s="85">
        <f t="shared" si="35"/>
        <v>334</v>
      </c>
      <c r="R107" s="85">
        <f t="shared" si="35"/>
        <v>365</v>
      </c>
      <c r="S107" s="85">
        <f t="shared" si="35"/>
        <v>395</v>
      </c>
      <c r="T107" s="85">
        <f t="shared" si="35"/>
        <v>426</v>
      </c>
      <c r="U107" s="85">
        <f t="shared" si="35"/>
        <v>457</v>
      </c>
      <c r="V107" s="85">
        <f t="shared" si="35"/>
        <v>485</v>
      </c>
      <c r="W107" s="85">
        <f t="shared" si="35"/>
        <v>516</v>
      </c>
      <c r="X107" s="85">
        <f t="shared" si="35"/>
        <v>546</v>
      </c>
      <c r="Y107" s="85">
        <f t="shared" si="35"/>
        <v>577</v>
      </c>
      <c r="Z107" s="85">
        <f t="shared" si="35"/>
        <v>607</v>
      </c>
      <c r="AA107" s="85">
        <f t="shared" si="35"/>
        <v>638</v>
      </c>
      <c r="AB107" s="85">
        <f t="shared" si="35"/>
        <v>669</v>
      </c>
      <c r="AC107" s="85">
        <f t="shared" si="35"/>
        <v>699</v>
      </c>
      <c r="AD107" s="85">
        <f t="shared" si="35"/>
        <v>730</v>
      </c>
      <c r="AE107" s="85">
        <f t="shared" si="35"/>
        <v>760</v>
      </c>
      <c r="AF107" s="85">
        <f t="shared" si="35"/>
        <v>791</v>
      </c>
      <c r="AG107" s="85">
        <f t="shared" si="35"/>
        <v>822</v>
      </c>
      <c r="AH107" s="85">
        <f t="shared" si="35"/>
        <v>851</v>
      </c>
      <c r="AI107" s="85">
        <f t="shared" si="35"/>
        <v>882</v>
      </c>
      <c r="AJ107" s="85">
        <f t="shared" si="35"/>
        <v>912</v>
      </c>
      <c r="AK107" s="85">
        <f t="shared" si="35"/>
        <v>943</v>
      </c>
      <c r="AL107" s="85">
        <f t="shared" si="35"/>
        <v>973</v>
      </c>
      <c r="AM107" s="85">
        <f t="shared" si="35"/>
        <v>1004</v>
      </c>
      <c r="AN107" s="85">
        <f t="shared" si="35"/>
        <v>1035</v>
      </c>
      <c r="AO107" s="85">
        <f t="shared" si="35"/>
        <v>1065</v>
      </c>
      <c r="AP107" s="85">
        <f t="shared" si="35"/>
        <v>1096</v>
      </c>
      <c r="AQ107" s="85">
        <f t="shared" si="35"/>
        <v>1126</v>
      </c>
      <c r="AR107" s="85">
        <f t="shared" si="35"/>
        <v>1157</v>
      </c>
      <c r="AS107" s="85">
        <f t="shared" si="35"/>
        <v>1188</v>
      </c>
      <c r="AT107" s="85">
        <f t="shared" si="35"/>
        <v>1216</v>
      </c>
      <c r="AU107" s="85">
        <f t="shared" si="35"/>
        <v>1247</v>
      </c>
      <c r="AV107" s="85">
        <f t="shared" si="35"/>
        <v>1277</v>
      </c>
      <c r="AW107" s="85">
        <f t="shared" si="35"/>
        <v>1308</v>
      </c>
      <c r="AX107" s="85">
        <f t="shared" si="35"/>
        <v>1338</v>
      </c>
      <c r="AY107" s="85">
        <f t="shared" si="35"/>
        <v>1369</v>
      </c>
      <c r="AZ107" s="85">
        <f t="shared" si="35"/>
        <v>1400</v>
      </c>
    </row>
    <row r="108" spans="1:52" x14ac:dyDescent="0.2">
      <c r="E108" s="372" t="s">
        <v>276</v>
      </c>
      <c r="F108" s="372"/>
      <c r="G108" s="372"/>
      <c r="H108" s="372"/>
      <c r="I108" s="372"/>
      <c r="J108" s="372">
        <f xml:space="preserve"> J107 / 365</f>
        <v>0.32876712328767121</v>
      </c>
      <c r="K108" s="372">
        <f t="shared" ref="K108:AZ108" si="36" xml:space="preserve"> K107 / 365</f>
        <v>0.41369863013698632</v>
      </c>
      <c r="L108" s="372">
        <f t="shared" si="36"/>
        <v>0.49589041095890413</v>
      </c>
      <c r="M108" s="372">
        <f t="shared" si="36"/>
        <v>0.58082191780821912</v>
      </c>
      <c r="N108" s="372">
        <f t="shared" si="36"/>
        <v>0.66301369863013704</v>
      </c>
      <c r="O108" s="372">
        <f t="shared" si="36"/>
        <v>0.74794520547945209</v>
      </c>
      <c r="P108" s="372">
        <f t="shared" si="36"/>
        <v>0.83287671232876714</v>
      </c>
      <c r="Q108" s="372">
        <f t="shared" si="36"/>
        <v>0.91506849315068495</v>
      </c>
      <c r="R108" s="372">
        <f t="shared" si="36"/>
        <v>1</v>
      </c>
      <c r="S108" s="372">
        <f t="shared" si="36"/>
        <v>1.0821917808219179</v>
      </c>
      <c r="T108" s="372">
        <f t="shared" si="36"/>
        <v>1.167123287671233</v>
      </c>
      <c r="U108" s="372">
        <f t="shared" si="36"/>
        <v>1.252054794520548</v>
      </c>
      <c r="V108" s="372">
        <f t="shared" si="36"/>
        <v>1.3287671232876712</v>
      </c>
      <c r="W108" s="372">
        <f t="shared" si="36"/>
        <v>1.4136986301369863</v>
      </c>
      <c r="X108" s="372">
        <f t="shared" si="36"/>
        <v>1.4958904109589042</v>
      </c>
      <c r="Y108" s="372">
        <f t="shared" si="36"/>
        <v>1.5808219178082192</v>
      </c>
      <c r="Z108" s="372">
        <f t="shared" si="36"/>
        <v>1.6630136986301369</v>
      </c>
      <c r="AA108" s="372">
        <f t="shared" si="36"/>
        <v>1.747945205479452</v>
      </c>
      <c r="AB108" s="372">
        <f t="shared" si="36"/>
        <v>1.832876712328767</v>
      </c>
      <c r="AC108" s="372">
        <f t="shared" si="36"/>
        <v>1.9150684931506849</v>
      </c>
      <c r="AD108" s="372">
        <f t="shared" si="36"/>
        <v>2</v>
      </c>
      <c r="AE108" s="372">
        <f t="shared" si="36"/>
        <v>2.0821917808219177</v>
      </c>
      <c r="AF108" s="372">
        <f t="shared" si="36"/>
        <v>2.1671232876712327</v>
      </c>
      <c r="AG108" s="372">
        <f t="shared" si="36"/>
        <v>2.2520547945205478</v>
      </c>
      <c r="AH108" s="372">
        <f t="shared" si="36"/>
        <v>2.3315068493150686</v>
      </c>
      <c r="AI108" s="372">
        <f t="shared" si="36"/>
        <v>2.4164383561643836</v>
      </c>
      <c r="AJ108" s="372">
        <f t="shared" si="36"/>
        <v>2.4986301369863013</v>
      </c>
      <c r="AK108" s="372">
        <f t="shared" si="36"/>
        <v>2.5835616438356164</v>
      </c>
      <c r="AL108" s="372">
        <f t="shared" si="36"/>
        <v>2.6657534246575341</v>
      </c>
      <c r="AM108" s="372">
        <f t="shared" si="36"/>
        <v>2.7506849315068491</v>
      </c>
      <c r="AN108" s="372">
        <f t="shared" si="36"/>
        <v>2.8356164383561642</v>
      </c>
      <c r="AO108" s="372">
        <f t="shared" si="36"/>
        <v>2.9178082191780823</v>
      </c>
      <c r="AP108" s="372">
        <f t="shared" si="36"/>
        <v>3.0027397260273974</v>
      </c>
      <c r="AQ108" s="372">
        <f t="shared" si="36"/>
        <v>3.0849315068493151</v>
      </c>
      <c r="AR108" s="372">
        <f t="shared" si="36"/>
        <v>3.1698630136986301</v>
      </c>
      <c r="AS108" s="372">
        <f t="shared" si="36"/>
        <v>3.2547945205479452</v>
      </c>
      <c r="AT108" s="372">
        <f t="shared" si="36"/>
        <v>3.3315068493150686</v>
      </c>
      <c r="AU108" s="372">
        <f t="shared" si="36"/>
        <v>3.4164383561643836</v>
      </c>
      <c r="AV108" s="372">
        <f t="shared" si="36"/>
        <v>3.4986301369863013</v>
      </c>
      <c r="AW108" s="372">
        <f t="shared" si="36"/>
        <v>3.5835616438356164</v>
      </c>
      <c r="AX108" s="372">
        <f t="shared" si="36"/>
        <v>3.6657534246575341</v>
      </c>
      <c r="AY108" s="372">
        <f t="shared" si="36"/>
        <v>3.7506849315068491</v>
      </c>
      <c r="AZ108" s="372">
        <f t="shared" si="36"/>
        <v>3.8356164383561642</v>
      </c>
    </row>
    <row r="109" spans="1:52" x14ac:dyDescent="0.2">
      <c r="AF109" s="85"/>
    </row>
    <row r="110" spans="1:52" s="186" customFormat="1" x14ac:dyDescent="0.2">
      <c r="A110" s="181"/>
      <c r="B110" s="182"/>
      <c r="C110" s="183"/>
      <c r="D110" s="184"/>
      <c r="E110" s="186" t="str">
        <f>InpC!E$55</f>
        <v>Shareholder discount rate</v>
      </c>
      <c r="F110" s="186">
        <f>InpC!F$55</f>
        <v>0.13</v>
      </c>
      <c r="G110" s="186" t="str">
        <f>InpC!G$55</f>
        <v>p.a. (365)</v>
      </c>
    </row>
    <row r="111" spans="1:52" x14ac:dyDescent="0.2">
      <c r="E111" s="372" t="str">
        <f xml:space="preserve"> E108</f>
        <v>Years from valuation date</v>
      </c>
      <c r="F111" s="372">
        <f t="shared" ref="F111:J111" si="37" xml:space="preserve"> F108</f>
        <v>0</v>
      </c>
      <c r="G111" s="372">
        <f t="shared" si="37"/>
        <v>0</v>
      </c>
      <c r="H111" s="372">
        <f t="shared" si="37"/>
        <v>0</v>
      </c>
      <c r="I111" s="372">
        <f t="shared" si="37"/>
        <v>0</v>
      </c>
      <c r="J111" s="372">
        <f t="shared" si="37"/>
        <v>0.32876712328767121</v>
      </c>
      <c r="K111" s="372">
        <f t="shared" ref="K111:AZ111" si="38" xml:space="preserve"> K108</f>
        <v>0.41369863013698632</v>
      </c>
      <c r="L111" s="372">
        <f t="shared" si="38"/>
        <v>0.49589041095890413</v>
      </c>
      <c r="M111" s="372">
        <f t="shared" si="38"/>
        <v>0.58082191780821912</v>
      </c>
      <c r="N111" s="372">
        <f t="shared" si="38"/>
        <v>0.66301369863013704</v>
      </c>
      <c r="O111" s="372">
        <f t="shared" si="38"/>
        <v>0.74794520547945209</v>
      </c>
      <c r="P111" s="372">
        <f t="shared" si="38"/>
        <v>0.83287671232876714</v>
      </c>
      <c r="Q111" s="372">
        <f t="shared" si="38"/>
        <v>0.91506849315068495</v>
      </c>
      <c r="R111" s="372">
        <f t="shared" si="38"/>
        <v>1</v>
      </c>
      <c r="S111" s="372">
        <f t="shared" si="38"/>
        <v>1.0821917808219179</v>
      </c>
      <c r="T111" s="372">
        <f t="shared" si="38"/>
        <v>1.167123287671233</v>
      </c>
      <c r="U111" s="372">
        <f t="shared" si="38"/>
        <v>1.252054794520548</v>
      </c>
      <c r="V111" s="372">
        <f t="shared" si="38"/>
        <v>1.3287671232876712</v>
      </c>
      <c r="W111" s="372">
        <f t="shared" si="38"/>
        <v>1.4136986301369863</v>
      </c>
      <c r="X111" s="372">
        <f t="shared" si="38"/>
        <v>1.4958904109589042</v>
      </c>
      <c r="Y111" s="372">
        <f t="shared" si="38"/>
        <v>1.5808219178082192</v>
      </c>
      <c r="Z111" s="372">
        <f t="shared" si="38"/>
        <v>1.6630136986301369</v>
      </c>
      <c r="AA111" s="372">
        <f t="shared" si="38"/>
        <v>1.747945205479452</v>
      </c>
      <c r="AB111" s="372">
        <f t="shared" si="38"/>
        <v>1.832876712328767</v>
      </c>
      <c r="AC111" s="372">
        <f t="shared" si="38"/>
        <v>1.9150684931506849</v>
      </c>
      <c r="AD111" s="372">
        <f t="shared" si="38"/>
        <v>2</v>
      </c>
      <c r="AE111" s="372">
        <f t="shared" si="38"/>
        <v>2.0821917808219177</v>
      </c>
      <c r="AF111" s="372">
        <f t="shared" si="38"/>
        <v>2.1671232876712327</v>
      </c>
      <c r="AG111" s="372">
        <f t="shared" si="38"/>
        <v>2.2520547945205478</v>
      </c>
      <c r="AH111" s="372">
        <f t="shared" si="38"/>
        <v>2.3315068493150686</v>
      </c>
      <c r="AI111" s="372">
        <f t="shared" si="38"/>
        <v>2.4164383561643836</v>
      </c>
      <c r="AJ111" s="372">
        <f t="shared" si="38"/>
        <v>2.4986301369863013</v>
      </c>
      <c r="AK111" s="372">
        <f t="shared" si="38"/>
        <v>2.5835616438356164</v>
      </c>
      <c r="AL111" s="372">
        <f t="shared" si="38"/>
        <v>2.6657534246575341</v>
      </c>
      <c r="AM111" s="372">
        <f t="shared" si="38"/>
        <v>2.7506849315068491</v>
      </c>
      <c r="AN111" s="372">
        <f t="shared" si="38"/>
        <v>2.8356164383561642</v>
      </c>
      <c r="AO111" s="372">
        <f t="shared" si="38"/>
        <v>2.9178082191780823</v>
      </c>
      <c r="AP111" s="372">
        <f t="shared" si="38"/>
        <v>3.0027397260273974</v>
      </c>
      <c r="AQ111" s="372">
        <f t="shared" si="38"/>
        <v>3.0849315068493151</v>
      </c>
      <c r="AR111" s="372">
        <f t="shared" si="38"/>
        <v>3.1698630136986301</v>
      </c>
      <c r="AS111" s="372">
        <f t="shared" si="38"/>
        <v>3.2547945205479452</v>
      </c>
      <c r="AT111" s="372">
        <f t="shared" si="38"/>
        <v>3.3315068493150686</v>
      </c>
      <c r="AU111" s="372">
        <f t="shared" si="38"/>
        <v>3.4164383561643836</v>
      </c>
      <c r="AV111" s="372">
        <f t="shared" si="38"/>
        <v>3.4986301369863013</v>
      </c>
      <c r="AW111" s="372">
        <f t="shared" si="38"/>
        <v>3.5835616438356164</v>
      </c>
      <c r="AX111" s="372">
        <f t="shared" si="38"/>
        <v>3.6657534246575341</v>
      </c>
      <c r="AY111" s="372">
        <f t="shared" si="38"/>
        <v>3.7506849315068491</v>
      </c>
      <c r="AZ111" s="372">
        <f t="shared" si="38"/>
        <v>3.8356164383561642</v>
      </c>
    </row>
    <row r="112" spans="1:52" x14ac:dyDescent="0.2">
      <c r="E112" s="372" t="s">
        <v>286</v>
      </c>
      <c r="F112" s="372"/>
      <c r="G112" s="372"/>
      <c r="H112" s="372"/>
      <c r="I112" s="372"/>
      <c r="J112" s="372">
        <f t="shared" ref="J112:AZ112" si="39" xml:space="preserve"> (1 + $F110) ^ (-1 * J111)</f>
        <v>0.96061541797047323</v>
      </c>
      <c r="K112" s="372">
        <f t="shared" si="39"/>
        <v>0.95069568039079766</v>
      </c>
      <c r="L112" s="372">
        <f t="shared" si="39"/>
        <v>0.94119347751683824</v>
      </c>
      <c r="M112" s="372">
        <f t="shared" si="39"/>
        <v>0.93147429944202154</v>
      </c>
      <c r="N112" s="372">
        <f t="shared" si="39"/>
        <v>0.92216421426151562</v>
      </c>
      <c r="O112" s="372">
        <f t="shared" si="39"/>
        <v>0.9126415407339884</v>
      </c>
      <c r="P112" s="372">
        <f t="shared" si="39"/>
        <v>0.90321720252430293</v>
      </c>
      <c r="Q112" s="372">
        <f t="shared" si="39"/>
        <v>0.89418954701406861</v>
      </c>
      <c r="R112" s="372">
        <f t="shared" si="39"/>
        <v>0.88495575221238942</v>
      </c>
      <c r="S112" s="372">
        <f t="shared" si="39"/>
        <v>0.87611061988934902</v>
      </c>
      <c r="T112" s="372">
        <f t="shared" si="39"/>
        <v>0.86706351604582488</v>
      </c>
      <c r="U112" s="372">
        <f t="shared" si="39"/>
        <v>0.85810983657828399</v>
      </c>
      <c r="V112" s="372">
        <f t="shared" si="39"/>
        <v>0.85010213979687899</v>
      </c>
      <c r="W112" s="372">
        <f t="shared" si="39"/>
        <v>0.84132361096530772</v>
      </c>
      <c r="X112" s="372">
        <f t="shared" si="39"/>
        <v>0.83291458187330825</v>
      </c>
      <c r="Y112" s="372">
        <f t="shared" si="39"/>
        <v>0.82431353932922269</v>
      </c>
      <c r="Z112" s="372">
        <f t="shared" si="39"/>
        <v>0.81607452589514673</v>
      </c>
      <c r="AA112" s="372">
        <f t="shared" si="39"/>
        <v>0.80764738118052082</v>
      </c>
      <c r="AB112" s="372">
        <f t="shared" si="39"/>
        <v>0.79930725887106469</v>
      </c>
      <c r="AC112" s="372">
        <f t="shared" si="39"/>
        <v>0.79131818319829084</v>
      </c>
      <c r="AD112" s="372">
        <f t="shared" si="39"/>
        <v>0.78314668337379612</v>
      </c>
      <c r="AE112" s="372">
        <f t="shared" si="39"/>
        <v>0.77531913264544172</v>
      </c>
      <c r="AF112" s="372">
        <f t="shared" si="39"/>
        <v>0.76731284605825223</v>
      </c>
      <c r="AG112" s="372">
        <f t="shared" si="39"/>
        <v>0.75938923590998586</v>
      </c>
      <c r="AH112" s="372">
        <f t="shared" si="39"/>
        <v>0.75205091755965903</v>
      </c>
      <c r="AI112" s="372">
        <f t="shared" si="39"/>
        <v>0.74428490880195297</v>
      </c>
      <c r="AJ112" s="372">
        <f t="shared" si="39"/>
        <v>0.73684578149198621</v>
      </c>
      <c r="AK112" s="372">
        <f t="shared" si="39"/>
        <v>0.72923678766120414</v>
      </c>
      <c r="AL112" s="372">
        <f t="shared" si="39"/>
        <v>0.72194806631489183</v>
      </c>
      <c r="AM112" s="372">
        <f t="shared" si="39"/>
        <v>0.7144929128476194</v>
      </c>
      <c r="AN112" s="372">
        <f t="shared" si="39"/>
        <v>0.70711474457611634</v>
      </c>
      <c r="AO112" s="372">
        <f t="shared" si="39"/>
        <v>0.70004713303993238</v>
      </c>
      <c r="AP112" s="372">
        <f t="shared" si="39"/>
        <v>0.69281813824841432</v>
      </c>
      <c r="AQ112" s="372">
        <f t="shared" si="39"/>
        <v>0.68589342128568542</v>
      </c>
      <c r="AR112" s="372">
        <f t="shared" si="39"/>
        <v>0.67881058395089156</v>
      </c>
      <c r="AS112" s="372">
        <f t="shared" si="39"/>
        <v>0.67180088711162411</v>
      </c>
      <c r="AT112" s="372">
        <f t="shared" si="39"/>
        <v>0.66553178545102565</v>
      </c>
      <c r="AU112" s="372">
        <f t="shared" si="39"/>
        <v>0.65865921132916205</v>
      </c>
      <c r="AV112" s="372">
        <f t="shared" si="39"/>
        <v>0.65207591282476662</v>
      </c>
      <c r="AW112" s="372">
        <f t="shared" si="39"/>
        <v>0.64534228996566745</v>
      </c>
      <c r="AX112" s="372">
        <f t="shared" si="39"/>
        <v>0.63889209408397529</v>
      </c>
      <c r="AY112" s="372">
        <f t="shared" si="39"/>
        <v>0.63229461313948632</v>
      </c>
      <c r="AZ112" s="372">
        <f t="shared" si="39"/>
        <v>0.62576526068682869</v>
      </c>
    </row>
    <row r="113" spans="1:52" x14ac:dyDescent="0.2">
      <c r="AF113" s="85"/>
    </row>
    <row r="114" spans="1:52" x14ac:dyDescent="0.2">
      <c r="E114" s="85" t="str">
        <f xml:space="preserve"> E$96</f>
        <v>Equity investment</v>
      </c>
      <c r="F114" s="85">
        <f t="shared" ref="F114:AZ114" si="40" xml:space="preserve"> F$96</f>
        <v>0</v>
      </c>
      <c r="G114" s="85">
        <f t="shared" si="40"/>
        <v>0</v>
      </c>
      <c r="H114" s="85">
        <f t="shared" si="40"/>
        <v>80680.988936574955</v>
      </c>
      <c r="I114" s="85">
        <f t="shared" si="40"/>
        <v>0</v>
      </c>
      <c r="J114" s="85">
        <f t="shared" si="40"/>
        <v>14430</v>
      </c>
      <c r="K114" s="85">
        <f t="shared" si="40"/>
        <v>2186.8488333333335</v>
      </c>
      <c r="L114" s="85">
        <f t="shared" si="40"/>
        <v>2192.6589709166656</v>
      </c>
      <c r="M114" s="85">
        <f t="shared" si="40"/>
        <v>2202.7367144231957</v>
      </c>
      <c r="N114" s="85">
        <f t="shared" si="40"/>
        <v>2208.0428558153562</v>
      </c>
      <c r="O114" s="85">
        <f t="shared" si="40"/>
        <v>2218.7380425307838</v>
      </c>
      <c r="P114" s="85">
        <f t="shared" si="40"/>
        <v>2226.7871310961873</v>
      </c>
      <c r="Q114" s="85">
        <f t="shared" si="40"/>
        <v>2231.3303439184037</v>
      </c>
      <c r="R114" s="85">
        <f t="shared" si="40"/>
        <v>2242.9601906027674</v>
      </c>
      <c r="S114" s="85">
        <f t="shared" si="40"/>
        <v>2246.9903607892284</v>
      </c>
      <c r="T114" s="85">
        <f t="shared" si="40"/>
        <v>2259.2487334364287</v>
      </c>
      <c r="U114" s="85">
        <f t="shared" si="40"/>
        <v>2267.4447857860614</v>
      </c>
      <c r="V114" s="85">
        <f t="shared" si="40"/>
        <v>2260.7536199232582</v>
      </c>
      <c r="W114" s="85">
        <f t="shared" si="40"/>
        <v>2283.872083335662</v>
      </c>
      <c r="X114" s="85">
        <f t="shared" si="40"/>
        <v>2286.6044443306746</v>
      </c>
      <c r="Y114" s="85">
        <f t="shared" si="40"/>
        <v>2300.4527565165845</v>
      </c>
      <c r="Z114" s="85">
        <f t="shared" si="40"/>
        <v>2302.6591445336398</v>
      </c>
      <c r="AA114" s="85">
        <f t="shared" si="40"/>
        <v>2317.1518235798394</v>
      </c>
      <c r="AB114" s="85">
        <f t="shared" si="40"/>
        <v>2325.5579354731599</v>
      </c>
      <c r="AC114" s="85">
        <f t="shared" si="40"/>
        <v>2326.9679356961933</v>
      </c>
      <c r="AD114" s="85">
        <f t="shared" si="40"/>
        <v>2342.4362654391243</v>
      </c>
      <c r="AE114" s="85">
        <f t="shared" si="40"/>
        <v>2343.3108504001666</v>
      </c>
      <c r="AF114" s="85">
        <f t="shared" si="40"/>
        <v>18677.435114698252</v>
      </c>
      <c r="AG114" s="85">
        <f t="shared" si="40"/>
        <v>0</v>
      </c>
      <c r="AH114" s="85">
        <f t="shared" si="40"/>
        <v>0</v>
      </c>
      <c r="AI114" s="85">
        <f t="shared" si="40"/>
        <v>0</v>
      </c>
      <c r="AJ114" s="85">
        <f t="shared" si="40"/>
        <v>0</v>
      </c>
      <c r="AK114" s="85">
        <f t="shared" si="40"/>
        <v>0</v>
      </c>
      <c r="AL114" s="85">
        <f t="shared" si="40"/>
        <v>0</v>
      </c>
      <c r="AM114" s="85">
        <f t="shared" si="40"/>
        <v>0</v>
      </c>
      <c r="AN114" s="85">
        <f t="shared" si="40"/>
        <v>0</v>
      </c>
      <c r="AO114" s="85">
        <f t="shared" si="40"/>
        <v>0</v>
      </c>
      <c r="AP114" s="85">
        <f t="shared" si="40"/>
        <v>0</v>
      </c>
      <c r="AQ114" s="85">
        <f t="shared" si="40"/>
        <v>0</v>
      </c>
      <c r="AR114" s="85">
        <f t="shared" si="40"/>
        <v>0</v>
      </c>
      <c r="AS114" s="85">
        <f t="shared" si="40"/>
        <v>0</v>
      </c>
      <c r="AT114" s="85">
        <f t="shared" si="40"/>
        <v>0</v>
      </c>
      <c r="AU114" s="85">
        <f t="shared" si="40"/>
        <v>0</v>
      </c>
      <c r="AV114" s="85">
        <f t="shared" si="40"/>
        <v>0</v>
      </c>
      <c r="AW114" s="85">
        <f t="shared" si="40"/>
        <v>0</v>
      </c>
      <c r="AX114" s="85">
        <f t="shared" si="40"/>
        <v>0</v>
      </c>
      <c r="AY114" s="85">
        <f t="shared" si="40"/>
        <v>0</v>
      </c>
      <c r="AZ114" s="85">
        <f t="shared" si="40"/>
        <v>0</v>
      </c>
    </row>
    <row r="115" spans="1:52" x14ac:dyDescent="0.2">
      <c r="E115" s="372" t="str">
        <f xml:space="preserve"> E112</f>
        <v>Shareholder discount factor - monthly</v>
      </c>
      <c r="F115" s="372">
        <f t="shared" ref="F115:J115" si="41" xml:space="preserve"> F112</f>
        <v>0</v>
      </c>
      <c r="G115" s="372">
        <f t="shared" si="41"/>
        <v>0</v>
      </c>
      <c r="H115" s="372">
        <f t="shared" si="41"/>
        <v>0</v>
      </c>
      <c r="I115" s="372">
        <f t="shared" si="41"/>
        <v>0</v>
      </c>
      <c r="J115" s="372">
        <f t="shared" si="41"/>
        <v>0.96061541797047323</v>
      </c>
      <c r="K115" s="372">
        <f t="shared" ref="K115:AZ115" si="42" xml:space="preserve"> K112</f>
        <v>0.95069568039079766</v>
      </c>
      <c r="L115" s="372">
        <f t="shared" si="42"/>
        <v>0.94119347751683824</v>
      </c>
      <c r="M115" s="372">
        <f t="shared" si="42"/>
        <v>0.93147429944202154</v>
      </c>
      <c r="N115" s="372">
        <f t="shared" si="42"/>
        <v>0.92216421426151562</v>
      </c>
      <c r="O115" s="372">
        <f t="shared" si="42"/>
        <v>0.9126415407339884</v>
      </c>
      <c r="P115" s="372">
        <f t="shared" si="42"/>
        <v>0.90321720252430293</v>
      </c>
      <c r="Q115" s="372">
        <f t="shared" si="42"/>
        <v>0.89418954701406861</v>
      </c>
      <c r="R115" s="372">
        <f t="shared" si="42"/>
        <v>0.88495575221238942</v>
      </c>
      <c r="S115" s="372">
        <f t="shared" si="42"/>
        <v>0.87611061988934902</v>
      </c>
      <c r="T115" s="372">
        <f t="shared" si="42"/>
        <v>0.86706351604582488</v>
      </c>
      <c r="U115" s="372">
        <f t="shared" si="42"/>
        <v>0.85810983657828399</v>
      </c>
      <c r="V115" s="372">
        <f t="shared" si="42"/>
        <v>0.85010213979687899</v>
      </c>
      <c r="W115" s="372">
        <f t="shared" si="42"/>
        <v>0.84132361096530772</v>
      </c>
      <c r="X115" s="372">
        <f t="shared" si="42"/>
        <v>0.83291458187330825</v>
      </c>
      <c r="Y115" s="372">
        <f t="shared" si="42"/>
        <v>0.82431353932922269</v>
      </c>
      <c r="Z115" s="372">
        <f t="shared" si="42"/>
        <v>0.81607452589514673</v>
      </c>
      <c r="AA115" s="372">
        <f t="shared" si="42"/>
        <v>0.80764738118052082</v>
      </c>
      <c r="AB115" s="372">
        <f t="shared" si="42"/>
        <v>0.79930725887106469</v>
      </c>
      <c r="AC115" s="372">
        <f t="shared" si="42"/>
        <v>0.79131818319829084</v>
      </c>
      <c r="AD115" s="372">
        <f t="shared" si="42"/>
        <v>0.78314668337379612</v>
      </c>
      <c r="AE115" s="372">
        <f t="shared" si="42"/>
        <v>0.77531913264544172</v>
      </c>
      <c r="AF115" s="372">
        <f t="shared" si="42"/>
        <v>0.76731284605825223</v>
      </c>
      <c r="AG115" s="372">
        <f t="shared" si="42"/>
        <v>0.75938923590998586</v>
      </c>
      <c r="AH115" s="372">
        <f t="shared" si="42"/>
        <v>0.75205091755965903</v>
      </c>
      <c r="AI115" s="372">
        <f t="shared" si="42"/>
        <v>0.74428490880195297</v>
      </c>
      <c r="AJ115" s="372">
        <f t="shared" si="42"/>
        <v>0.73684578149198621</v>
      </c>
      <c r="AK115" s="372">
        <f t="shared" si="42"/>
        <v>0.72923678766120414</v>
      </c>
      <c r="AL115" s="372">
        <f t="shared" si="42"/>
        <v>0.72194806631489183</v>
      </c>
      <c r="AM115" s="372">
        <f t="shared" si="42"/>
        <v>0.7144929128476194</v>
      </c>
      <c r="AN115" s="372">
        <f t="shared" si="42"/>
        <v>0.70711474457611634</v>
      </c>
      <c r="AO115" s="372">
        <f t="shared" si="42"/>
        <v>0.70004713303993238</v>
      </c>
      <c r="AP115" s="372">
        <f t="shared" si="42"/>
        <v>0.69281813824841432</v>
      </c>
      <c r="AQ115" s="372">
        <f t="shared" si="42"/>
        <v>0.68589342128568542</v>
      </c>
      <c r="AR115" s="372">
        <f t="shared" si="42"/>
        <v>0.67881058395089156</v>
      </c>
      <c r="AS115" s="372">
        <f t="shared" si="42"/>
        <v>0.67180088711162411</v>
      </c>
      <c r="AT115" s="372">
        <f t="shared" si="42"/>
        <v>0.66553178545102565</v>
      </c>
      <c r="AU115" s="372">
        <f t="shared" si="42"/>
        <v>0.65865921132916205</v>
      </c>
      <c r="AV115" s="372">
        <f t="shared" si="42"/>
        <v>0.65207591282476662</v>
      </c>
      <c r="AW115" s="372">
        <f t="shared" si="42"/>
        <v>0.64534228996566745</v>
      </c>
      <c r="AX115" s="372">
        <f t="shared" si="42"/>
        <v>0.63889209408397529</v>
      </c>
      <c r="AY115" s="372">
        <f t="shared" si="42"/>
        <v>0.63229461313948632</v>
      </c>
      <c r="AZ115" s="372">
        <f t="shared" si="42"/>
        <v>0.62576526068682869</v>
      </c>
    </row>
    <row r="116" spans="1:52" x14ac:dyDescent="0.2">
      <c r="E116" s="85" t="s">
        <v>283</v>
      </c>
      <c r="H116" s="85">
        <f>SUM(J116:CA116)</f>
        <v>69059.672779062035</v>
      </c>
      <c r="J116" s="85">
        <f xml:space="preserve"> J114 * J115</f>
        <v>13861.680481313928</v>
      </c>
      <c r="K116" s="85">
        <f t="shared" ref="K116:AZ116" si="43" xml:space="preserve"> K114 * K115</f>
        <v>2079.0277395176554</v>
      </c>
      <c r="L116" s="85">
        <f t="shared" si="43"/>
        <v>2063.7163218455485</v>
      </c>
      <c r="M116" s="85">
        <f t="shared" si="43"/>
        <v>2051.7926379225664</v>
      </c>
      <c r="N116" s="85">
        <f t="shared" si="43"/>
        <v>2036.178105188721</v>
      </c>
      <c r="O116" s="85">
        <f t="shared" si="43"/>
        <v>2024.912505620408</v>
      </c>
      <c r="P116" s="85">
        <f t="shared" si="43"/>
        <v>2011.2724431658164</v>
      </c>
      <c r="Q116" s="85">
        <f t="shared" si="43"/>
        <v>1995.2322694671434</v>
      </c>
      <c r="R116" s="85">
        <f t="shared" si="43"/>
        <v>1984.9205226573163</v>
      </c>
      <c r="S116" s="85">
        <f t="shared" si="43"/>
        <v>1968.6121178764429</v>
      </c>
      <c r="T116" s="85">
        <f t="shared" si="43"/>
        <v>1958.9121504354664</v>
      </c>
      <c r="U116" s="85">
        <f t="shared" si="43"/>
        <v>1945.7166745811594</v>
      </c>
      <c r="V116" s="85">
        <f t="shared" si="43"/>
        <v>1921.8714898503017</v>
      </c>
      <c r="W116" s="85">
        <f t="shared" si="43"/>
        <v>1921.4755081348194</v>
      </c>
      <c r="X116" s="85">
        <f t="shared" si="43"/>
        <v>1904.5461846593321</v>
      </c>
      <c r="Y116" s="85">
        <f t="shared" si="43"/>
        <v>1896.2943537838523</v>
      </c>
      <c r="Z116" s="85">
        <f t="shared" si="43"/>
        <v>1879.1414696734143</v>
      </c>
      <c r="AA116" s="85">
        <f t="shared" si="43"/>
        <v>1871.4416021119255</v>
      </c>
      <c r="AB116" s="85">
        <f t="shared" si="43"/>
        <v>1858.8353387489037</v>
      </c>
      <c r="AC116" s="85">
        <f t="shared" si="43"/>
        <v>1841.3720392357889</v>
      </c>
      <c r="AD116" s="85">
        <f t="shared" si="43"/>
        <v>1834.4711922931513</v>
      </c>
      <c r="AE116" s="85">
        <f t="shared" si="43"/>
        <v>1816.8137360509097</v>
      </c>
      <c r="AF116" s="85">
        <f t="shared" si="43"/>
        <v>14331.435894927454</v>
      </c>
      <c r="AG116" s="85">
        <f t="shared" si="43"/>
        <v>0</v>
      </c>
      <c r="AH116" s="85">
        <f t="shared" si="43"/>
        <v>0</v>
      </c>
      <c r="AI116" s="85">
        <f t="shared" si="43"/>
        <v>0</v>
      </c>
      <c r="AJ116" s="85">
        <f t="shared" si="43"/>
        <v>0</v>
      </c>
      <c r="AK116" s="85">
        <f t="shared" si="43"/>
        <v>0</v>
      </c>
      <c r="AL116" s="85">
        <f t="shared" si="43"/>
        <v>0</v>
      </c>
      <c r="AM116" s="85">
        <f t="shared" si="43"/>
        <v>0</v>
      </c>
      <c r="AN116" s="85">
        <f t="shared" si="43"/>
        <v>0</v>
      </c>
      <c r="AO116" s="85">
        <f t="shared" si="43"/>
        <v>0</v>
      </c>
      <c r="AP116" s="85">
        <f t="shared" si="43"/>
        <v>0</v>
      </c>
      <c r="AQ116" s="85">
        <f t="shared" si="43"/>
        <v>0</v>
      </c>
      <c r="AR116" s="85">
        <f t="shared" si="43"/>
        <v>0</v>
      </c>
      <c r="AS116" s="85">
        <f t="shared" si="43"/>
        <v>0</v>
      </c>
      <c r="AT116" s="85">
        <f t="shared" si="43"/>
        <v>0</v>
      </c>
      <c r="AU116" s="85">
        <f t="shared" si="43"/>
        <v>0</v>
      </c>
      <c r="AV116" s="85">
        <f t="shared" si="43"/>
        <v>0</v>
      </c>
      <c r="AW116" s="85">
        <f t="shared" si="43"/>
        <v>0</v>
      </c>
      <c r="AX116" s="85">
        <f t="shared" si="43"/>
        <v>0</v>
      </c>
      <c r="AY116" s="85">
        <f t="shared" si="43"/>
        <v>0</v>
      </c>
      <c r="AZ116" s="85">
        <f t="shared" si="43"/>
        <v>0</v>
      </c>
    </row>
    <row r="117" spans="1:52" s="140" customFormat="1" x14ac:dyDescent="0.2">
      <c r="A117" s="137"/>
      <c r="B117" s="145"/>
      <c r="C117" s="146"/>
      <c r="D117" s="139"/>
      <c r="E117" s="140" t="s">
        <v>284</v>
      </c>
      <c r="F117" s="140">
        <f xml:space="preserve"> SUM(J116:CA116)</f>
        <v>69059.672779062035</v>
      </c>
      <c r="G117" s="140" t="str">
        <f xml:space="preserve"> SMU</f>
        <v>€ 000s</v>
      </c>
      <c r="AF117" s="248"/>
    </row>
    <row r="120" spans="1:52" x14ac:dyDescent="0.2">
      <c r="A120" s="81" t="s">
        <v>250</v>
      </c>
    </row>
    <row r="122" spans="1:52" s="96" customFormat="1" x14ac:dyDescent="0.2">
      <c r="A122" s="92"/>
      <c r="B122" s="93"/>
      <c r="C122" s="94"/>
      <c r="D122" s="95"/>
      <c r="E122" s="343" t="str">
        <f xml:space="preserve"> ConCost!E$41</f>
        <v>Construction costs</v>
      </c>
      <c r="F122" s="96">
        <f xml:space="preserve"> ConCost!F$41</f>
        <v>0</v>
      </c>
      <c r="G122" s="96" t="str">
        <f xml:space="preserve"> ConCost!G$41</f>
        <v>€ 000s</v>
      </c>
      <c r="H122" s="96">
        <f xml:space="preserve"> ConCost!H$41</f>
        <v>368500</v>
      </c>
      <c r="I122" s="96">
        <f xml:space="preserve"> ConCost!I$41</f>
        <v>0</v>
      </c>
      <c r="J122" s="96">
        <f xml:space="preserve"> ConCost!J$41</f>
        <v>64350</v>
      </c>
      <c r="K122" s="96">
        <f xml:space="preserve"> ConCost!K$41</f>
        <v>10480</v>
      </c>
      <c r="L122" s="96">
        <f xml:space="preserve"> ConCost!L$41</f>
        <v>10480</v>
      </c>
      <c r="M122" s="96">
        <f xml:space="preserve"> ConCost!M$41</f>
        <v>10480</v>
      </c>
      <c r="N122" s="96">
        <f xml:space="preserve"> ConCost!N$41</f>
        <v>10480</v>
      </c>
      <c r="O122" s="96">
        <f xml:space="preserve"> ConCost!O$41</f>
        <v>10480</v>
      </c>
      <c r="P122" s="96">
        <f xml:space="preserve"> ConCost!P$41</f>
        <v>10480</v>
      </c>
      <c r="Q122" s="96">
        <f xml:space="preserve"> ConCost!Q$41</f>
        <v>10480</v>
      </c>
      <c r="R122" s="96">
        <f xml:space="preserve"> ConCost!R$41</f>
        <v>10480</v>
      </c>
      <c r="S122" s="96">
        <f xml:space="preserve"> ConCost!S$41</f>
        <v>10480</v>
      </c>
      <c r="T122" s="96">
        <f xml:space="preserve"> ConCost!T$41</f>
        <v>10480</v>
      </c>
      <c r="U122" s="96">
        <f xml:space="preserve"> ConCost!U$41</f>
        <v>10480</v>
      </c>
      <c r="V122" s="96">
        <f xml:space="preserve"> ConCost!V$41</f>
        <v>10480</v>
      </c>
      <c r="W122" s="96">
        <f xml:space="preserve"> ConCost!W$41</f>
        <v>10480</v>
      </c>
      <c r="X122" s="96">
        <f xml:space="preserve"> ConCost!X$41</f>
        <v>10480</v>
      </c>
      <c r="Y122" s="96">
        <f xml:space="preserve"> ConCost!Y$41</f>
        <v>10480</v>
      </c>
      <c r="Z122" s="96">
        <f xml:space="preserve"> ConCost!Z$41</f>
        <v>10480</v>
      </c>
      <c r="AA122" s="96">
        <f xml:space="preserve"> ConCost!AA$41</f>
        <v>10480</v>
      </c>
      <c r="AB122" s="96">
        <f xml:space="preserve"> ConCost!AB$41</f>
        <v>10480</v>
      </c>
      <c r="AC122" s="96">
        <f xml:space="preserve"> ConCost!AC$41</f>
        <v>10480</v>
      </c>
      <c r="AD122" s="96">
        <f xml:space="preserve"> ConCost!AD$41</f>
        <v>10480</v>
      </c>
      <c r="AE122" s="96">
        <f xml:space="preserve"> ConCost!AE$41</f>
        <v>10480</v>
      </c>
      <c r="AF122" s="96">
        <f xml:space="preserve"> ConCost!AF$41</f>
        <v>84070</v>
      </c>
      <c r="AG122" s="96">
        <f xml:space="preserve"> ConCost!AG$41</f>
        <v>0</v>
      </c>
      <c r="AH122" s="96">
        <f xml:space="preserve"> ConCost!AH$41</f>
        <v>0</v>
      </c>
      <c r="AI122" s="96">
        <f xml:space="preserve"> ConCost!AI$41</f>
        <v>0</v>
      </c>
      <c r="AJ122" s="96">
        <f xml:space="preserve"> ConCost!AJ$41</f>
        <v>0</v>
      </c>
      <c r="AK122" s="96">
        <f xml:space="preserve"> ConCost!AK$41</f>
        <v>0</v>
      </c>
      <c r="AL122" s="96">
        <f xml:space="preserve"> ConCost!AL$41</f>
        <v>0</v>
      </c>
      <c r="AM122" s="96">
        <f xml:space="preserve"> ConCost!AM$41</f>
        <v>0</v>
      </c>
      <c r="AN122" s="96">
        <f xml:space="preserve"> ConCost!AN$41</f>
        <v>0</v>
      </c>
      <c r="AO122" s="96">
        <f xml:space="preserve"> ConCost!AO$41</f>
        <v>0</v>
      </c>
      <c r="AP122" s="96">
        <f xml:space="preserve"> ConCost!AP$41</f>
        <v>0</v>
      </c>
      <c r="AQ122" s="96">
        <f xml:space="preserve"> ConCost!AQ$41</f>
        <v>0</v>
      </c>
      <c r="AR122" s="96">
        <f xml:space="preserve"> ConCost!AR$41</f>
        <v>0</v>
      </c>
      <c r="AS122" s="96">
        <f xml:space="preserve"> ConCost!AS$41</f>
        <v>0</v>
      </c>
      <c r="AT122" s="96">
        <f xml:space="preserve"> ConCost!AT$41</f>
        <v>0</v>
      </c>
      <c r="AU122" s="96">
        <f xml:space="preserve"> ConCost!AU$41</f>
        <v>0</v>
      </c>
      <c r="AV122" s="96">
        <f xml:space="preserve"> ConCost!AV$41</f>
        <v>0</v>
      </c>
      <c r="AW122" s="96">
        <f xml:space="preserve"> ConCost!AW$41</f>
        <v>0</v>
      </c>
      <c r="AX122" s="96">
        <f xml:space="preserve"> ConCost!AX$41</f>
        <v>0</v>
      </c>
      <c r="AY122" s="96">
        <f xml:space="preserve"> ConCost!AY$41</f>
        <v>0</v>
      </c>
      <c r="AZ122" s="96">
        <f xml:space="preserve"> ConCost!AZ$41</f>
        <v>0</v>
      </c>
    </row>
    <row r="123" spans="1:52" s="135" customFormat="1" x14ac:dyDescent="0.2">
      <c r="A123" s="82"/>
      <c r="B123" s="82"/>
      <c r="C123" s="83"/>
      <c r="D123" s="275"/>
      <c r="E123" s="160" t="str">
        <f xml:space="preserve"> E$11</f>
        <v>Arrangement fees</v>
      </c>
      <c r="F123" s="135">
        <f t="shared" ref="F123:AZ123" si="44" xml:space="preserve"> F$11</f>
        <v>0</v>
      </c>
      <c r="G123" s="135">
        <f t="shared" si="44"/>
        <v>0</v>
      </c>
      <c r="H123" s="135">
        <f t="shared" si="44"/>
        <v>7800</v>
      </c>
      <c r="I123" s="135">
        <f t="shared" si="44"/>
        <v>0</v>
      </c>
      <c r="J123" s="135">
        <f t="shared" si="44"/>
        <v>7800</v>
      </c>
      <c r="K123" s="135">
        <f t="shared" si="44"/>
        <v>0</v>
      </c>
      <c r="L123" s="135">
        <f t="shared" si="44"/>
        <v>0</v>
      </c>
      <c r="M123" s="135">
        <f t="shared" si="44"/>
        <v>0</v>
      </c>
      <c r="N123" s="135">
        <f t="shared" si="44"/>
        <v>0</v>
      </c>
      <c r="O123" s="135">
        <f t="shared" si="44"/>
        <v>0</v>
      </c>
      <c r="P123" s="135">
        <f t="shared" si="44"/>
        <v>0</v>
      </c>
      <c r="Q123" s="135">
        <f t="shared" si="44"/>
        <v>0</v>
      </c>
      <c r="R123" s="135">
        <f t="shared" si="44"/>
        <v>0</v>
      </c>
      <c r="S123" s="135">
        <f t="shared" si="44"/>
        <v>0</v>
      </c>
      <c r="T123" s="135">
        <f t="shared" si="44"/>
        <v>0</v>
      </c>
      <c r="U123" s="135">
        <f t="shared" si="44"/>
        <v>0</v>
      </c>
      <c r="V123" s="135">
        <f t="shared" si="44"/>
        <v>0</v>
      </c>
      <c r="W123" s="135">
        <f t="shared" si="44"/>
        <v>0</v>
      </c>
      <c r="X123" s="135">
        <f t="shared" si="44"/>
        <v>0</v>
      </c>
      <c r="Y123" s="135">
        <f t="shared" si="44"/>
        <v>0</v>
      </c>
      <c r="Z123" s="135">
        <f t="shared" si="44"/>
        <v>0</v>
      </c>
      <c r="AA123" s="135">
        <f t="shared" si="44"/>
        <v>0</v>
      </c>
      <c r="AB123" s="135">
        <f t="shared" si="44"/>
        <v>0</v>
      </c>
      <c r="AC123" s="135">
        <f t="shared" si="44"/>
        <v>0</v>
      </c>
      <c r="AD123" s="135">
        <f t="shared" si="44"/>
        <v>0</v>
      </c>
      <c r="AE123" s="135">
        <f t="shared" si="44"/>
        <v>0</v>
      </c>
      <c r="AF123" s="135">
        <f t="shared" si="44"/>
        <v>0</v>
      </c>
      <c r="AG123" s="135">
        <f t="shared" si="44"/>
        <v>0</v>
      </c>
      <c r="AH123" s="135">
        <f t="shared" si="44"/>
        <v>0</v>
      </c>
      <c r="AI123" s="135">
        <f t="shared" si="44"/>
        <v>0</v>
      </c>
      <c r="AJ123" s="135">
        <f t="shared" si="44"/>
        <v>0</v>
      </c>
      <c r="AK123" s="135">
        <f t="shared" si="44"/>
        <v>0</v>
      </c>
      <c r="AL123" s="135">
        <f t="shared" si="44"/>
        <v>0</v>
      </c>
      <c r="AM123" s="135">
        <f t="shared" si="44"/>
        <v>0</v>
      </c>
      <c r="AN123" s="135">
        <f t="shared" si="44"/>
        <v>0</v>
      </c>
      <c r="AO123" s="135">
        <f t="shared" si="44"/>
        <v>0</v>
      </c>
      <c r="AP123" s="135">
        <f t="shared" si="44"/>
        <v>0</v>
      </c>
      <c r="AQ123" s="135">
        <f t="shared" si="44"/>
        <v>0</v>
      </c>
      <c r="AR123" s="135">
        <f t="shared" si="44"/>
        <v>0</v>
      </c>
      <c r="AS123" s="135">
        <f t="shared" si="44"/>
        <v>0</v>
      </c>
      <c r="AT123" s="135">
        <f t="shared" si="44"/>
        <v>0</v>
      </c>
      <c r="AU123" s="135">
        <f t="shared" si="44"/>
        <v>0</v>
      </c>
      <c r="AV123" s="135">
        <f t="shared" si="44"/>
        <v>0</v>
      </c>
      <c r="AW123" s="135">
        <f t="shared" si="44"/>
        <v>0</v>
      </c>
      <c r="AX123" s="135">
        <f t="shared" si="44"/>
        <v>0</v>
      </c>
      <c r="AY123" s="135">
        <f t="shared" si="44"/>
        <v>0</v>
      </c>
      <c r="AZ123" s="135">
        <f t="shared" si="44"/>
        <v>0</v>
      </c>
    </row>
    <row r="124" spans="1:52" s="135" customFormat="1" x14ac:dyDescent="0.2">
      <c r="A124" s="82"/>
      <c r="B124" s="82"/>
      <c r="C124" s="83"/>
      <c r="D124" s="275"/>
      <c r="E124" s="160" t="str">
        <f>E$16</f>
        <v>Agent bank fees DC</v>
      </c>
      <c r="F124" s="135">
        <f t="shared" ref="F124:AZ124" si="45">F$16</f>
        <v>0</v>
      </c>
      <c r="G124" s="135">
        <f t="shared" si="45"/>
        <v>0</v>
      </c>
      <c r="H124" s="135">
        <f t="shared" si="45"/>
        <v>660</v>
      </c>
      <c r="I124" s="135">
        <f t="shared" si="45"/>
        <v>0</v>
      </c>
      <c r="J124" s="135">
        <f t="shared" si="45"/>
        <v>0</v>
      </c>
      <c r="K124" s="135">
        <f t="shared" si="45"/>
        <v>30</v>
      </c>
      <c r="L124" s="135">
        <f t="shared" si="45"/>
        <v>30</v>
      </c>
      <c r="M124" s="135">
        <f t="shared" si="45"/>
        <v>30</v>
      </c>
      <c r="N124" s="135">
        <f t="shared" si="45"/>
        <v>30</v>
      </c>
      <c r="O124" s="135">
        <f t="shared" si="45"/>
        <v>30</v>
      </c>
      <c r="P124" s="135">
        <f t="shared" si="45"/>
        <v>30</v>
      </c>
      <c r="Q124" s="135">
        <f t="shared" si="45"/>
        <v>30</v>
      </c>
      <c r="R124" s="135">
        <f t="shared" si="45"/>
        <v>30</v>
      </c>
      <c r="S124" s="135">
        <f t="shared" si="45"/>
        <v>30</v>
      </c>
      <c r="T124" s="135">
        <f t="shared" si="45"/>
        <v>30</v>
      </c>
      <c r="U124" s="135">
        <f t="shared" si="45"/>
        <v>30</v>
      </c>
      <c r="V124" s="135">
        <f t="shared" si="45"/>
        <v>30</v>
      </c>
      <c r="W124" s="135">
        <f t="shared" si="45"/>
        <v>30</v>
      </c>
      <c r="X124" s="135">
        <f t="shared" si="45"/>
        <v>30</v>
      </c>
      <c r="Y124" s="135">
        <f t="shared" si="45"/>
        <v>30</v>
      </c>
      <c r="Z124" s="135">
        <f t="shared" si="45"/>
        <v>30</v>
      </c>
      <c r="AA124" s="135">
        <f t="shared" si="45"/>
        <v>30</v>
      </c>
      <c r="AB124" s="135">
        <f t="shared" si="45"/>
        <v>30</v>
      </c>
      <c r="AC124" s="135">
        <f t="shared" si="45"/>
        <v>30</v>
      </c>
      <c r="AD124" s="135">
        <f t="shared" si="45"/>
        <v>30</v>
      </c>
      <c r="AE124" s="135">
        <f t="shared" si="45"/>
        <v>30</v>
      </c>
      <c r="AF124" s="135">
        <f t="shared" si="45"/>
        <v>30</v>
      </c>
      <c r="AG124" s="135">
        <f t="shared" si="45"/>
        <v>0</v>
      </c>
      <c r="AH124" s="135">
        <f t="shared" si="45"/>
        <v>0</v>
      </c>
      <c r="AI124" s="135">
        <f t="shared" si="45"/>
        <v>0</v>
      </c>
      <c r="AJ124" s="135">
        <f t="shared" si="45"/>
        <v>0</v>
      </c>
      <c r="AK124" s="135">
        <f t="shared" si="45"/>
        <v>0</v>
      </c>
      <c r="AL124" s="135">
        <f t="shared" si="45"/>
        <v>0</v>
      </c>
      <c r="AM124" s="135">
        <f t="shared" si="45"/>
        <v>0</v>
      </c>
      <c r="AN124" s="135">
        <f t="shared" si="45"/>
        <v>0</v>
      </c>
      <c r="AO124" s="135">
        <f t="shared" si="45"/>
        <v>0</v>
      </c>
      <c r="AP124" s="135">
        <f t="shared" si="45"/>
        <v>0</v>
      </c>
      <c r="AQ124" s="135">
        <f t="shared" si="45"/>
        <v>0</v>
      </c>
      <c r="AR124" s="135">
        <f t="shared" si="45"/>
        <v>0</v>
      </c>
      <c r="AS124" s="135">
        <f t="shared" si="45"/>
        <v>0</v>
      </c>
      <c r="AT124" s="135">
        <f t="shared" si="45"/>
        <v>0</v>
      </c>
      <c r="AU124" s="135">
        <f t="shared" si="45"/>
        <v>0</v>
      </c>
      <c r="AV124" s="135">
        <f t="shared" si="45"/>
        <v>0</v>
      </c>
      <c r="AW124" s="135">
        <f t="shared" si="45"/>
        <v>0</v>
      </c>
      <c r="AX124" s="135">
        <f t="shared" si="45"/>
        <v>0</v>
      </c>
      <c r="AY124" s="135">
        <f t="shared" si="45"/>
        <v>0</v>
      </c>
      <c r="AZ124" s="135">
        <f t="shared" si="45"/>
        <v>0</v>
      </c>
    </row>
    <row r="125" spans="1:52" s="135" customFormat="1" x14ac:dyDescent="0.2">
      <c r="A125" s="82"/>
      <c r="B125" s="82"/>
      <c r="C125" s="83"/>
      <c r="D125" s="275"/>
      <c r="E125" s="187" t="str">
        <f xml:space="preserve"> E$37</f>
        <v>Interest during construction</v>
      </c>
      <c r="F125" s="135">
        <f t="shared" ref="F125:AZ125" si="46" xml:space="preserve"> F$37</f>
        <v>0</v>
      </c>
      <c r="G125" s="135">
        <f t="shared" si="46"/>
        <v>0</v>
      </c>
      <c r="H125" s="135">
        <f t="shared" si="46"/>
        <v>16260.923828532959</v>
      </c>
      <c r="I125" s="135">
        <f t="shared" si="46"/>
        <v>0</v>
      </c>
      <c r="J125" s="135">
        <f t="shared" si="46"/>
        <v>0</v>
      </c>
      <c r="K125" s="135">
        <f t="shared" si="46"/>
        <v>285.79416666666668</v>
      </c>
      <c r="L125" s="135">
        <f t="shared" si="46"/>
        <v>318.48960263888887</v>
      </c>
      <c r="M125" s="135">
        <f t="shared" si="46"/>
        <v>372.5327517897291</v>
      </c>
      <c r="N125" s="135">
        <f t="shared" si="46"/>
        <v>402.7346866079028</v>
      </c>
      <c r="O125" s="135">
        <f t="shared" si="46"/>
        <v>459.89069161139821</v>
      </c>
      <c r="P125" s="135">
        <f t="shared" si="46"/>
        <v>503.83403117596612</v>
      </c>
      <c r="Q125" s="135">
        <f t="shared" si="46"/>
        <v>530.26140717221415</v>
      </c>
      <c r="R125" s="135">
        <f t="shared" si="46"/>
        <v>592.12952450056071</v>
      </c>
      <c r="S125" s="135">
        <f t="shared" si="46"/>
        <v>616.01864241720318</v>
      </c>
      <c r="T125" s="135">
        <f t="shared" si="46"/>
        <v>681.05548958785209</v>
      </c>
      <c r="U125" s="135">
        <f t="shared" si="46"/>
        <v>725.80116589174588</v>
      </c>
      <c r="V125" s="135">
        <f t="shared" si="46"/>
        <v>696.12441122071039</v>
      </c>
      <c r="W125" s="135">
        <f t="shared" si="46"/>
        <v>815.48465098259976</v>
      </c>
      <c r="X125" s="135">
        <f t="shared" si="46"/>
        <v>832.95290942989038</v>
      </c>
      <c r="Y125" s="135">
        <f t="shared" si="46"/>
        <v>906.00547776665815</v>
      </c>
      <c r="Z125" s="135">
        <f t="shared" si="46"/>
        <v>920.87150577946284</v>
      </c>
      <c r="AA125" s="135">
        <f t="shared" si="46"/>
        <v>997.17266625134721</v>
      </c>
      <c r="AB125" s="135">
        <f t="shared" si="46"/>
        <v>1043.0651454239146</v>
      </c>
      <c r="AC125" s="135">
        <f t="shared" si="46"/>
        <v>1053.99107643154</v>
      </c>
      <c r="AD125" s="135">
        <f t="shared" si="46"/>
        <v>1135.2110050390188</v>
      </c>
      <c r="AE125" s="135">
        <f t="shared" si="46"/>
        <v>1143.4879902866337</v>
      </c>
      <c r="AF125" s="135">
        <f t="shared" si="46"/>
        <v>1228.0148298610582</v>
      </c>
      <c r="AG125" s="135">
        <f t="shared" si="46"/>
        <v>0</v>
      </c>
      <c r="AH125" s="135">
        <f t="shared" si="46"/>
        <v>0</v>
      </c>
      <c r="AI125" s="135">
        <f t="shared" si="46"/>
        <v>0</v>
      </c>
      <c r="AJ125" s="135">
        <f t="shared" si="46"/>
        <v>0</v>
      </c>
      <c r="AK125" s="135">
        <f t="shared" si="46"/>
        <v>0</v>
      </c>
      <c r="AL125" s="135">
        <f t="shared" si="46"/>
        <v>0</v>
      </c>
      <c r="AM125" s="135">
        <f t="shared" si="46"/>
        <v>0</v>
      </c>
      <c r="AN125" s="135">
        <f t="shared" si="46"/>
        <v>0</v>
      </c>
      <c r="AO125" s="135">
        <f t="shared" si="46"/>
        <v>0</v>
      </c>
      <c r="AP125" s="135">
        <f t="shared" si="46"/>
        <v>0</v>
      </c>
      <c r="AQ125" s="135">
        <f t="shared" si="46"/>
        <v>0</v>
      </c>
      <c r="AR125" s="135">
        <f t="shared" si="46"/>
        <v>0</v>
      </c>
      <c r="AS125" s="135">
        <f t="shared" si="46"/>
        <v>0</v>
      </c>
      <c r="AT125" s="135">
        <f t="shared" si="46"/>
        <v>0</v>
      </c>
      <c r="AU125" s="135">
        <f t="shared" si="46"/>
        <v>0</v>
      </c>
      <c r="AV125" s="135">
        <f t="shared" si="46"/>
        <v>0</v>
      </c>
      <c r="AW125" s="135">
        <f t="shared" si="46"/>
        <v>0</v>
      </c>
      <c r="AX125" s="135">
        <f t="shared" si="46"/>
        <v>0</v>
      </c>
      <c r="AY125" s="135">
        <f t="shared" si="46"/>
        <v>0</v>
      </c>
      <c r="AZ125" s="135">
        <f t="shared" si="46"/>
        <v>0</v>
      </c>
    </row>
    <row r="126" spans="1:52" s="135" customFormat="1" x14ac:dyDescent="0.2">
      <c r="A126" s="82"/>
      <c r="B126" s="82"/>
      <c r="C126" s="83"/>
      <c r="D126" s="275"/>
      <c r="E126" s="160" t="str">
        <f>E$52</f>
        <v>Commitment fees</v>
      </c>
      <c r="F126" s="135">
        <f t="shared" ref="F126:AZ126" si="47">F$52</f>
        <v>0</v>
      </c>
      <c r="G126" s="135">
        <f t="shared" si="47"/>
        <v>0</v>
      </c>
      <c r="H126" s="135">
        <f t="shared" si="47"/>
        <v>2184.0208543419221</v>
      </c>
      <c r="I126" s="135">
        <f t="shared" si="47"/>
        <v>0</v>
      </c>
      <c r="J126" s="135">
        <f t="shared" si="47"/>
        <v>0</v>
      </c>
      <c r="K126" s="135">
        <f t="shared" si="47"/>
        <v>138.45000000000002</v>
      </c>
      <c r="L126" s="135">
        <f t="shared" si="47"/>
        <v>134.80525194444445</v>
      </c>
      <c r="M126" s="135">
        <f t="shared" si="47"/>
        <v>131.15082032625003</v>
      </c>
      <c r="N126" s="135">
        <f t="shared" si="47"/>
        <v>127.47959246887802</v>
      </c>
      <c r="O126" s="135">
        <f t="shared" si="47"/>
        <v>123.7995210425191</v>
      </c>
      <c r="P126" s="135">
        <f t="shared" si="47"/>
        <v>120.10162430496779</v>
      </c>
      <c r="Q126" s="135">
        <f t="shared" si="47"/>
        <v>116.39031241980749</v>
      </c>
      <c r="R126" s="135">
        <f t="shared" si="47"/>
        <v>112.67142851327679</v>
      </c>
      <c r="S126" s="135">
        <f t="shared" si="47"/>
        <v>108.93316152893885</v>
      </c>
      <c r="T126" s="135">
        <f t="shared" si="47"/>
        <v>105.18817759429014</v>
      </c>
      <c r="U126" s="135">
        <f t="shared" si="47"/>
        <v>101.42276303856276</v>
      </c>
      <c r="V126" s="135">
        <f t="shared" si="47"/>
        <v>97.643688395585997</v>
      </c>
      <c r="W126" s="135">
        <f t="shared" si="47"/>
        <v>93.875765695713895</v>
      </c>
      <c r="X126" s="135">
        <f t="shared" si="47"/>
        <v>90.069312223487785</v>
      </c>
      <c r="Y126" s="135">
        <f t="shared" si="47"/>
        <v>86.258304816269998</v>
      </c>
      <c r="Z126" s="135">
        <f t="shared" si="47"/>
        <v>82.42421688874235</v>
      </c>
      <c r="AA126" s="135">
        <f t="shared" si="47"/>
        <v>78.586451647852954</v>
      </c>
      <c r="AB126" s="135">
        <f t="shared" si="47"/>
        <v>74.724531941886553</v>
      </c>
      <c r="AC126" s="135">
        <f t="shared" si="47"/>
        <v>70.848602049431292</v>
      </c>
      <c r="AD126" s="135">
        <f t="shared" si="47"/>
        <v>66.970322156604297</v>
      </c>
      <c r="AE126" s="135">
        <f t="shared" si="47"/>
        <v>63.066261714205758</v>
      </c>
      <c r="AF126" s="135">
        <f t="shared" si="47"/>
        <v>59.160743630205488</v>
      </c>
      <c r="AG126" s="135">
        <f t="shared" si="47"/>
        <v>0</v>
      </c>
      <c r="AH126" s="135">
        <f t="shared" si="47"/>
        <v>0</v>
      </c>
      <c r="AI126" s="135">
        <f t="shared" si="47"/>
        <v>0</v>
      </c>
      <c r="AJ126" s="135">
        <f t="shared" si="47"/>
        <v>0</v>
      </c>
      <c r="AK126" s="135">
        <f t="shared" si="47"/>
        <v>0</v>
      </c>
      <c r="AL126" s="135">
        <f t="shared" si="47"/>
        <v>0</v>
      </c>
      <c r="AM126" s="135">
        <f t="shared" si="47"/>
        <v>0</v>
      </c>
      <c r="AN126" s="135">
        <f t="shared" si="47"/>
        <v>0</v>
      </c>
      <c r="AO126" s="135">
        <f t="shared" si="47"/>
        <v>0</v>
      </c>
      <c r="AP126" s="135">
        <f t="shared" si="47"/>
        <v>0</v>
      </c>
      <c r="AQ126" s="135">
        <f t="shared" si="47"/>
        <v>0</v>
      </c>
      <c r="AR126" s="135">
        <f t="shared" si="47"/>
        <v>0</v>
      </c>
      <c r="AS126" s="135">
        <f t="shared" si="47"/>
        <v>0</v>
      </c>
      <c r="AT126" s="135">
        <f t="shared" si="47"/>
        <v>0</v>
      </c>
      <c r="AU126" s="135">
        <f t="shared" si="47"/>
        <v>0</v>
      </c>
      <c r="AV126" s="135">
        <f t="shared" si="47"/>
        <v>0</v>
      </c>
      <c r="AW126" s="135">
        <f t="shared" si="47"/>
        <v>0</v>
      </c>
      <c r="AX126" s="135">
        <f t="shared" si="47"/>
        <v>0</v>
      </c>
      <c r="AY126" s="135">
        <f t="shared" si="47"/>
        <v>0</v>
      </c>
      <c r="AZ126" s="135">
        <f t="shared" si="47"/>
        <v>0</v>
      </c>
    </row>
    <row r="127" spans="1:52" x14ac:dyDescent="0.2">
      <c r="E127" s="85" t="s">
        <v>251</v>
      </c>
      <c r="H127" s="85">
        <f>SUM(J127:AZ127)</f>
        <v>395404.94468287478</v>
      </c>
      <c r="J127" s="85">
        <f t="shared" ref="J127:AZ127" si="48">SUM(J122:J126)</f>
        <v>72150</v>
      </c>
      <c r="K127" s="85">
        <f t="shared" si="48"/>
        <v>10934.244166666667</v>
      </c>
      <c r="L127" s="85">
        <f t="shared" si="48"/>
        <v>10963.294854583333</v>
      </c>
      <c r="M127" s="85">
        <f t="shared" si="48"/>
        <v>11013.683572115979</v>
      </c>
      <c r="N127" s="85">
        <f t="shared" si="48"/>
        <v>11040.214279076781</v>
      </c>
      <c r="O127" s="85">
        <f t="shared" si="48"/>
        <v>11093.690212653917</v>
      </c>
      <c r="P127" s="85">
        <f t="shared" si="48"/>
        <v>11133.935655480933</v>
      </c>
      <c r="Q127" s="85">
        <f t="shared" si="48"/>
        <v>11156.651719592022</v>
      </c>
      <c r="R127" s="85">
        <f t="shared" si="48"/>
        <v>11214.800953013837</v>
      </c>
      <c r="S127" s="85">
        <f t="shared" si="48"/>
        <v>11234.951803946142</v>
      </c>
      <c r="T127" s="85">
        <f t="shared" si="48"/>
        <v>11296.243667182142</v>
      </c>
      <c r="U127" s="85">
        <f t="shared" si="48"/>
        <v>11337.223928930309</v>
      </c>
      <c r="V127" s="85">
        <f t="shared" si="48"/>
        <v>11303.768099616296</v>
      </c>
      <c r="W127" s="85">
        <f t="shared" si="48"/>
        <v>11419.360416678313</v>
      </c>
      <c r="X127" s="85">
        <f t="shared" si="48"/>
        <v>11433.022221653378</v>
      </c>
      <c r="Y127" s="85">
        <f t="shared" si="48"/>
        <v>11502.263782582928</v>
      </c>
      <c r="Z127" s="85">
        <f t="shared" si="48"/>
        <v>11513.295722668207</v>
      </c>
      <c r="AA127" s="85">
        <f t="shared" si="48"/>
        <v>11585.759117899199</v>
      </c>
      <c r="AB127" s="85">
        <f t="shared" si="48"/>
        <v>11627.789677365801</v>
      </c>
      <c r="AC127" s="85">
        <f t="shared" si="48"/>
        <v>11634.83967848097</v>
      </c>
      <c r="AD127" s="85">
        <f t="shared" si="48"/>
        <v>11712.181327195623</v>
      </c>
      <c r="AE127" s="85">
        <f t="shared" si="48"/>
        <v>11716.55425200084</v>
      </c>
      <c r="AF127" s="85">
        <f t="shared" si="48"/>
        <v>85387.175573491259</v>
      </c>
      <c r="AG127" s="85">
        <f t="shared" si="48"/>
        <v>0</v>
      </c>
      <c r="AH127" s="85">
        <f t="shared" si="48"/>
        <v>0</v>
      </c>
      <c r="AI127" s="85">
        <f t="shared" si="48"/>
        <v>0</v>
      </c>
      <c r="AJ127" s="85">
        <f t="shared" si="48"/>
        <v>0</v>
      </c>
      <c r="AK127" s="85">
        <f t="shared" si="48"/>
        <v>0</v>
      </c>
      <c r="AL127" s="85">
        <f t="shared" si="48"/>
        <v>0</v>
      </c>
      <c r="AM127" s="85">
        <f t="shared" si="48"/>
        <v>0</v>
      </c>
      <c r="AN127" s="85">
        <f t="shared" si="48"/>
        <v>0</v>
      </c>
      <c r="AO127" s="85">
        <f t="shared" si="48"/>
        <v>0</v>
      </c>
      <c r="AP127" s="85">
        <f t="shared" si="48"/>
        <v>0</v>
      </c>
      <c r="AQ127" s="85">
        <f t="shared" si="48"/>
        <v>0</v>
      </c>
      <c r="AR127" s="85">
        <f t="shared" si="48"/>
        <v>0</v>
      </c>
      <c r="AS127" s="85">
        <f t="shared" si="48"/>
        <v>0</v>
      </c>
      <c r="AT127" s="85">
        <f t="shared" si="48"/>
        <v>0</v>
      </c>
      <c r="AU127" s="85">
        <f t="shared" si="48"/>
        <v>0</v>
      </c>
      <c r="AV127" s="85">
        <f t="shared" si="48"/>
        <v>0</v>
      </c>
      <c r="AW127" s="85">
        <f t="shared" si="48"/>
        <v>0</v>
      </c>
      <c r="AX127" s="85">
        <f t="shared" si="48"/>
        <v>0</v>
      </c>
      <c r="AY127" s="85">
        <f t="shared" si="48"/>
        <v>0</v>
      </c>
      <c r="AZ127" s="85">
        <f t="shared" si="48"/>
        <v>0</v>
      </c>
    </row>
    <row r="128" spans="1:52" s="140" customFormat="1" x14ac:dyDescent="0.2">
      <c r="A128" s="137"/>
      <c r="B128" s="145"/>
      <c r="C128" s="146"/>
      <c r="D128" s="139"/>
      <c r="E128" s="140" t="str">
        <f xml:space="preserve"> E127 &amp; " total"</f>
        <v>Additions to fixed assets DC total</v>
      </c>
      <c r="F128" s="248">
        <f xml:space="preserve"> SUM(J127:AZ127)</f>
        <v>395404.94468287478</v>
      </c>
      <c r="G128" s="140" t="str">
        <f xml:space="preserve"> SMU</f>
        <v>€ 000s</v>
      </c>
      <c r="AF128" s="248"/>
    </row>
  </sheetData>
  <printOptions heading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&amp;L&amp;"Arial,Bold"&amp;14Financial Mechanics Training Model&amp;C&amp;"Arial,Bold"&amp;14Sheet: &amp;A&amp;R&amp;"Arial,Bold"&amp;14STRICTLY NOT CONFIDENTIAL</oddHeader>
    <oddFooter>&amp;L&amp;12&amp;F (Printed on &amp;D at &amp;T) &amp;C&amp;12Page &amp;P of &amp;N&amp;R&amp;12© 2008 Financial Mechanics Ltd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 summaryRight="0"/>
  </sheetPr>
  <dimension ref="A1:CA49"/>
  <sheetViews>
    <sheetView defaultGridColor="0" colorId="22" workbookViewId="0">
      <pane xSplit="6" ySplit="4" topLeftCell="G13" activePane="bottomRight" state="frozen"/>
      <selection activeCell="G5" sqref="G5"/>
      <selection pane="topRight" activeCell="G5" sqref="G5"/>
      <selection pane="bottomLeft" activeCell="G5" sqref="G5"/>
      <selection pane="bottomRight" activeCell="E29" sqref="E29"/>
    </sheetView>
  </sheetViews>
  <sheetFormatPr defaultColWidth="0" defaultRowHeight="12.75" x14ac:dyDescent="0.2"/>
  <cols>
    <col min="1" max="1" width="1.28515625" style="81" customWidth="1"/>
    <col min="2" max="2" width="1.28515625" style="82" customWidth="1"/>
    <col min="3" max="3" width="1.28515625" style="151" customWidth="1"/>
    <col min="4" max="4" width="1.28515625" style="86" customWidth="1"/>
    <col min="5" max="5" width="40.7109375" style="87" customWidth="1"/>
    <col min="6" max="6" width="12.7109375" style="87" customWidth="1"/>
    <col min="7" max="8" width="11.7109375" style="87" customWidth="1"/>
    <col min="9" max="9" width="2.7109375" style="87" customWidth="1"/>
    <col min="10" max="79" width="11.7109375" style="87" customWidth="1"/>
    <col min="80" max="16384" width="0" style="87" hidden="1"/>
  </cols>
  <sheetData>
    <row r="1" spans="1:79" s="142" customFormat="1" x14ac:dyDescent="0.2">
      <c r="A1" s="69" t="str">
        <f ca="1" xml:space="preserve"> RIGHT(CELL("filename", A1), LEN(CELL("filename", A1)) - SEARCH("]", CELL("filename", A1)))</f>
        <v>T&amp;E</v>
      </c>
      <c r="B1" s="69"/>
      <c r="C1" s="208"/>
      <c r="D1" s="141"/>
      <c r="F1" s="73"/>
      <c r="G1" s="73"/>
      <c r="H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</row>
    <row r="2" spans="1:79" s="74" customFormat="1" x14ac:dyDescent="0.2">
      <c r="A2" s="75"/>
      <c r="B2" s="75"/>
      <c r="C2" s="76"/>
      <c r="D2" s="77"/>
      <c r="E2" s="74" t="str">
        <f t="shared" ref="E2:AJ2" si="0" xml:space="preserve"> E$24</f>
        <v>Operating period flag</v>
      </c>
      <c r="F2" s="74">
        <f t="shared" si="0"/>
        <v>0</v>
      </c>
      <c r="G2" s="74" t="str">
        <f t="shared" si="0"/>
        <v>flag</v>
      </c>
      <c r="H2" s="74">
        <f t="shared" si="0"/>
        <v>60</v>
      </c>
      <c r="I2" s="74">
        <f t="shared" si="0"/>
        <v>0</v>
      </c>
      <c r="J2" s="74">
        <f t="shared" si="0"/>
        <v>0</v>
      </c>
      <c r="K2" s="74">
        <f t="shared" si="0"/>
        <v>0</v>
      </c>
      <c r="L2" s="74">
        <f t="shared" si="0"/>
        <v>0</v>
      </c>
      <c r="M2" s="74">
        <f t="shared" si="0"/>
        <v>0</v>
      </c>
      <c r="N2" s="74">
        <f t="shared" si="0"/>
        <v>0</v>
      </c>
      <c r="O2" s="74">
        <f t="shared" si="0"/>
        <v>1</v>
      </c>
      <c r="P2" s="74">
        <f t="shared" si="0"/>
        <v>1</v>
      </c>
      <c r="Q2" s="74">
        <f t="shared" si="0"/>
        <v>1</v>
      </c>
      <c r="R2" s="74">
        <f t="shared" si="0"/>
        <v>1</v>
      </c>
      <c r="S2" s="74">
        <f t="shared" si="0"/>
        <v>1</v>
      </c>
      <c r="T2" s="74">
        <f t="shared" si="0"/>
        <v>1</v>
      </c>
      <c r="U2" s="74">
        <f t="shared" si="0"/>
        <v>1</v>
      </c>
      <c r="V2" s="74">
        <f t="shared" si="0"/>
        <v>1</v>
      </c>
      <c r="W2" s="74">
        <f t="shared" si="0"/>
        <v>1</v>
      </c>
      <c r="X2" s="74">
        <f t="shared" si="0"/>
        <v>1</v>
      </c>
      <c r="Y2" s="74">
        <f t="shared" si="0"/>
        <v>1</v>
      </c>
      <c r="Z2" s="74">
        <f t="shared" si="0"/>
        <v>1</v>
      </c>
      <c r="AA2" s="74">
        <f t="shared" si="0"/>
        <v>1</v>
      </c>
      <c r="AB2" s="74">
        <f t="shared" si="0"/>
        <v>1</v>
      </c>
      <c r="AC2" s="74">
        <f t="shared" si="0"/>
        <v>1</v>
      </c>
      <c r="AD2" s="74">
        <f t="shared" si="0"/>
        <v>1</v>
      </c>
      <c r="AE2" s="74">
        <f t="shared" si="0"/>
        <v>1</v>
      </c>
      <c r="AF2" s="74">
        <f t="shared" si="0"/>
        <v>1</v>
      </c>
      <c r="AG2" s="74">
        <f t="shared" si="0"/>
        <v>1</v>
      </c>
      <c r="AH2" s="74">
        <f t="shared" si="0"/>
        <v>1</v>
      </c>
      <c r="AI2" s="74">
        <f t="shared" si="0"/>
        <v>1</v>
      </c>
      <c r="AJ2" s="74">
        <f t="shared" si="0"/>
        <v>1</v>
      </c>
      <c r="AK2" s="74">
        <f t="shared" ref="AK2:BP2" si="1" xml:space="preserve"> AK$24</f>
        <v>1</v>
      </c>
      <c r="AL2" s="74">
        <f t="shared" si="1"/>
        <v>1</v>
      </c>
      <c r="AM2" s="74">
        <f t="shared" si="1"/>
        <v>1</v>
      </c>
      <c r="AN2" s="74">
        <f t="shared" si="1"/>
        <v>1</v>
      </c>
      <c r="AO2" s="74">
        <f t="shared" si="1"/>
        <v>1</v>
      </c>
      <c r="AP2" s="74">
        <f t="shared" si="1"/>
        <v>1</v>
      </c>
      <c r="AQ2" s="74">
        <f t="shared" si="1"/>
        <v>1</v>
      </c>
      <c r="AR2" s="74">
        <f t="shared" si="1"/>
        <v>1</v>
      </c>
      <c r="AS2" s="74">
        <f t="shared" si="1"/>
        <v>1</v>
      </c>
      <c r="AT2" s="74">
        <f t="shared" si="1"/>
        <v>1</v>
      </c>
      <c r="AU2" s="74">
        <f t="shared" si="1"/>
        <v>1</v>
      </c>
      <c r="AV2" s="74">
        <f t="shared" si="1"/>
        <v>1</v>
      </c>
      <c r="AW2" s="74">
        <f t="shared" si="1"/>
        <v>1</v>
      </c>
      <c r="AX2" s="74">
        <f t="shared" si="1"/>
        <v>1</v>
      </c>
      <c r="AY2" s="74">
        <f t="shared" si="1"/>
        <v>1</v>
      </c>
      <c r="AZ2" s="74">
        <f t="shared" si="1"/>
        <v>1</v>
      </c>
      <c r="BA2" s="74">
        <f t="shared" si="1"/>
        <v>1</v>
      </c>
      <c r="BB2" s="74">
        <f t="shared" si="1"/>
        <v>1</v>
      </c>
      <c r="BC2" s="74">
        <f t="shared" si="1"/>
        <v>1</v>
      </c>
      <c r="BD2" s="74">
        <f t="shared" si="1"/>
        <v>1</v>
      </c>
      <c r="BE2" s="74">
        <f t="shared" si="1"/>
        <v>1</v>
      </c>
      <c r="BF2" s="74">
        <f t="shared" si="1"/>
        <v>1</v>
      </c>
      <c r="BG2" s="74">
        <f t="shared" si="1"/>
        <v>1</v>
      </c>
      <c r="BH2" s="74">
        <f t="shared" si="1"/>
        <v>1</v>
      </c>
      <c r="BI2" s="74">
        <f t="shared" si="1"/>
        <v>1</v>
      </c>
      <c r="BJ2" s="74">
        <f t="shared" si="1"/>
        <v>1</v>
      </c>
      <c r="BK2" s="74">
        <f t="shared" si="1"/>
        <v>1</v>
      </c>
      <c r="BL2" s="74">
        <f t="shared" si="1"/>
        <v>1</v>
      </c>
      <c r="BM2" s="74">
        <f t="shared" si="1"/>
        <v>1</v>
      </c>
      <c r="BN2" s="74">
        <f t="shared" si="1"/>
        <v>1</v>
      </c>
      <c r="BO2" s="74">
        <f t="shared" si="1"/>
        <v>1</v>
      </c>
      <c r="BP2" s="74">
        <f t="shared" si="1"/>
        <v>1</v>
      </c>
      <c r="BQ2" s="74">
        <f t="shared" ref="BQ2:CA2" si="2" xml:space="preserve"> BQ$24</f>
        <v>1</v>
      </c>
      <c r="BR2" s="74">
        <f t="shared" si="2"/>
        <v>1</v>
      </c>
      <c r="BS2" s="74">
        <f t="shared" si="2"/>
        <v>1</v>
      </c>
      <c r="BT2" s="74">
        <f t="shared" si="2"/>
        <v>1</v>
      </c>
      <c r="BU2" s="74">
        <f t="shared" si="2"/>
        <v>1</v>
      </c>
      <c r="BV2" s="74">
        <f t="shared" si="2"/>
        <v>1</v>
      </c>
      <c r="BW2" s="74">
        <f t="shared" si="2"/>
        <v>0</v>
      </c>
      <c r="BX2" s="74">
        <f t="shared" si="2"/>
        <v>0</v>
      </c>
      <c r="BY2" s="74">
        <f t="shared" si="2"/>
        <v>0</v>
      </c>
      <c r="BZ2" s="74">
        <f t="shared" si="2"/>
        <v>0</v>
      </c>
      <c r="CA2" s="74">
        <f t="shared" si="2"/>
        <v>0</v>
      </c>
    </row>
    <row r="3" spans="1:79" s="74" customFormat="1" x14ac:dyDescent="0.2">
      <c r="A3" s="75"/>
      <c r="B3" s="75"/>
      <c r="C3" s="76"/>
      <c r="D3" s="77"/>
      <c r="E3" s="74" t="str">
        <f>'T&amp;E'!E$8</f>
        <v>Model column counter</v>
      </c>
      <c r="F3" s="74">
        <f>'T&amp;E'!F$8</f>
        <v>0</v>
      </c>
      <c r="G3" s="74">
        <f>'T&amp;E'!G$8</f>
        <v>0</v>
      </c>
      <c r="H3" s="74">
        <f>'T&amp;E'!H$8</f>
        <v>0</v>
      </c>
      <c r="I3" s="74">
        <f>'T&amp;E'!I$8</f>
        <v>0</v>
      </c>
      <c r="J3" s="74">
        <f>'T&amp;E'!J$8</f>
        <v>1</v>
      </c>
      <c r="K3" s="74">
        <f>'T&amp;E'!K$8</f>
        <v>2</v>
      </c>
      <c r="L3" s="74">
        <f>'T&amp;E'!L$8</f>
        <v>3</v>
      </c>
      <c r="M3" s="74">
        <f>'T&amp;E'!M$8</f>
        <v>4</v>
      </c>
      <c r="N3" s="74">
        <f>'T&amp;E'!N$8</f>
        <v>5</v>
      </c>
      <c r="O3" s="74">
        <f>'T&amp;E'!O$8</f>
        <v>6</v>
      </c>
      <c r="P3" s="74">
        <f>'T&amp;E'!P$8</f>
        <v>7</v>
      </c>
      <c r="Q3" s="74">
        <f>'T&amp;E'!Q$8</f>
        <v>8</v>
      </c>
      <c r="R3" s="74">
        <f>'T&amp;E'!R$8</f>
        <v>9</v>
      </c>
      <c r="S3" s="74">
        <f>'T&amp;E'!S$8</f>
        <v>10</v>
      </c>
      <c r="T3" s="74">
        <f>'T&amp;E'!T$8</f>
        <v>11</v>
      </c>
      <c r="U3" s="74">
        <f>'T&amp;E'!U$8</f>
        <v>12</v>
      </c>
      <c r="V3" s="74">
        <f>'T&amp;E'!V$8</f>
        <v>13</v>
      </c>
      <c r="W3" s="74">
        <f>'T&amp;E'!W$8</f>
        <v>14</v>
      </c>
      <c r="X3" s="74">
        <f>'T&amp;E'!X$8</f>
        <v>15</v>
      </c>
      <c r="Y3" s="74">
        <f>'T&amp;E'!Y$8</f>
        <v>16</v>
      </c>
      <c r="Z3" s="74">
        <f>'T&amp;E'!Z$8</f>
        <v>17</v>
      </c>
      <c r="AA3" s="74">
        <f>'T&amp;E'!AA$8</f>
        <v>18</v>
      </c>
      <c r="AB3" s="74">
        <f>'T&amp;E'!AB$8</f>
        <v>19</v>
      </c>
      <c r="AC3" s="74">
        <f>'T&amp;E'!AC$8</f>
        <v>20</v>
      </c>
      <c r="AD3" s="74">
        <f>'T&amp;E'!AD$8</f>
        <v>21</v>
      </c>
      <c r="AE3" s="74">
        <f>'T&amp;E'!AE$8</f>
        <v>22</v>
      </c>
      <c r="AF3" s="74">
        <f>'T&amp;E'!AF$8</f>
        <v>23</v>
      </c>
      <c r="AG3" s="74">
        <f>'T&amp;E'!AG$8</f>
        <v>24</v>
      </c>
      <c r="AH3" s="74">
        <f>'T&amp;E'!AH$8</f>
        <v>25</v>
      </c>
      <c r="AI3" s="74">
        <f>'T&amp;E'!AI$8</f>
        <v>26</v>
      </c>
      <c r="AJ3" s="74">
        <f>'T&amp;E'!AJ$8</f>
        <v>27</v>
      </c>
      <c r="AK3" s="74">
        <f>'T&amp;E'!AK$8</f>
        <v>28</v>
      </c>
      <c r="AL3" s="74">
        <f>'T&amp;E'!AL$8</f>
        <v>29</v>
      </c>
      <c r="AM3" s="74">
        <f>'T&amp;E'!AM$8</f>
        <v>30</v>
      </c>
      <c r="AN3" s="74">
        <f>'T&amp;E'!AN$8</f>
        <v>31</v>
      </c>
      <c r="AO3" s="74">
        <f>'T&amp;E'!AO$8</f>
        <v>32</v>
      </c>
      <c r="AP3" s="74">
        <f>'T&amp;E'!AP$8</f>
        <v>33</v>
      </c>
      <c r="AQ3" s="74">
        <f>'T&amp;E'!AQ$8</f>
        <v>34</v>
      </c>
      <c r="AR3" s="74">
        <f>'T&amp;E'!AR$8</f>
        <v>35</v>
      </c>
      <c r="AS3" s="74">
        <f>'T&amp;E'!AS$8</f>
        <v>36</v>
      </c>
      <c r="AT3" s="74">
        <f>'T&amp;E'!AT$8</f>
        <v>37</v>
      </c>
      <c r="AU3" s="74">
        <f>'T&amp;E'!AU$8</f>
        <v>38</v>
      </c>
      <c r="AV3" s="74">
        <f>'T&amp;E'!AV$8</f>
        <v>39</v>
      </c>
      <c r="AW3" s="74">
        <f>'T&amp;E'!AW$8</f>
        <v>40</v>
      </c>
      <c r="AX3" s="74">
        <f>'T&amp;E'!AX$8</f>
        <v>41</v>
      </c>
      <c r="AY3" s="74">
        <f>'T&amp;E'!AY$8</f>
        <v>42</v>
      </c>
      <c r="AZ3" s="74">
        <f>'T&amp;E'!AZ$8</f>
        <v>43</v>
      </c>
      <c r="BA3" s="74">
        <f>'T&amp;E'!BA$8</f>
        <v>44</v>
      </c>
      <c r="BB3" s="74">
        <f>'T&amp;E'!BB$8</f>
        <v>45</v>
      </c>
      <c r="BC3" s="74">
        <f>'T&amp;E'!BC$8</f>
        <v>46</v>
      </c>
      <c r="BD3" s="74">
        <f>'T&amp;E'!BD$8</f>
        <v>47</v>
      </c>
      <c r="BE3" s="74">
        <f>'T&amp;E'!BE$8</f>
        <v>48</v>
      </c>
      <c r="BF3" s="74">
        <f>'T&amp;E'!BF$8</f>
        <v>49</v>
      </c>
      <c r="BG3" s="74">
        <f>'T&amp;E'!BG$8</f>
        <v>50</v>
      </c>
      <c r="BH3" s="74">
        <f>'T&amp;E'!BH$8</f>
        <v>51</v>
      </c>
      <c r="BI3" s="74">
        <f>'T&amp;E'!BI$8</f>
        <v>52</v>
      </c>
      <c r="BJ3" s="74">
        <f>'T&amp;E'!BJ$8</f>
        <v>53</v>
      </c>
      <c r="BK3" s="74">
        <f>'T&amp;E'!BK$8</f>
        <v>54</v>
      </c>
      <c r="BL3" s="74">
        <f>'T&amp;E'!BL$8</f>
        <v>55</v>
      </c>
      <c r="BM3" s="74">
        <f>'T&amp;E'!BM$8</f>
        <v>56</v>
      </c>
      <c r="BN3" s="74">
        <f>'T&amp;E'!BN$8</f>
        <v>57</v>
      </c>
      <c r="BO3" s="74">
        <f>'T&amp;E'!BO$8</f>
        <v>58</v>
      </c>
      <c r="BP3" s="74">
        <f>'T&amp;E'!BP$8</f>
        <v>59</v>
      </c>
      <c r="BQ3" s="74">
        <f>'T&amp;E'!BQ$8</f>
        <v>60</v>
      </c>
      <c r="BR3" s="74">
        <f>'T&amp;E'!BR$8</f>
        <v>61</v>
      </c>
      <c r="BS3" s="74">
        <f>'T&amp;E'!BS$8</f>
        <v>62</v>
      </c>
      <c r="BT3" s="74">
        <f>'T&amp;E'!BT$8</f>
        <v>63</v>
      </c>
      <c r="BU3" s="74">
        <f>'T&amp;E'!BU$8</f>
        <v>64</v>
      </c>
      <c r="BV3" s="74">
        <f>'T&amp;E'!BV$8</f>
        <v>65</v>
      </c>
      <c r="BW3" s="74">
        <f>'T&amp;E'!BW$8</f>
        <v>66</v>
      </c>
      <c r="BX3" s="74">
        <f>'T&amp;E'!BX$8</f>
        <v>67</v>
      </c>
      <c r="BY3" s="74">
        <f>'T&amp;E'!BY$8</f>
        <v>68</v>
      </c>
      <c r="BZ3" s="74">
        <f>'T&amp;E'!BZ$8</f>
        <v>69</v>
      </c>
      <c r="CA3" s="74">
        <f>'T&amp;E'!CA$8</f>
        <v>70</v>
      </c>
    </row>
    <row r="4" spans="1:79" s="78" customFormat="1" x14ac:dyDescent="0.2">
      <c r="C4" s="79"/>
      <c r="D4" s="80"/>
      <c r="E4" s="78" t="str">
        <f xml:space="preserve"> E$12</f>
        <v>Model period ending</v>
      </c>
      <c r="F4" s="80" t="str">
        <f t="shared" ref="F4:BQ4" si="3" xml:space="preserve"> F$12</f>
        <v>constant</v>
      </c>
      <c r="G4" s="78" t="str">
        <f t="shared" si="3"/>
        <v>unit</v>
      </c>
      <c r="H4" s="80" t="str">
        <f t="shared" si="3"/>
        <v>total</v>
      </c>
      <c r="I4" s="78">
        <f t="shared" si="3"/>
        <v>0</v>
      </c>
      <c r="J4" s="78">
        <f t="shared" si="3"/>
        <v>41639</v>
      </c>
      <c r="K4" s="78">
        <f t="shared" si="3"/>
        <v>41820</v>
      </c>
      <c r="L4" s="78">
        <f t="shared" si="3"/>
        <v>42004</v>
      </c>
      <c r="M4" s="78">
        <f t="shared" si="3"/>
        <v>42185</v>
      </c>
      <c r="N4" s="78">
        <f t="shared" si="3"/>
        <v>42369</v>
      </c>
      <c r="O4" s="78">
        <f t="shared" si="3"/>
        <v>42551</v>
      </c>
      <c r="P4" s="78">
        <f t="shared" si="3"/>
        <v>42735</v>
      </c>
      <c r="Q4" s="78">
        <f t="shared" si="3"/>
        <v>42916</v>
      </c>
      <c r="R4" s="78">
        <f t="shared" si="3"/>
        <v>43100</v>
      </c>
      <c r="S4" s="78">
        <f t="shared" si="3"/>
        <v>43281</v>
      </c>
      <c r="T4" s="78">
        <f t="shared" si="3"/>
        <v>43465</v>
      </c>
      <c r="U4" s="78">
        <f t="shared" si="3"/>
        <v>43646</v>
      </c>
      <c r="V4" s="78">
        <f t="shared" si="3"/>
        <v>43830</v>
      </c>
      <c r="W4" s="78">
        <f t="shared" si="3"/>
        <v>44012</v>
      </c>
      <c r="X4" s="78">
        <f t="shared" si="3"/>
        <v>44196</v>
      </c>
      <c r="Y4" s="78">
        <f t="shared" si="3"/>
        <v>44377</v>
      </c>
      <c r="Z4" s="78">
        <f t="shared" si="3"/>
        <v>44561</v>
      </c>
      <c r="AA4" s="78">
        <f t="shared" si="3"/>
        <v>44742</v>
      </c>
      <c r="AB4" s="78">
        <f t="shared" si="3"/>
        <v>44926</v>
      </c>
      <c r="AC4" s="78">
        <f t="shared" si="3"/>
        <v>45107</v>
      </c>
      <c r="AD4" s="78">
        <f t="shared" si="3"/>
        <v>45291</v>
      </c>
      <c r="AE4" s="78">
        <f t="shared" si="3"/>
        <v>45473</v>
      </c>
      <c r="AF4" s="78">
        <f t="shared" si="3"/>
        <v>45657</v>
      </c>
      <c r="AG4" s="78">
        <f t="shared" si="3"/>
        <v>45838</v>
      </c>
      <c r="AH4" s="78">
        <f t="shared" si="3"/>
        <v>46022</v>
      </c>
      <c r="AI4" s="78">
        <f t="shared" si="3"/>
        <v>46203</v>
      </c>
      <c r="AJ4" s="78">
        <f t="shared" si="3"/>
        <v>46387</v>
      </c>
      <c r="AK4" s="78">
        <f t="shared" si="3"/>
        <v>46568</v>
      </c>
      <c r="AL4" s="78">
        <f t="shared" si="3"/>
        <v>46752</v>
      </c>
      <c r="AM4" s="78">
        <f t="shared" si="3"/>
        <v>46934</v>
      </c>
      <c r="AN4" s="78">
        <f t="shared" si="3"/>
        <v>47118</v>
      </c>
      <c r="AO4" s="78">
        <f t="shared" si="3"/>
        <v>47299</v>
      </c>
      <c r="AP4" s="78">
        <f t="shared" si="3"/>
        <v>47483</v>
      </c>
      <c r="AQ4" s="78">
        <f t="shared" si="3"/>
        <v>47664</v>
      </c>
      <c r="AR4" s="78">
        <f t="shared" si="3"/>
        <v>47848</v>
      </c>
      <c r="AS4" s="78">
        <f t="shared" si="3"/>
        <v>48029</v>
      </c>
      <c r="AT4" s="78">
        <f t="shared" si="3"/>
        <v>48213</v>
      </c>
      <c r="AU4" s="78">
        <f t="shared" si="3"/>
        <v>48395</v>
      </c>
      <c r="AV4" s="78">
        <f t="shared" si="3"/>
        <v>48579</v>
      </c>
      <c r="AW4" s="78">
        <f t="shared" si="3"/>
        <v>48760</v>
      </c>
      <c r="AX4" s="78">
        <f t="shared" si="3"/>
        <v>48944</v>
      </c>
      <c r="AY4" s="78">
        <f t="shared" si="3"/>
        <v>49125</v>
      </c>
      <c r="AZ4" s="78">
        <f t="shared" si="3"/>
        <v>49309</v>
      </c>
      <c r="BA4" s="78">
        <f t="shared" si="3"/>
        <v>49490</v>
      </c>
      <c r="BB4" s="78">
        <f t="shared" si="3"/>
        <v>49674</v>
      </c>
      <c r="BC4" s="78">
        <f t="shared" si="3"/>
        <v>49856</v>
      </c>
      <c r="BD4" s="78">
        <f t="shared" si="3"/>
        <v>50040</v>
      </c>
      <c r="BE4" s="78">
        <f t="shared" si="3"/>
        <v>50221</v>
      </c>
      <c r="BF4" s="78">
        <f t="shared" si="3"/>
        <v>50405</v>
      </c>
      <c r="BG4" s="78">
        <f t="shared" si="3"/>
        <v>50586</v>
      </c>
      <c r="BH4" s="78">
        <f t="shared" si="3"/>
        <v>50770</v>
      </c>
      <c r="BI4" s="78">
        <f t="shared" si="3"/>
        <v>50951</v>
      </c>
      <c r="BJ4" s="78">
        <f t="shared" si="3"/>
        <v>51135</v>
      </c>
      <c r="BK4" s="78">
        <f t="shared" si="3"/>
        <v>51317</v>
      </c>
      <c r="BL4" s="78">
        <f t="shared" si="3"/>
        <v>51501</v>
      </c>
      <c r="BM4" s="78">
        <f t="shared" si="3"/>
        <v>51682</v>
      </c>
      <c r="BN4" s="78">
        <f t="shared" si="3"/>
        <v>51866</v>
      </c>
      <c r="BO4" s="78">
        <f t="shared" si="3"/>
        <v>52047</v>
      </c>
      <c r="BP4" s="78">
        <f t="shared" si="3"/>
        <v>52231</v>
      </c>
      <c r="BQ4" s="78">
        <f t="shared" si="3"/>
        <v>52412</v>
      </c>
      <c r="BR4" s="78">
        <f t="shared" ref="BR4:CA4" si="4" xml:space="preserve"> BR$12</f>
        <v>52596</v>
      </c>
      <c r="BS4" s="78">
        <f t="shared" si="4"/>
        <v>52778</v>
      </c>
      <c r="BT4" s="78">
        <f t="shared" si="4"/>
        <v>52962</v>
      </c>
      <c r="BU4" s="78">
        <f t="shared" si="4"/>
        <v>53143</v>
      </c>
      <c r="BV4" s="78">
        <f t="shared" si="4"/>
        <v>53327</v>
      </c>
      <c r="BW4" s="78">
        <f t="shared" si="4"/>
        <v>53508</v>
      </c>
      <c r="BX4" s="78">
        <f t="shared" si="4"/>
        <v>53692</v>
      </c>
      <c r="BY4" s="78">
        <f t="shared" si="4"/>
        <v>53873</v>
      </c>
      <c r="BZ4" s="78">
        <f t="shared" si="4"/>
        <v>54057</v>
      </c>
      <c r="CA4" s="78">
        <f t="shared" si="4"/>
        <v>54239</v>
      </c>
    </row>
    <row r="6" spans="1:79" s="222" customFormat="1" x14ac:dyDescent="0.2">
      <c r="A6" s="119" t="s">
        <v>11</v>
      </c>
      <c r="B6" s="119"/>
      <c r="C6" s="220"/>
      <c r="D6" s="221"/>
      <c r="G6" s="118"/>
    </row>
    <row r="7" spans="1:79" s="222" customFormat="1" x14ac:dyDescent="0.2">
      <c r="A7" s="119"/>
      <c r="B7" s="119"/>
      <c r="C7" s="220"/>
      <c r="D7" s="221"/>
      <c r="G7" s="118"/>
    </row>
    <row r="8" spans="1:79" s="140" customFormat="1" x14ac:dyDescent="0.2">
      <c r="A8" s="145"/>
      <c r="B8" s="137"/>
      <c r="C8" s="138"/>
      <c r="D8" s="139"/>
      <c r="E8" s="140" t="s">
        <v>1</v>
      </c>
      <c r="I8" s="223"/>
      <c r="J8" s="140">
        <f t="shared" ref="J8:BU8" si="5" xml:space="preserve"> I8 + 1</f>
        <v>1</v>
      </c>
      <c r="K8" s="140">
        <f t="shared" si="5"/>
        <v>2</v>
      </c>
      <c r="L8" s="140">
        <f t="shared" si="5"/>
        <v>3</v>
      </c>
      <c r="M8" s="140">
        <f t="shared" si="5"/>
        <v>4</v>
      </c>
      <c r="N8" s="140">
        <f t="shared" si="5"/>
        <v>5</v>
      </c>
      <c r="O8" s="140">
        <f t="shared" si="5"/>
        <v>6</v>
      </c>
      <c r="P8" s="140">
        <f t="shared" si="5"/>
        <v>7</v>
      </c>
      <c r="Q8" s="140">
        <f t="shared" si="5"/>
        <v>8</v>
      </c>
      <c r="R8" s="140">
        <f t="shared" si="5"/>
        <v>9</v>
      </c>
      <c r="S8" s="140">
        <f t="shared" si="5"/>
        <v>10</v>
      </c>
      <c r="T8" s="140">
        <f t="shared" si="5"/>
        <v>11</v>
      </c>
      <c r="U8" s="140">
        <f t="shared" si="5"/>
        <v>12</v>
      </c>
      <c r="V8" s="140">
        <f t="shared" si="5"/>
        <v>13</v>
      </c>
      <c r="W8" s="140">
        <f t="shared" si="5"/>
        <v>14</v>
      </c>
      <c r="X8" s="140">
        <f t="shared" si="5"/>
        <v>15</v>
      </c>
      <c r="Y8" s="140">
        <f t="shared" si="5"/>
        <v>16</v>
      </c>
      <c r="Z8" s="140">
        <f t="shared" si="5"/>
        <v>17</v>
      </c>
      <c r="AA8" s="140">
        <f t="shared" si="5"/>
        <v>18</v>
      </c>
      <c r="AB8" s="140">
        <f t="shared" si="5"/>
        <v>19</v>
      </c>
      <c r="AC8" s="140">
        <f t="shared" si="5"/>
        <v>20</v>
      </c>
      <c r="AD8" s="140">
        <f t="shared" si="5"/>
        <v>21</v>
      </c>
      <c r="AE8" s="140">
        <f t="shared" si="5"/>
        <v>22</v>
      </c>
      <c r="AF8" s="140">
        <f t="shared" si="5"/>
        <v>23</v>
      </c>
      <c r="AG8" s="140">
        <f t="shared" si="5"/>
        <v>24</v>
      </c>
      <c r="AH8" s="140">
        <f t="shared" si="5"/>
        <v>25</v>
      </c>
      <c r="AI8" s="140">
        <f t="shared" si="5"/>
        <v>26</v>
      </c>
      <c r="AJ8" s="140">
        <f t="shared" si="5"/>
        <v>27</v>
      </c>
      <c r="AK8" s="140">
        <f t="shared" si="5"/>
        <v>28</v>
      </c>
      <c r="AL8" s="140">
        <f t="shared" si="5"/>
        <v>29</v>
      </c>
      <c r="AM8" s="140">
        <f t="shared" si="5"/>
        <v>30</v>
      </c>
      <c r="AN8" s="140">
        <f t="shared" si="5"/>
        <v>31</v>
      </c>
      <c r="AO8" s="140">
        <f t="shared" si="5"/>
        <v>32</v>
      </c>
      <c r="AP8" s="140">
        <f t="shared" si="5"/>
        <v>33</v>
      </c>
      <c r="AQ8" s="140">
        <f t="shared" si="5"/>
        <v>34</v>
      </c>
      <c r="AR8" s="140">
        <f t="shared" si="5"/>
        <v>35</v>
      </c>
      <c r="AS8" s="140">
        <f t="shared" si="5"/>
        <v>36</v>
      </c>
      <c r="AT8" s="140">
        <f t="shared" si="5"/>
        <v>37</v>
      </c>
      <c r="AU8" s="140">
        <f t="shared" si="5"/>
        <v>38</v>
      </c>
      <c r="AV8" s="140">
        <f t="shared" si="5"/>
        <v>39</v>
      </c>
      <c r="AW8" s="140">
        <f t="shared" si="5"/>
        <v>40</v>
      </c>
      <c r="AX8" s="140">
        <f t="shared" si="5"/>
        <v>41</v>
      </c>
      <c r="AY8" s="140">
        <f t="shared" si="5"/>
        <v>42</v>
      </c>
      <c r="AZ8" s="140">
        <f t="shared" si="5"/>
        <v>43</v>
      </c>
      <c r="BA8" s="140">
        <f t="shared" si="5"/>
        <v>44</v>
      </c>
      <c r="BB8" s="140">
        <f t="shared" si="5"/>
        <v>45</v>
      </c>
      <c r="BC8" s="140">
        <f t="shared" si="5"/>
        <v>46</v>
      </c>
      <c r="BD8" s="140">
        <f t="shared" si="5"/>
        <v>47</v>
      </c>
      <c r="BE8" s="140">
        <f t="shared" si="5"/>
        <v>48</v>
      </c>
      <c r="BF8" s="140">
        <f t="shared" si="5"/>
        <v>49</v>
      </c>
      <c r="BG8" s="140">
        <f t="shared" si="5"/>
        <v>50</v>
      </c>
      <c r="BH8" s="140">
        <f t="shared" si="5"/>
        <v>51</v>
      </c>
      <c r="BI8" s="140">
        <f t="shared" si="5"/>
        <v>52</v>
      </c>
      <c r="BJ8" s="140">
        <f t="shared" si="5"/>
        <v>53</v>
      </c>
      <c r="BK8" s="140">
        <f t="shared" si="5"/>
        <v>54</v>
      </c>
      <c r="BL8" s="140">
        <f t="shared" si="5"/>
        <v>55</v>
      </c>
      <c r="BM8" s="140">
        <f t="shared" si="5"/>
        <v>56</v>
      </c>
      <c r="BN8" s="140">
        <f t="shared" si="5"/>
        <v>57</v>
      </c>
      <c r="BO8" s="140">
        <f t="shared" si="5"/>
        <v>58</v>
      </c>
      <c r="BP8" s="140">
        <f t="shared" si="5"/>
        <v>59</v>
      </c>
      <c r="BQ8" s="140">
        <f t="shared" si="5"/>
        <v>60</v>
      </c>
      <c r="BR8" s="140">
        <f t="shared" si="5"/>
        <v>61</v>
      </c>
      <c r="BS8" s="140">
        <f t="shared" si="5"/>
        <v>62</v>
      </c>
      <c r="BT8" s="140">
        <f t="shared" si="5"/>
        <v>63</v>
      </c>
      <c r="BU8" s="140">
        <f t="shared" si="5"/>
        <v>64</v>
      </c>
      <c r="BV8" s="140">
        <f t="shared" ref="BV8:CA8" si="6" xml:space="preserve"> BU8 + 1</f>
        <v>65</v>
      </c>
      <c r="BW8" s="140">
        <f t="shared" si="6"/>
        <v>66</v>
      </c>
      <c r="BX8" s="140">
        <f t="shared" si="6"/>
        <v>67</v>
      </c>
      <c r="BY8" s="140">
        <f t="shared" si="6"/>
        <v>68</v>
      </c>
      <c r="BZ8" s="140">
        <f t="shared" si="6"/>
        <v>69</v>
      </c>
      <c r="CA8" s="140">
        <f t="shared" si="6"/>
        <v>70</v>
      </c>
    </row>
    <row r="9" spans="1:79" s="85" customFormat="1" x14ac:dyDescent="0.2">
      <c r="A9" s="82"/>
      <c r="B9" s="81"/>
      <c r="C9" s="224"/>
      <c r="D9" s="84"/>
    </row>
    <row r="10" spans="1:79" s="229" customFormat="1" x14ac:dyDescent="0.2">
      <c r="A10" s="225"/>
      <c r="B10" s="226"/>
      <c r="C10" s="227"/>
      <c r="D10" s="228"/>
      <c r="E10" s="229" t="str">
        <f xml:space="preserve"> InpC!E$8</f>
        <v>First date of time ruler</v>
      </c>
      <c r="F10" s="229">
        <f xml:space="preserve"> InpC!F$8</f>
        <v>41639</v>
      </c>
      <c r="G10" s="229" t="str">
        <f xml:space="preserve"> InpC!G$8</f>
        <v>date</v>
      </c>
      <c r="I10" s="230"/>
    </row>
    <row r="11" spans="1:79" s="85" customFormat="1" x14ac:dyDescent="0.2">
      <c r="A11" s="82"/>
      <c r="B11" s="81"/>
      <c r="C11" s="224"/>
      <c r="D11" s="84"/>
      <c r="E11" s="85" t="str">
        <f xml:space="preserve"> E$8</f>
        <v>Model column counter</v>
      </c>
      <c r="F11" s="85">
        <f t="shared" ref="F11:BQ11" si="7" xml:space="preserve"> F$8</f>
        <v>0</v>
      </c>
      <c r="G11" s="85" t="s">
        <v>159</v>
      </c>
      <c r="H11" s="85">
        <f t="shared" si="7"/>
        <v>0</v>
      </c>
      <c r="I11" s="85">
        <f t="shared" si="7"/>
        <v>0</v>
      </c>
      <c r="J11" s="85">
        <f t="shared" si="7"/>
        <v>1</v>
      </c>
      <c r="K11" s="85">
        <f t="shared" si="7"/>
        <v>2</v>
      </c>
      <c r="L11" s="85">
        <f t="shared" si="7"/>
        <v>3</v>
      </c>
      <c r="M11" s="85">
        <f t="shared" si="7"/>
        <v>4</v>
      </c>
      <c r="N11" s="85">
        <f t="shared" si="7"/>
        <v>5</v>
      </c>
      <c r="O11" s="85">
        <f t="shared" si="7"/>
        <v>6</v>
      </c>
      <c r="P11" s="85">
        <f t="shared" si="7"/>
        <v>7</v>
      </c>
      <c r="Q11" s="85">
        <f t="shared" si="7"/>
        <v>8</v>
      </c>
      <c r="R11" s="85">
        <f t="shared" si="7"/>
        <v>9</v>
      </c>
      <c r="S11" s="85">
        <f t="shared" si="7"/>
        <v>10</v>
      </c>
      <c r="T11" s="85">
        <f t="shared" si="7"/>
        <v>11</v>
      </c>
      <c r="U11" s="85">
        <f t="shared" si="7"/>
        <v>12</v>
      </c>
      <c r="V11" s="85">
        <f t="shared" si="7"/>
        <v>13</v>
      </c>
      <c r="W11" s="85">
        <f t="shared" si="7"/>
        <v>14</v>
      </c>
      <c r="X11" s="85">
        <f t="shared" si="7"/>
        <v>15</v>
      </c>
      <c r="Y11" s="85">
        <f t="shared" si="7"/>
        <v>16</v>
      </c>
      <c r="Z11" s="85">
        <f t="shared" si="7"/>
        <v>17</v>
      </c>
      <c r="AA11" s="85">
        <f t="shared" si="7"/>
        <v>18</v>
      </c>
      <c r="AB11" s="85">
        <f t="shared" si="7"/>
        <v>19</v>
      </c>
      <c r="AC11" s="85">
        <f t="shared" si="7"/>
        <v>20</v>
      </c>
      <c r="AD11" s="85">
        <f t="shared" si="7"/>
        <v>21</v>
      </c>
      <c r="AE11" s="85">
        <f t="shared" si="7"/>
        <v>22</v>
      </c>
      <c r="AF11" s="85">
        <f t="shared" si="7"/>
        <v>23</v>
      </c>
      <c r="AG11" s="85">
        <f t="shared" si="7"/>
        <v>24</v>
      </c>
      <c r="AH11" s="85">
        <f t="shared" si="7"/>
        <v>25</v>
      </c>
      <c r="AI11" s="85">
        <f t="shared" si="7"/>
        <v>26</v>
      </c>
      <c r="AJ11" s="85">
        <f t="shared" si="7"/>
        <v>27</v>
      </c>
      <c r="AK11" s="85">
        <f t="shared" si="7"/>
        <v>28</v>
      </c>
      <c r="AL11" s="85">
        <f t="shared" si="7"/>
        <v>29</v>
      </c>
      <c r="AM11" s="85">
        <f t="shared" si="7"/>
        <v>30</v>
      </c>
      <c r="AN11" s="85">
        <f t="shared" si="7"/>
        <v>31</v>
      </c>
      <c r="AO11" s="85">
        <f t="shared" si="7"/>
        <v>32</v>
      </c>
      <c r="AP11" s="85">
        <f t="shared" si="7"/>
        <v>33</v>
      </c>
      <c r="AQ11" s="85">
        <f t="shared" si="7"/>
        <v>34</v>
      </c>
      <c r="AR11" s="85">
        <f t="shared" si="7"/>
        <v>35</v>
      </c>
      <c r="AS11" s="85">
        <f t="shared" si="7"/>
        <v>36</v>
      </c>
      <c r="AT11" s="85">
        <f t="shared" si="7"/>
        <v>37</v>
      </c>
      <c r="AU11" s="85">
        <f t="shared" si="7"/>
        <v>38</v>
      </c>
      <c r="AV11" s="85">
        <f t="shared" si="7"/>
        <v>39</v>
      </c>
      <c r="AW11" s="85">
        <f t="shared" si="7"/>
        <v>40</v>
      </c>
      <c r="AX11" s="85">
        <f t="shared" si="7"/>
        <v>41</v>
      </c>
      <c r="AY11" s="85">
        <f t="shared" si="7"/>
        <v>42</v>
      </c>
      <c r="AZ11" s="85">
        <f t="shared" si="7"/>
        <v>43</v>
      </c>
      <c r="BA11" s="85">
        <f t="shared" si="7"/>
        <v>44</v>
      </c>
      <c r="BB11" s="85">
        <f t="shared" si="7"/>
        <v>45</v>
      </c>
      <c r="BC11" s="85">
        <f t="shared" si="7"/>
        <v>46</v>
      </c>
      <c r="BD11" s="85">
        <f t="shared" si="7"/>
        <v>47</v>
      </c>
      <c r="BE11" s="85">
        <f t="shared" si="7"/>
        <v>48</v>
      </c>
      <c r="BF11" s="85">
        <f t="shared" si="7"/>
        <v>49</v>
      </c>
      <c r="BG11" s="85">
        <f t="shared" si="7"/>
        <v>50</v>
      </c>
      <c r="BH11" s="85">
        <f t="shared" si="7"/>
        <v>51</v>
      </c>
      <c r="BI11" s="85">
        <f t="shared" si="7"/>
        <v>52</v>
      </c>
      <c r="BJ11" s="85">
        <f t="shared" si="7"/>
        <v>53</v>
      </c>
      <c r="BK11" s="85">
        <f t="shared" si="7"/>
        <v>54</v>
      </c>
      <c r="BL11" s="85">
        <f t="shared" si="7"/>
        <v>55</v>
      </c>
      <c r="BM11" s="85">
        <f t="shared" si="7"/>
        <v>56</v>
      </c>
      <c r="BN11" s="85">
        <f t="shared" si="7"/>
        <v>57</v>
      </c>
      <c r="BO11" s="85">
        <f t="shared" si="7"/>
        <v>58</v>
      </c>
      <c r="BP11" s="85">
        <f t="shared" si="7"/>
        <v>59</v>
      </c>
      <c r="BQ11" s="85">
        <f t="shared" si="7"/>
        <v>60</v>
      </c>
      <c r="BR11" s="85">
        <f t="shared" ref="BR11:CA11" si="8" xml:space="preserve"> BR$8</f>
        <v>61</v>
      </c>
      <c r="BS11" s="85">
        <f t="shared" si="8"/>
        <v>62</v>
      </c>
      <c r="BT11" s="85">
        <f t="shared" si="8"/>
        <v>63</v>
      </c>
      <c r="BU11" s="85">
        <f t="shared" si="8"/>
        <v>64</v>
      </c>
      <c r="BV11" s="85">
        <f t="shared" si="8"/>
        <v>65</v>
      </c>
      <c r="BW11" s="85">
        <f t="shared" si="8"/>
        <v>66</v>
      </c>
      <c r="BX11" s="85">
        <f t="shared" si="8"/>
        <v>67</v>
      </c>
      <c r="BY11" s="85">
        <f t="shared" si="8"/>
        <v>68</v>
      </c>
      <c r="BZ11" s="85">
        <f t="shared" si="8"/>
        <v>69</v>
      </c>
      <c r="CA11" s="85">
        <f t="shared" si="8"/>
        <v>70</v>
      </c>
    </row>
    <row r="12" spans="1:79" s="234" customFormat="1" x14ac:dyDescent="0.2">
      <c r="A12" s="231"/>
      <c r="B12" s="231"/>
      <c r="C12" s="232"/>
      <c r="D12" s="233"/>
      <c r="E12" s="234" t="s">
        <v>162</v>
      </c>
      <c r="F12" s="234" t="s">
        <v>3</v>
      </c>
      <c r="G12" s="234" t="s">
        <v>4</v>
      </c>
      <c r="H12" s="234" t="s">
        <v>5</v>
      </c>
      <c r="I12" s="235"/>
      <c r="J12" s="234">
        <f t="shared" ref="J12:AO12" si="9" xml:space="preserve"> IF( J11 = 1, $F10,EOMONTH( I12, 6 ) )</f>
        <v>41639</v>
      </c>
      <c r="K12" s="234">
        <f t="shared" si="9"/>
        <v>41820</v>
      </c>
      <c r="L12" s="234">
        <f t="shared" si="9"/>
        <v>42004</v>
      </c>
      <c r="M12" s="234">
        <f t="shared" si="9"/>
        <v>42185</v>
      </c>
      <c r="N12" s="234">
        <f t="shared" si="9"/>
        <v>42369</v>
      </c>
      <c r="O12" s="234">
        <f t="shared" si="9"/>
        <v>42551</v>
      </c>
      <c r="P12" s="234">
        <f t="shared" si="9"/>
        <v>42735</v>
      </c>
      <c r="Q12" s="234">
        <f t="shared" si="9"/>
        <v>42916</v>
      </c>
      <c r="R12" s="234">
        <f t="shared" si="9"/>
        <v>43100</v>
      </c>
      <c r="S12" s="234">
        <f t="shared" si="9"/>
        <v>43281</v>
      </c>
      <c r="T12" s="234">
        <f t="shared" si="9"/>
        <v>43465</v>
      </c>
      <c r="U12" s="234">
        <f t="shared" si="9"/>
        <v>43646</v>
      </c>
      <c r="V12" s="234">
        <f t="shared" si="9"/>
        <v>43830</v>
      </c>
      <c r="W12" s="234">
        <f t="shared" si="9"/>
        <v>44012</v>
      </c>
      <c r="X12" s="234">
        <f t="shared" si="9"/>
        <v>44196</v>
      </c>
      <c r="Y12" s="234">
        <f t="shared" si="9"/>
        <v>44377</v>
      </c>
      <c r="Z12" s="234">
        <f t="shared" si="9"/>
        <v>44561</v>
      </c>
      <c r="AA12" s="234">
        <f t="shared" si="9"/>
        <v>44742</v>
      </c>
      <c r="AB12" s="234">
        <f t="shared" si="9"/>
        <v>44926</v>
      </c>
      <c r="AC12" s="234">
        <f t="shared" si="9"/>
        <v>45107</v>
      </c>
      <c r="AD12" s="234">
        <f t="shared" si="9"/>
        <v>45291</v>
      </c>
      <c r="AE12" s="234">
        <f t="shared" si="9"/>
        <v>45473</v>
      </c>
      <c r="AF12" s="234">
        <f t="shared" si="9"/>
        <v>45657</v>
      </c>
      <c r="AG12" s="234">
        <f t="shared" si="9"/>
        <v>45838</v>
      </c>
      <c r="AH12" s="234">
        <f t="shared" si="9"/>
        <v>46022</v>
      </c>
      <c r="AI12" s="234">
        <f t="shared" si="9"/>
        <v>46203</v>
      </c>
      <c r="AJ12" s="234">
        <f t="shared" si="9"/>
        <v>46387</v>
      </c>
      <c r="AK12" s="234">
        <f t="shared" si="9"/>
        <v>46568</v>
      </c>
      <c r="AL12" s="234">
        <f t="shared" si="9"/>
        <v>46752</v>
      </c>
      <c r="AM12" s="234">
        <f t="shared" si="9"/>
        <v>46934</v>
      </c>
      <c r="AN12" s="234">
        <f t="shared" si="9"/>
        <v>47118</v>
      </c>
      <c r="AO12" s="234">
        <f t="shared" si="9"/>
        <v>47299</v>
      </c>
      <c r="AP12" s="234">
        <f t="shared" ref="AP12:BU12" si="10" xml:space="preserve"> IF( AP11 = 1, $F10,EOMONTH( AO12, 6 ) )</f>
        <v>47483</v>
      </c>
      <c r="AQ12" s="234">
        <f t="shared" si="10"/>
        <v>47664</v>
      </c>
      <c r="AR12" s="234">
        <f t="shared" si="10"/>
        <v>47848</v>
      </c>
      <c r="AS12" s="234">
        <f t="shared" si="10"/>
        <v>48029</v>
      </c>
      <c r="AT12" s="234">
        <f t="shared" si="10"/>
        <v>48213</v>
      </c>
      <c r="AU12" s="234">
        <f t="shared" si="10"/>
        <v>48395</v>
      </c>
      <c r="AV12" s="234">
        <f t="shared" si="10"/>
        <v>48579</v>
      </c>
      <c r="AW12" s="234">
        <f t="shared" si="10"/>
        <v>48760</v>
      </c>
      <c r="AX12" s="234">
        <f t="shared" si="10"/>
        <v>48944</v>
      </c>
      <c r="AY12" s="234">
        <f t="shared" si="10"/>
        <v>49125</v>
      </c>
      <c r="AZ12" s="234">
        <f t="shared" si="10"/>
        <v>49309</v>
      </c>
      <c r="BA12" s="234">
        <f t="shared" si="10"/>
        <v>49490</v>
      </c>
      <c r="BB12" s="234">
        <f t="shared" si="10"/>
        <v>49674</v>
      </c>
      <c r="BC12" s="234">
        <f t="shared" si="10"/>
        <v>49856</v>
      </c>
      <c r="BD12" s="234">
        <f t="shared" si="10"/>
        <v>50040</v>
      </c>
      <c r="BE12" s="234">
        <f t="shared" si="10"/>
        <v>50221</v>
      </c>
      <c r="BF12" s="234">
        <f t="shared" si="10"/>
        <v>50405</v>
      </c>
      <c r="BG12" s="234">
        <f t="shared" si="10"/>
        <v>50586</v>
      </c>
      <c r="BH12" s="234">
        <f t="shared" si="10"/>
        <v>50770</v>
      </c>
      <c r="BI12" s="234">
        <f t="shared" si="10"/>
        <v>50951</v>
      </c>
      <c r="BJ12" s="234">
        <f t="shared" si="10"/>
        <v>51135</v>
      </c>
      <c r="BK12" s="234">
        <f t="shared" si="10"/>
        <v>51317</v>
      </c>
      <c r="BL12" s="234">
        <f t="shared" si="10"/>
        <v>51501</v>
      </c>
      <c r="BM12" s="234">
        <f t="shared" si="10"/>
        <v>51682</v>
      </c>
      <c r="BN12" s="234">
        <f t="shared" si="10"/>
        <v>51866</v>
      </c>
      <c r="BO12" s="234">
        <f t="shared" si="10"/>
        <v>52047</v>
      </c>
      <c r="BP12" s="234">
        <f t="shared" si="10"/>
        <v>52231</v>
      </c>
      <c r="BQ12" s="234">
        <f t="shared" si="10"/>
        <v>52412</v>
      </c>
      <c r="BR12" s="234">
        <f t="shared" si="10"/>
        <v>52596</v>
      </c>
      <c r="BS12" s="234">
        <f t="shared" si="10"/>
        <v>52778</v>
      </c>
      <c r="BT12" s="234">
        <f t="shared" si="10"/>
        <v>52962</v>
      </c>
      <c r="BU12" s="234">
        <f t="shared" si="10"/>
        <v>53143</v>
      </c>
      <c r="BV12" s="234">
        <f t="shared" ref="BV12:CA12" si="11" xml:space="preserve"> IF( BV11 = 1, $F10,EOMONTH( BU12, 6 ) )</f>
        <v>53327</v>
      </c>
      <c r="BW12" s="234">
        <f t="shared" si="11"/>
        <v>53508</v>
      </c>
      <c r="BX12" s="234">
        <f t="shared" si="11"/>
        <v>53692</v>
      </c>
      <c r="BY12" s="234">
        <f t="shared" si="11"/>
        <v>53873</v>
      </c>
      <c r="BZ12" s="234">
        <f t="shared" si="11"/>
        <v>54057</v>
      </c>
      <c r="CA12" s="234">
        <f t="shared" si="11"/>
        <v>54239</v>
      </c>
    </row>
    <row r="13" spans="1:79" s="239" customFormat="1" x14ac:dyDescent="0.2">
      <c r="A13" s="236"/>
      <c r="B13" s="236"/>
      <c r="C13" s="237"/>
      <c r="D13" s="238"/>
    </row>
    <row r="14" spans="1:79" s="239" customFormat="1" x14ac:dyDescent="0.2">
      <c r="A14" s="236"/>
      <c r="B14" s="236"/>
      <c r="C14" s="237"/>
      <c r="D14" s="238"/>
    </row>
    <row r="15" spans="1:79" s="239" customFormat="1" x14ac:dyDescent="0.2">
      <c r="A15" s="236" t="s">
        <v>10</v>
      </c>
      <c r="B15" s="236"/>
      <c r="C15" s="237"/>
      <c r="D15" s="238"/>
    </row>
    <row r="16" spans="1:79" s="239" customFormat="1" x14ac:dyDescent="0.2">
      <c r="A16" s="236"/>
      <c r="B16" s="236"/>
      <c r="C16" s="237"/>
      <c r="D16" s="238"/>
    </row>
    <row r="17" spans="1:79" s="229" customFormat="1" x14ac:dyDescent="0.2">
      <c r="A17" s="226"/>
      <c r="B17" s="226"/>
      <c r="C17" s="227"/>
      <c r="D17" s="228"/>
      <c r="E17" s="229" t="str">
        <f xml:space="preserve"> InpC!E$12</f>
        <v>Construction period end / conversion date</v>
      </c>
      <c r="F17" s="229">
        <f xml:space="preserve"> InpC!F$12</f>
        <v>42369</v>
      </c>
      <c r="G17" s="229" t="str">
        <f xml:space="preserve"> InpC!G$12</f>
        <v>date</v>
      </c>
    </row>
    <row r="18" spans="1:79" s="243" customFormat="1" x14ac:dyDescent="0.2">
      <c r="A18" s="236"/>
      <c r="B18" s="240"/>
      <c r="C18" s="241"/>
      <c r="D18" s="242"/>
      <c r="E18" s="243" t="str">
        <f>E$12</f>
        <v>Model period ending</v>
      </c>
      <c r="F18" s="243" t="str">
        <f t="shared" ref="F18:BQ18" si="12">F$12</f>
        <v>constant</v>
      </c>
      <c r="G18" s="243" t="str">
        <f t="shared" si="12"/>
        <v>unit</v>
      </c>
      <c r="H18" s="243" t="str">
        <f t="shared" si="12"/>
        <v>total</v>
      </c>
      <c r="I18" s="243">
        <f t="shared" si="12"/>
        <v>0</v>
      </c>
      <c r="J18" s="243">
        <f t="shared" si="12"/>
        <v>41639</v>
      </c>
      <c r="K18" s="243">
        <f t="shared" si="12"/>
        <v>41820</v>
      </c>
      <c r="L18" s="243">
        <f t="shared" si="12"/>
        <v>42004</v>
      </c>
      <c r="M18" s="243">
        <f t="shared" si="12"/>
        <v>42185</v>
      </c>
      <c r="N18" s="243">
        <f t="shared" si="12"/>
        <v>42369</v>
      </c>
      <c r="O18" s="243">
        <f t="shared" si="12"/>
        <v>42551</v>
      </c>
      <c r="P18" s="243">
        <f t="shared" si="12"/>
        <v>42735</v>
      </c>
      <c r="Q18" s="243">
        <f t="shared" si="12"/>
        <v>42916</v>
      </c>
      <c r="R18" s="243">
        <f t="shared" si="12"/>
        <v>43100</v>
      </c>
      <c r="S18" s="243">
        <f t="shared" si="12"/>
        <v>43281</v>
      </c>
      <c r="T18" s="243">
        <f t="shared" si="12"/>
        <v>43465</v>
      </c>
      <c r="U18" s="243">
        <f t="shared" si="12"/>
        <v>43646</v>
      </c>
      <c r="V18" s="243">
        <f t="shared" si="12"/>
        <v>43830</v>
      </c>
      <c r="W18" s="243">
        <f t="shared" si="12"/>
        <v>44012</v>
      </c>
      <c r="X18" s="243">
        <f t="shared" si="12"/>
        <v>44196</v>
      </c>
      <c r="Y18" s="243">
        <f t="shared" si="12"/>
        <v>44377</v>
      </c>
      <c r="Z18" s="243">
        <f t="shared" si="12"/>
        <v>44561</v>
      </c>
      <c r="AA18" s="243">
        <f t="shared" si="12"/>
        <v>44742</v>
      </c>
      <c r="AB18" s="243">
        <f t="shared" si="12"/>
        <v>44926</v>
      </c>
      <c r="AC18" s="243">
        <f t="shared" si="12"/>
        <v>45107</v>
      </c>
      <c r="AD18" s="243">
        <f t="shared" si="12"/>
        <v>45291</v>
      </c>
      <c r="AE18" s="243">
        <f t="shared" si="12"/>
        <v>45473</v>
      </c>
      <c r="AF18" s="243">
        <f t="shared" si="12"/>
        <v>45657</v>
      </c>
      <c r="AG18" s="243">
        <f t="shared" si="12"/>
        <v>45838</v>
      </c>
      <c r="AH18" s="243">
        <f t="shared" si="12"/>
        <v>46022</v>
      </c>
      <c r="AI18" s="243">
        <f t="shared" si="12"/>
        <v>46203</v>
      </c>
      <c r="AJ18" s="243">
        <f t="shared" si="12"/>
        <v>46387</v>
      </c>
      <c r="AK18" s="243">
        <f t="shared" si="12"/>
        <v>46568</v>
      </c>
      <c r="AL18" s="243">
        <f t="shared" si="12"/>
        <v>46752</v>
      </c>
      <c r="AM18" s="243">
        <f t="shared" si="12"/>
        <v>46934</v>
      </c>
      <c r="AN18" s="243">
        <f t="shared" si="12"/>
        <v>47118</v>
      </c>
      <c r="AO18" s="243">
        <f t="shared" si="12"/>
        <v>47299</v>
      </c>
      <c r="AP18" s="243">
        <f t="shared" si="12"/>
        <v>47483</v>
      </c>
      <c r="AQ18" s="243">
        <f t="shared" si="12"/>
        <v>47664</v>
      </c>
      <c r="AR18" s="243">
        <f t="shared" si="12"/>
        <v>47848</v>
      </c>
      <c r="AS18" s="243">
        <f t="shared" si="12"/>
        <v>48029</v>
      </c>
      <c r="AT18" s="243">
        <f t="shared" si="12"/>
        <v>48213</v>
      </c>
      <c r="AU18" s="243">
        <f t="shared" si="12"/>
        <v>48395</v>
      </c>
      <c r="AV18" s="243">
        <f t="shared" si="12"/>
        <v>48579</v>
      </c>
      <c r="AW18" s="243">
        <f t="shared" si="12"/>
        <v>48760</v>
      </c>
      <c r="AX18" s="243">
        <f t="shared" si="12"/>
        <v>48944</v>
      </c>
      <c r="AY18" s="243">
        <f t="shared" si="12"/>
        <v>49125</v>
      </c>
      <c r="AZ18" s="243">
        <f t="shared" si="12"/>
        <v>49309</v>
      </c>
      <c r="BA18" s="243">
        <f t="shared" si="12"/>
        <v>49490</v>
      </c>
      <c r="BB18" s="243">
        <f t="shared" si="12"/>
        <v>49674</v>
      </c>
      <c r="BC18" s="243">
        <f t="shared" si="12"/>
        <v>49856</v>
      </c>
      <c r="BD18" s="243">
        <f t="shared" si="12"/>
        <v>50040</v>
      </c>
      <c r="BE18" s="243">
        <f t="shared" si="12"/>
        <v>50221</v>
      </c>
      <c r="BF18" s="243">
        <f t="shared" si="12"/>
        <v>50405</v>
      </c>
      <c r="BG18" s="243">
        <f t="shared" si="12"/>
        <v>50586</v>
      </c>
      <c r="BH18" s="243">
        <f t="shared" si="12"/>
        <v>50770</v>
      </c>
      <c r="BI18" s="243">
        <f t="shared" si="12"/>
        <v>50951</v>
      </c>
      <c r="BJ18" s="243">
        <f t="shared" si="12"/>
        <v>51135</v>
      </c>
      <c r="BK18" s="243">
        <f t="shared" si="12"/>
        <v>51317</v>
      </c>
      <c r="BL18" s="243">
        <f t="shared" si="12"/>
        <v>51501</v>
      </c>
      <c r="BM18" s="243">
        <f t="shared" si="12"/>
        <v>51682</v>
      </c>
      <c r="BN18" s="243">
        <f t="shared" si="12"/>
        <v>51866</v>
      </c>
      <c r="BO18" s="243">
        <f t="shared" si="12"/>
        <v>52047</v>
      </c>
      <c r="BP18" s="243">
        <f t="shared" si="12"/>
        <v>52231</v>
      </c>
      <c r="BQ18" s="243">
        <f t="shared" si="12"/>
        <v>52412</v>
      </c>
      <c r="BR18" s="243">
        <f t="shared" ref="BR18:CA18" si="13">BR$12</f>
        <v>52596</v>
      </c>
      <c r="BS18" s="243">
        <f t="shared" si="13"/>
        <v>52778</v>
      </c>
      <c r="BT18" s="243">
        <f t="shared" si="13"/>
        <v>52962</v>
      </c>
      <c r="BU18" s="243">
        <f t="shared" si="13"/>
        <v>53143</v>
      </c>
      <c r="BV18" s="243">
        <f t="shared" si="13"/>
        <v>53327</v>
      </c>
      <c r="BW18" s="243">
        <f t="shared" si="13"/>
        <v>53508</v>
      </c>
      <c r="BX18" s="243">
        <f t="shared" si="13"/>
        <v>53692</v>
      </c>
      <c r="BY18" s="243">
        <f t="shared" si="13"/>
        <v>53873</v>
      </c>
      <c r="BZ18" s="243">
        <f t="shared" si="13"/>
        <v>54057</v>
      </c>
      <c r="CA18" s="243">
        <f t="shared" si="13"/>
        <v>54239</v>
      </c>
    </row>
    <row r="19" spans="1:79" s="140" customFormat="1" x14ac:dyDescent="0.2">
      <c r="A19" s="137"/>
      <c r="B19" s="137"/>
      <c r="C19" s="138"/>
      <c r="D19" s="139"/>
      <c r="E19" s="140" t="s">
        <v>195</v>
      </c>
      <c r="G19" s="140" t="s">
        <v>12</v>
      </c>
      <c r="H19" s="140">
        <f>SUM(J19:CA19)</f>
        <v>1</v>
      </c>
      <c r="J19" s="140">
        <f t="shared" ref="J19:AO19" si="14" xml:space="preserve"> IF(J18 = $F17, 1, 0)</f>
        <v>0</v>
      </c>
      <c r="K19" s="140">
        <f t="shared" si="14"/>
        <v>0</v>
      </c>
      <c r="L19" s="140">
        <f t="shared" si="14"/>
        <v>0</v>
      </c>
      <c r="M19" s="140">
        <f t="shared" si="14"/>
        <v>0</v>
      </c>
      <c r="N19" s="140">
        <f t="shared" si="14"/>
        <v>1</v>
      </c>
      <c r="O19" s="140">
        <f t="shared" si="14"/>
        <v>0</v>
      </c>
      <c r="P19" s="140">
        <f t="shared" si="14"/>
        <v>0</v>
      </c>
      <c r="Q19" s="140">
        <f t="shared" si="14"/>
        <v>0</v>
      </c>
      <c r="R19" s="140">
        <f t="shared" si="14"/>
        <v>0</v>
      </c>
      <c r="S19" s="140">
        <f t="shared" si="14"/>
        <v>0</v>
      </c>
      <c r="T19" s="140">
        <f t="shared" si="14"/>
        <v>0</v>
      </c>
      <c r="U19" s="140">
        <f t="shared" si="14"/>
        <v>0</v>
      </c>
      <c r="V19" s="140">
        <f t="shared" si="14"/>
        <v>0</v>
      </c>
      <c r="W19" s="140">
        <f t="shared" si="14"/>
        <v>0</v>
      </c>
      <c r="X19" s="140">
        <f t="shared" si="14"/>
        <v>0</v>
      </c>
      <c r="Y19" s="140">
        <f t="shared" si="14"/>
        <v>0</v>
      </c>
      <c r="Z19" s="140">
        <f t="shared" si="14"/>
        <v>0</v>
      </c>
      <c r="AA19" s="140">
        <f t="shared" si="14"/>
        <v>0</v>
      </c>
      <c r="AB19" s="140">
        <f t="shared" si="14"/>
        <v>0</v>
      </c>
      <c r="AC19" s="140">
        <f t="shared" si="14"/>
        <v>0</v>
      </c>
      <c r="AD19" s="140">
        <f t="shared" si="14"/>
        <v>0</v>
      </c>
      <c r="AE19" s="140">
        <f t="shared" si="14"/>
        <v>0</v>
      </c>
      <c r="AF19" s="140">
        <f t="shared" si="14"/>
        <v>0</v>
      </c>
      <c r="AG19" s="140">
        <f t="shared" si="14"/>
        <v>0</v>
      </c>
      <c r="AH19" s="140">
        <f t="shared" si="14"/>
        <v>0</v>
      </c>
      <c r="AI19" s="140">
        <f t="shared" si="14"/>
        <v>0</v>
      </c>
      <c r="AJ19" s="140">
        <f t="shared" si="14"/>
        <v>0</v>
      </c>
      <c r="AK19" s="140">
        <f t="shared" si="14"/>
        <v>0</v>
      </c>
      <c r="AL19" s="140">
        <f t="shared" si="14"/>
        <v>0</v>
      </c>
      <c r="AM19" s="140">
        <f t="shared" si="14"/>
        <v>0</v>
      </c>
      <c r="AN19" s="140">
        <f t="shared" si="14"/>
        <v>0</v>
      </c>
      <c r="AO19" s="140">
        <f t="shared" si="14"/>
        <v>0</v>
      </c>
      <c r="AP19" s="140">
        <f t="shared" ref="AP19:BU19" si="15" xml:space="preserve"> IF(AP18 = $F17, 1, 0)</f>
        <v>0</v>
      </c>
      <c r="AQ19" s="140">
        <f t="shared" si="15"/>
        <v>0</v>
      </c>
      <c r="AR19" s="140">
        <f t="shared" si="15"/>
        <v>0</v>
      </c>
      <c r="AS19" s="140">
        <f t="shared" si="15"/>
        <v>0</v>
      </c>
      <c r="AT19" s="140">
        <f t="shared" si="15"/>
        <v>0</v>
      </c>
      <c r="AU19" s="140">
        <f t="shared" si="15"/>
        <v>0</v>
      </c>
      <c r="AV19" s="140">
        <f t="shared" si="15"/>
        <v>0</v>
      </c>
      <c r="AW19" s="140">
        <f t="shared" si="15"/>
        <v>0</v>
      </c>
      <c r="AX19" s="140">
        <f t="shared" si="15"/>
        <v>0</v>
      </c>
      <c r="AY19" s="140">
        <f t="shared" si="15"/>
        <v>0</v>
      </c>
      <c r="AZ19" s="140">
        <f t="shared" si="15"/>
        <v>0</v>
      </c>
      <c r="BA19" s="140">
        <f t="shared" si="15"/>
        <v>0</v>
      </c>
      <c r="BB19" s="140">
        <f t="shared" si="15"/>
        <v>0</v>
      </c>
      <c r="BC19" s="140">
        <f t="shared" si="15"/>
        <v>0</v>
      </c>
      <c r="BD19" s="140">
        <f t="shared" si="15"/>
        <v>0</v>
      </c>
      <c r="BE19" s="140">
        <f t="shared" si="15"/>
        <v>0</v>
      </c>
      <c r="BF19" s="140">
        <f t="shared" si="15"/>
        <v>0</v>
      </c>
      <c r="BG19" s="140">
        <f t="shared" si="15"/>
        <v>0</v>
      </c>
      <c r="BH19" s="140">
        <f t="shared" si="15"/>
        <v>0</v>
      </c>
      <c r="BI19" s="140">
        <f t="shared" si="15"/>
        <v>0</v>
      </c>
      <c r="BJ19" s="140">
        <f t="shared" si="15"/>
        <v>0</v>
      </c>
      <c r="BK19" s="140">
        <f t="shared" si="15"/>
        <v>0</v>
      </c>
      <c r="BL19" s="140">
        <f t="shared" si="15"/>
        <v>0</v>
      </c>
      <c r="BM19" s="140">
        <f t="shared" si="15"/>
        <v>0</v>
      </c>
      <c r="BN19" s="140">
        <f t="shared" si="15"/>
        <v>0</v>
      </c>
      <c r="BO19" s="140">
        <f t="shared" si="15"/>
        <v>0</v>
      </c>
      <c r="BP19" s="140">
        <f t="shared" si="15"/>
        <v>0</v>
      </c>
      <c r="BQ19" s="140">
        <f t="shared" si="15"/>
        <v>0</v>
      </c>
      <c r="BR19" s="140">
        <f t="shared" si="15"/>
        <v>0</v>
      </c>
      <c r="BS19" s="140">
        <f t="shared" si="15"/>
        <v>0</v>
      </c>
      <c r="BT19" s="140">
        <f t="shared" si="15"/>
        <v>0</v>
      </c>
      <c r="BU19" s="140">
        <f t="shared" si="15"/>
        <v>0</v>
      </c>
      <c r="BV19" s="140">
        <f t="shared" ref="BV19:CA19" si="16" xml:space="preserve"> IF(BV18 = $F17, 1, 0)</f>
        <v>0</v>
      </c>
      <c r="BW19" s="140">
        <f t="shared" si="16"/>
        <v>0</v>
      </c>
      <c r="BX19" s="140">
        <f t="shared" si="16"/>
        <v>0</v>
      </c>
      <c r="BY19" s="140">
        <f t="shared" si="16"/>
        <v>0</v>
      </c>
      <c r="BZ19" s="140">
        <f t="shared" si="16"/>
        <v>0</v>
      </c>
      <c r="CA19" s="140">
        <f t="shared" si="16"/>
        <v>0</v>
      </c>
    </row>
    <row r="20" spans="1:79" s="245" customFormat="1" x14ac:dyDescent="0.2">
      <c r="A20" s="81"/>
      <c r="B20" s="81"/>
      <c r="C20" s="224"/>
      <c r="D20" s="244"/>
    </row>
    <row r="21" spans="1:79" s="229" customFormat="1" x14ac:dyDescent="0.2">
      <c r="A21" s="226"/>
      <c r="B21" s="226"/>
      <c r="C21" s="227"/>
      <c r="D21" s="228"/>
      <c r="E21" s="229" t="str">
        <f xml:space="preserve"> InpC!E$12</f>
        <v>Construction period end / conversion date</v>
      </c>
      <c r="F21" s="229">
        <f xml:space="preserve"> InpC!F$12</f>
        <v>42369</v>
      </c>
      <c r="G21" s="229" t="str">
        <f xml:space="preserve"> InpC!G$12</f>
        <v>date</v>
      </c>
    </row>
    <row r="22" spans="1:79" s="230" customFormat="1" x14ac:dyDescent="0.2">
      <c r="A22" s="225"/>
      <c r="B22" s="225"/>
      <c r="C22" s="246"/>
      <c r="D22" s="247"/>
      <c r="E22" s="230" t="str">
        <f xml:space="preserve"> InpC!E$15</f>
        <v>Last forecast date</v>
      </c>
      <c r="F22" s="230">
        <f xml:space="preserve"> InpC!F$15</f>
        <v>53327</v>
      </c>
      <c r="G22" s="230" t="str">
        <f xml:space="preserve"> InpC!G$15</f>
        <v>date</v>
      </c>
    </row>
    <row r="23" spans="1:79" s="243" customFormat="1" x14ac:dyDescent="0.2">
      <c r="A23" s="236"/>
      <c r="B23" s="240"/>
      <c r="C23" s="241"/>
      <c r="D23" s="242"/>
      <c r="E23" s="243" t="str">
        <f>E$12</f>
        <v>Model period ending</v>
      </c>
      <c r="F23" s="243" t="str">
        <f t="shared" ref="F23:BQ23" si="17">F$12</f>
        <v>constant</v>
      </c>
      <c r="G23" s="243" t="str">
        <f t="shared" si="17"/>
        <v>unit</v>
      </c>
      <c r="H23" s="243" t="str">
        <f t="shared" si="17"/>
        <v>total</v>
      </c>
      <c r="I23" s="243">
        <f t="shared" si="17"/>
        <v>0</v>
      </c>
      <c r="J23" s="243">
        <f t="shared" si="17"/>
        <v>41639</v>
      </c>
      <c r="K23" s="243">
        <f t="shared" si="17"/>
        <v>41820</v>
      </c>
      <c r="L23" s="243">
        <f t="shared" si="17"/>
        <v>42004</v>
      </c>
      <c r="M23" s="243">
        <f t="shared" si="17"/>
        <v>42185</v>
      </c>
      <c r="N23" s="243">
        <f t="shared" si="17"/>
        <v>42369</v>
      </c>
      <c r="O23" s="243">
        <f t="shared" si="17"/>
        <v>42551</v>
      </c>
      <c r="P23" s="243">
        <f t="shared" si="17"/>
        <v>42735</v>
      </c>
      <c r="Q23" s="243">
        <f t="shared" si="17"/>
        <v>42916</v>
      </c>
      <c r="R23" s="243">
        <f t="shared" si="17"/>
        <v>43100</v>
      </c>
      <c r="S23" s="243">
        <f t="shared" si="17"/>
        <v>43281</v>
      </c>
      <c r="T23" s="243">
        <f t="shared" si="17"/>
        <v>43465</v>
      </c>
      <c r="U23" s="243">
        <f t="shared" si="17"/>
        <v>43646</v>
      </c>
      <c r="V23" s="243">
        <f t="shared" si="17"/>
        <v>43830</v>
      </c>
      <c r="W23" s="243">
        <f t="shared" si="17"/>
        <v>44012</v>
      </c>
      <c r="X23" s="243">
        <f t="shared" si="17"/>
        <v>44196</v>
      </c>
      <c r="Y23" s="243">
        <f t="shared" si="17"/>
        <v>44377</v>
      </c>
      <c r="Z23" s="243">
        <f t="shared" si="17"/>
        <v>44561</v>
      </c>
      <c r="AA23" s="243">
        <f t="shared" si="17"/>
        <v>44742</v>
      </c>
      <c r="AB23" s="243">
        <f t="shared" si="17"/>
        <v>44926</v>
      </c>
      <c r="AC23" s="243">
        <f t="shared" si="17"/>
        <v>45107</v>
      </c>
      <c r="AD23" s="243">
        <f t="shared" si="17"/>
        <v>45291</v>
      </c>
      <c r="AE23" s="243">
        <f t="shared" si="17"/>
        <v>45473</v>
      </c>
      <c r="AF23" s="243">
        <f t="shared" si="17"/>
        <v>45657</v>
      </c>
      <c r="AG23" s="243">
        <f t="shared" si="17"/>
        <v>45838</v>
      </c>
      <c r="AH23" s="243">
        <f t="shared" si="17"/>
        <v>46022</v>
      </c>
      <c r="AI23" s="243">
        <f t="shared" si="17"/>
        <v>46203</v>
      </c>
      <c r="AJ23" s="243">
        <f t="shared" si="17"/>
        <v>46387</v>
      </c>
      <c r="AK23" s="243">
        <f t="shared" si="17"/>
        <v>46568</v>
      </c>
      <c r="AL23" s="243">
        <f t="shared" si="17"/>
        <v>46752</v>
      </c>
      <c r="AM23" s="243">
        <f t="shared" si="17"/>
        <v>46934</v>
      </c>
      <c r="AN23" s="243">
        <f t="shared" si="17"/>
        <v>47118</v>
      </c>
      <c r="AO23" s="243">
        <f t="shared" si="17"/>
        <v>47299</v>
      </c>
      <c r="AP23" s="243">
        <f t="shared" si="17"/>
        <v>47483</v>
      </c>
      <c r="AQ23" s="243">
        <f t="shared" si="17"/>
        <v>47664</v>
      </c>
      <c r="AR23" s="243">
        <f t="shared" si="17"/>
        <v>47848</v>
      </c>
      <c r="AS23" s="243">
        <f t="shared" si="17"/>
        <v>48029</v>
      </c>
      <c r="AT23" s="243">
        <f t="shared" si="17"/>
        <v>48213</v>
      </c>
      <c r="AU23" s="243">
        <f t="shared" si="17"/>
        <v>48395</v>
      </c>
      <c r="AV23" s="243">
        <f t="shared" si="17"/>
        <v>48579</v>
      </c>
      <c r="AW23" s="243">
        <f t="shared" si="17"/>
        <v>48760</v>
      </c>
      <c r="AX23" s="243">
        <f t="shared" si="17"/>
        <v>48944</v>
      </c>
      <c r="AY23" s="243">
        <f t="shared" si="17"/>
        <v>49125</v>
      </c>
      <c r="AZ23" s="243">
        <f t="shared" si="17"/>
        <v>49309</v>
      </c>
      <c r="BA23" s="243">
        <f t="shared" si="17"/>
        <v>49490</v>
      </c>
      <c r="BB23" s="243">
        <f t="shared" si="17"/>
        <v>49674</v>
      </c>
      <c r="BC23" s="243">
        <f t="shared" si="17"/>
        <v>49856</v>
      </c>
      <c r="BD23" s="243">
        <f t="shared" si="17"/>
        <v>50040</v>
      </c>
      <c r="BE23" s="243">
        <f t="shared" si="17"/>
        <v>50221</v>
      </c>
      <c r="BF23" s="243">
        <f t="shared" si="17"/>
        <v>50405</v>
      </c>
      <c r="BG23" s="243">
        <f t="shared" si="17"/>
        <v>50586</v>
      </c>
      <c r="BH23" s="243">
        <f t="shared" si="17"/>
        <v>50770</v>
      </c>
      <c r="BI23" s="243">
        <f t="shared" si="17"/>
        <v>50951</v>
      </c>
      <c r="BJ23" s="243">
        <f t="shared" si="17"/>
        <v>51135</v>
      </c>
      <c r="BK23" s="243">
        <f t="shared" si="17"/>
        <v>51317</v>
      </c>
      <c r="BL23" s="243">
        <f t="shared" si="17"/>
        <v>51501</v>
      </c>
      <c r="BM23" s="243">
        <f t="shared" si="17"/>
        <v>51682</v>
      </c>
      <c r="BN23" s="243">
        <f t="shared" si="17"/>
        <v>51866</v>
      </c>
      <c r="BO23" s="243">
        <f t="shared" si="17"/>
        <v>52047</v>
      </c>
      <c r="BP23" s="243">
        <f t="shared" si="17"/>
        <v>52231</v>
      </c>
      <c r="BQ23" s="243">
        <f t="shared" si="17"/>
        <v>52412</v>
      </c>
      <c r="BR23" s="243">
        <f t="shared" ref="BR23:CA23" si="18">BR$12</f>
        <v>52596</v>
      </c>
      <c r="BS23" s="243">
        <f t="shared" si="18"/>
        <v>52778</v>
      </c>
      <c r="BT23" s="243">
        <f t="shared" si="18"/>
        <v>52962</v>
      </c>
      <c r="BU23" s="243">
        <f t="shared" si="18"/>
        <v>53143</v>
      </c>
      <c r="BV23" s="243">
        <f t="shared" si="18"/>
        <v>53327</v>
      </c>
      <c r="BW23" s="243">
        <f t="shared" si="18"/>
        <v>53508</v>
      </c>
      <c r="BX23" s="243">
        <f t="shared" si="18"/>
        <v>53692</v>
      </c>
      <c r="BY23" s="243">
        <f t="shared" si="18"/>
        <v>53873</v>
      </c>
      <c r="BZ23" s="243">
        <f t="shared" si="18"/>
        <v>54057</v>
      </c>
      <c r="CA23" s="243">
        <f t="shared" si="18"/>
        <v>54239</v>
      </c>
    </row>
    <row r="24" spans="1:79" s="140" customFormat="1" x14ac:dyDescent="0.2">
      <c r="A24" s="137"/>
      <c r="B24" s="137"/>
      <c r="C24" s="138"/>
      <c r="D24" s="139"/>
      <c r="E24" s="140" t="s">
        <v>194</v>
      </c>
      <c r="F24" s="137"/>
      <c r="G24" s="140" t="s">
        <v>12</v>
      </c>
      <c r="H24" s="140">
        <f>SUM(J24:CA24)</f>
        <v>60</v>
      </c>
      <c r="J24" s="248">
        <f t="shared" ref="J24:AO24" si="19" xml:space="preserve"> IF( AND(J23 &gt; $F21, J23 &lt;= $F22), 1, 0)</f>
        <v>0</v>
      </c>
      <c r="K24" s="248">
        <f t="shared" si="19"/>
        <v>0</v>
      </c>
      <c r="L24" s="248">
        <f t="shared" si="19"/>
        <v>0</v>
      </c>
      <c r="M24" s="248">
        <f t="shared" si="19"/>
        <v>0</v>
      </c>
      <c r="N24" s="248">
        <f t="shared" si="19"/>
        <v>0</v>
      </c>
      <c r="O24" s="248">
        <f t="shared" si="19"/>
        <v>1</v>
      </c>
      <c r="P24" s="248">
        <f t="shared" si="19"/>
        <v>1</v>
      </c>
      <c r="Q24" s="248">
        <f t="shared" si="19"/>
        <v>1</v>
      </c>
      <c r="R24" s="248">
        <f t="shared" si="19"/>
        <v>1</v>
      </c>
      <c r="S24" s="248">
        <f t="shared" si="19"/>
        <v>1</v>
      </c>
      <c r="T24" s="248">
        <f t="shared" si="19"/>
        <v>1</v>
      </c>
      <c r="U24" s="248">
        <f t="shared" si="19"/>
        <v>1</v>
      </c>
      <c r="V24" s="248">
        <f t="shared" si="19"/>
        <v>1</v>
      </c>
      <c r="W24" s="248">
        <f t="shared" si="19"/>
        <v>1</v>
      </c>
      <c r="X24" s="248">
        <f t="shared" si="19"/>
        <v>1</v>
      </c>
      <c r="Y24" s="248">
        <f t="shared" si="19"/>
        <v>1</v>
      </c>
      <c r="Z24" s="248">
        <f t="shared" si="19"/>
        <v>1</v>
      </c>
      <c r="AA24" s="248">
        <f t="shared" si="19"/>
        <v>1</v>
      </c>
      <c r="AB24" s="248">
        <f t="shared" si="19"/>
        <v>1</v>
      </c>
      <c r="AC24" s="248">
        <f t="shared" si="19"/>
        <v>1</v>
      </c>
      <c r="AD24" s="248">
        <f t="shared" si="19"/>
        <v>1</v>
      </c>
      <c r="AE24" s="248">
        <f t="shared" si="19"/>
        <v>1</v>
      </c>
      <c r="AF24" s="248">
        <f t="shared" si="19"/>
        <v>1</v>
      </c>
      <c r="AG24" s="248">
        <f t="shared" si="19"/>
        <v>1</v>
      </c>
      <c r="AH24" s="248">
        <f t="shared" si="19"/>
        <v>1</v>
      </c>
      <c r="AI24" s="248">
        <f t="shared" si="19"/>
        <v>1</v>
      </c>
      <c r="AJ24" s="248">
        <f t="shared" si="19"/>
        <v>1</v>
      </c>
      <c r="AK24" s="248">
        <f t="shared" si="19"/>
        <v>1</v>
      </c>
      <c r="AL24" s="248">
        <f t="shared" si="19"/>
        <v>1</v>
      </c>
      <c r="AM24" s="248">
        <f t="shared" si="19"/>
        <v>1</v>
      </c>
      <c r="AN24" s="248">
        <f t="shared" si="19"/>
        <v>1</v>
      </c>
      <c r="AO24" s="248">
        <f t="shared" si="19"/>
        <v>1</v>
      </c>
      <c r="AP24" s="248">
        <f t="shared" ref="AP24:BU24" si="20" xml:space="preserve"> IF( AND(AP23 &gt; $F21, AP23 &lt;= $F22), 1, 0)</f>
        <v>1</v>
      </c>
      <c r="AQ24" s="248">
        <f t="shared" si="20"/>
        <v>1</v>
      </c>
      <c r="AR24" s="248">
        <f t="shared" si="20"/>
        <v>1</v>
      </c>
      <c r="AS24" s="248">
        <f t="shared" si="20"/>
        <v>1</v>
      </c>
      <c r="AT24" s="248">
        <f t="shared" si="20"/>
        <v>1</v>
      </c>
      <c r="AU24" s="248">
        <f t="shared" si="20"/>
        <v>1</v>
      </c>
      <c r="AV24" s="248">
        <f t="shared" si="20"/>
        <v>1</v>
      </c>
      <c r="AW24" s="248">
        <f t="shared" si="20"/>
        <v>1</v>
      </c>
      <c r="AX24" s="248">
        <f t="shared" si="20"/>
        <v>1</v>
      </c>
      <c r="AY24" s="248">
        <f t="shared" si="20"/>
        <v>1</v>
      </c>
      <c r="AZ24" s="248">
        <f t="shared" si="20"/>
        <v>1</v>
      </c>
      <c r="BA24" s="248">
        <f t="shared" si="20"/>
        <v>1</v>
      </c>
      <c r="BB24" s="248">
        <f t="shared" si="20"/>
        <v>1</v>
      </c>
      <c r="BC24" s="248">
        <f t="shared" si="20"/>
        <v>1</v>
      </c>
      <c r="BD24" s="248">
        <f t="shared" si="20"/>
        <v>1</v>
      </c>
      <c r="BE24" s="248">
        <f t="shared" si="20"/>
        <v>1</v>
      </c>
      <c r="BF24" s="248">
        <f t="shared" si="20"/>
        <v>1</v>
      </c>
      <c r="BG24" s="248">
        <f t="shared" si="20"/>
        <v>1</v>
      </c>
      <c r="BH24" s="248">
        <f t="shared" si="20"/>
        <v>1</v>
      </c>
      <c r="BI24" s="248">
        <f t="shared" si="20"/>
        <v>1</v>
      </c>
      <c r="BJ24" s="248">
        <f t="shared" si="20"/>
        <v>1</v>
      </c>
      <c r="BK24" s="248">
        <f t="shared" si="20"/>
        <v>1</v>
      </c>
      <c r="BL24" s="248">
        <f t="shared" si="20"/>
        <v>1</v>
      </c>
      <c r="BM24" s="248">
        <f t="shared" si="20"/>
        <v>1</v>
      </c>
      <c r="BN24" s="248">
        <f t="shared" si="20"/>
        <v>1</v>
      </c>
      <c r="BO24" s="248">
        <f t="shared" si="20"/>
        <v>1</v>
      </c>
      <c r="BP24" s="248">
        <f t="shared" si="20"/>
        <v>1</v>
      </c>
      <c r="BQ24" s="248">
        <f t="shared" si="20"/>
        <v>1</v>
      </c>
      <c r="BR24" s="248">
        <f t="shared" si="20"/>
        <v>1</v>
      </c>
      <c r="BS24" s="248">
        <f t="shared" si="20"/>
        <v>1</v>
      </c>
      <c r="BT24" s="248">
        <f t="shared" si="20"/>
        <v>1</v>
      </c>
      <c r="BU24" s="248">
        <f t="shared" si="20"/>
        <v>1</v>
      </c>
      <c r="BV24" s="248">
        <f t="shared" ref="BV24:CA24" si="21" xml:space="preserve"> IF( AND(BV23 &gt; $F21, BV23 &lt;= $F22), 1, 0)</f>
        <v>1</v>
      </c>
      <c r="BW24" s="248">
        <f t="shared" si="21"/>
        <v>0</v>
      </c>
      <c r="BX24" s="248">
        <f t="shared" si="21"/>
        <v>0</v>
      </c>
      <c r="BY24" s="248">
        <f t="shared" si="21"/>
        <v>0</v>
      </c>
      <c r="BZ24" s="248">
        <f t="shared" si="21"/>
        <v>0</v>
      </c>
      <c r="CA24" s="248">
        <f t="shared" si="21"/>
        <v>0</v>
      </c>
    </row>
    <row r="26" spans="1:79" s="229" customFormat="1" x14ac:dyDescent="0.2">
      <c r="A26" s="226"/>
      <c r="B26" s="226"/>
      <c r="C26" s="227"/>
      <c r="D26" s="228"/>
      <c r="E26" s="229" t="str">
        <f xml:space="preserve"> InpC!E$12</f>
        <v>Construction period end / conversion date</v>
      </c>
      <c r="F26" s="229">
        <f xml:space="preserve"> InpC!F$12</f>
        <v>42369</v>
      </c>
      <c r="G26" s="229" t="str">
        <f xml:space="preserve"> InpC!G$12</f>
        <v>date</v>
      </c>
    </row>
    <row r="27" spans="1:79" s="347" customFormat="1" x14ac:dyDescent="0.2">
      <c r="A27" s="344"/>
      <c r="B27" s="344"/>
      <c r="C27" s="345"/>
      <c r="D27" s="346"/>
      <c r="E27" s="347" t="s">
        <v>261</v>
      </c>
      <c r="F27" s="347">
        <v>49674</v>
      </c>
      <c r="G27" s="347" t="s">
        <v>13</v>
      </c>
    </row>
    <row r="28" spans="1:79" s="243" customFormat="1" x14ac:dyDescent="0.2">
      <c r="A28" s="236"/>
      <c r="B28" s="240"/>
      <c r="C28" s="241"/>
      <c r="D28" s="242"/>
      <c r="E28" s="243" t="str">
        <f>E$12</f>
        <v>Model period ending</v>
      </c>
      <c r="F28" s="243" t="str">
        <f t="shared" ref="F28:BQ28" si="22">F$12</f>
        <v>constant</v>
      </c>
      <c r="G28" s="243" t="str">
        <f t="shared" si="22"/>
        <v>unit</v>
      </c>
      <c r="H28" s="243" t="str">
        <f t="shared" si="22"/>
        <v>total</v>
      </c>
      <c r="I28" s="243">
        <f t="shared" si="22"/>
        <v>0</v>
      </c>
      <c r="J28" s="243">
        <f t="shared" si="22"/>
        <v>41639</v>
      </c>
      <c r="K28" s="243">
        <f t="shared" si="22"/>
        <v>41820</v>
      </c>
      <c r="L28" s="243">
        <f t="shared" si="22"/>
        <v>42004</v>
      </c>
      <c r="M28" s="243">
        <f t="shared" si="22"/>
        <v>42185</v>
      </c>
      <c r="N28" s="243">
        <f t="shared" si="22"/>
        <v>42369</v>
      </c>
      <c r="O28" s="243">
        <f t="shared" si="22"/>
        <v>42551</v>
      </c>
      <c r="P28" s="243">
        <f t="shared" si="22"/>
        <v>42735</v>
      </c>
      <c r="Q28" s="243">
        <f t="shared" si="22"/>
        <v>42916</v>
      </c>
      <c r="R28" s="243">
        <f t="shared" si="22"/>
        <v>43100</v>
      </c>
      <c r="S28" s="243">
        <f t="shared" si="22"/>
        <v>43281</v>
      </c>
      <c r="T28" s="243">
        <f t="shared" si="22"/>
        <v>43465</v>
      </c>
      <c r="U28" s="243">
        <f t="shared" si="22"/>
        <v>43646</v>
      </c>
      <c r="V28" s="243">
        <f t="shared" si="22"/>
        <v>43830</v>
      </c>
      <c r="W28" s="243">
        <f t="shared" si="22"/>
        <v>44012</v>
      </c>
      <c r="X28" s="243">
        <f t="shared" si="22"/>
        <v>44196</v>
      </c>
      <c r="Y28" s="243">
        <f t="shared" si="22"/>
        <v>44377</v>
      </c>
      <c r="Z28" s="243">
        <f t="shared" si="22"/>
        <v>44561</v>
      </c>
      <c r="AA28" s="243">
        <f t="shared" si="22"/>
        <v>44742</v>
      </c>
      <c r="AB28" s="243">
        <f t="shared" si="22"/>
        <v>44926</v>
      </c>
      <c r="AC28" s="243">
        <f t="shared" si="22"/>
        <v>45107</v>
      </c>
      <c r="AD28" s="243">
        <f t="shared" si="22"/>
        <v>45291</v>
      </c>
      <c r="AE28" s="243">
        <f t="shared" si="22"/>
        <v>45473</v>
      </c>
      <c r="AF28" s="243">
        <f t="shared" si="22"/>
        <v>45657</v>
      </c>
      <c r="AG28" s="243">
        <f t="shared" si="22"/>
        <v>45838</v>
      </c>
      <c r="AH28" s="243">
        <f t="shared" si="22"/>
        <v>46022</v>
      </c>
      <c r="AI28" s="243">
        <f t="shared" si="22"/>
        <v>46203</v>
      </c>
      <c r="AJ28" s="243">
        <f t="shared" si="22"/>
        <v>46387</v>
      </c>
      <c r="AK28" s="243">
        <f t="shared" si="22"/>
        <v>46568</v>
      </c>
      <c r="AL28" s="243">
        <f t="shared" si="22"/>
        <v>46752</v>
      </c>
      <c r="AM28" s="243">
        <f t="shared" si="22"/>
        <v>46934</v>
      </c>
      <c r="AN28" s="243">
        <f t="shared" si="22"/>
        <v>47118</v>
      </c>
      <c r="AO28" s="243">
        <f t="shared" si="22"/>
        <v>47299</v>
      </c>
      <c r="AP28" s="243">
        <f t="shared" si="22"/>
        <v>47483</v>
      </c>
      <c r="AQ28" s="243">
        <f t="shared" si="22"/>
        <v>47664</v>
      </c>
      <c r="AR28" s="243">
        <f t="shared" si="22"/>
        <v>47848</v>
      </c>
      <c r="AS28" s="243">
        <f t="shared" si="22"/>
        <v>48029</v>
      </c>
      <c r="AT28" s="243">
        <f t="shared" si="22"/>
        <v>48213</v>
      </c>
      <c r="AU28" s="243">
        <f t="shared" si="22"/>
        <v>48395</v>
      </c>
      <c r="AV28" s="243">
        <f t="shared" si="22"/>
        <v>48579</v>
      </c>
      <c r="AW28" s="243">
        <f t="shared" si="22"/>
        <v>48760</v>
      </c>
      <c r="AX28" s="243">
        <f t="shared" si="22"/>
        <v>48944</v>
      </c>
      <c r="AY28" s="243">
        <f t="shared" si="22"/>
        <v>49125</v>
      </c>
      <c r="AZ28" s="243">
        <f t="shared" si="22"/>
        <v>49309</v>
      </c>
      <c r="BA28" s="243">
        <f t="shared" si="22"/>
        <v>49490</v>
      </c>
      <c r="BB28" s="243">
        <f t="shared" si="22"/>
        <v>49674</v>
      </c>
      <c r="BC28" s="243">
        <f t="shared" si="22"/>
        <v>49856</v>
      </c>
      <c r="BD28" s="243">
        <f t="shared" si="22"/>
        <v>50040</v>
      </c>
      <c r="BE28" s="243">
        <f t="shared" si="22"/>
        <v>50221</v>
      </c>
      <c r="BF28" s="243">
        <f t="shared" si="22"/>
        <v>50405</v>
      </c>
      <c r="BG28" s="243">
        <f t="shared" si="22"/>
        <v>50586</v>
      </c>
      <c r="BH28" s="243">
        <f t="shared" si="22"/>
        <v>50770</v>
      </c>
      <c r="BI28" s="243">
        <f t="shared" si="22"/>
        <v>50951</v>
      </c>
      <c r="BJ28" s="243">
        <f t="shared" si="22"/>
        <v>51135</v>
      </c>
      <c r="BK28" s="243">
        <f t="shared" si="22"/>
        <v>51317</v>
      </c>
      <c r="BL28" s="243">
        <f t="shared" si="22"/>
        <v>51501</v>
      </c>
      <c r="BM28" s="243">
        <f t="shared" si="22"/>
        <v>51682</v>
      </c>
      <c r="BN28" s="243">
        <f t="shared" si="22"/>
        <v>51866</v>
      </c>
      <c r="BO28" s="243">
        <f t="shared" si="22"/>
        <v>52047</v>
      </c>
      <c r="BP28" s="243">
        <f t="shared" si="22"/>
        <v>52231</v>
      </c>
      <c r="BQ28" s="243">
        <f t="shared" si="22"/>
        <v>52412</v>
      </c>
      <c r="BR28" s="243">
        <f t="shared" ref="BR28:CA28" si="23">BR$12</f>
        <v>52596</v>
      </c>
      <c r="BS28" s="243">
        <f t="shared" si="23"/>
        <v>52778</v>
      </c>
      <c r="BT28" s="243">
        <f t="shared" si="23"/>
        <v>52962</v>
      </c>
      <c r="BU28" s="243">
        <f t="shared" si="23"/>
        <v>53143</v>
      </c>
      <c r="BV28" s="243">
        <f t="shared" si="23"/>
        <v>53327</v>
      </c>
      <c r="BW28" s="243">
        <f t="shared" si="23"/>
        <v>53508</v>
      </c>
      <c r="BX28" s="243">
        <f t="shared" si="23"/>
        <v>53692</v>
      </c>
      <c r="BY28" s="243">
        <f t="shared" si="23"/>
        <v>53873</v>
      </c>
      <c r="BZ28" s="243">
        <f t="shared" si="23"/>
        <v>54057</v>
      </c>
      <c r="CA28" s="243">
        <f t="shared" si="23"/>
        <v>54239</v>
      </c>
    </row>
    <row r="29" spans="1:79" s="140" customFormat="1" x14ac:dyDescent="0.2">
      <c r="A29" s="137"/>
      <c r="B29" s="137"/>
      <c r="C29" s="138"/>
      <c r="D29" s="139"/>
      <c r="E29" s="140" t="s">
        <v>291</v>
      </c>
      <c r="F29" s="137"/>
      <c r="G29" s="140" t="s">
        <v>12</v>
      </c>
      <c r="H29" s="140">
        <f>SUM(J29:CA29)</f>
        <v>40</v>
      </c>
      <c r="J29" s="248">
        <f t="shared" ref="J29:BU29" si="24" xml:space="preserve"> IF( AND(J28 &gt; $F26, J28 &lt;= $F27), 1, 0)</f>
        <v>0</v>
      </c>
      <c r="K29" s="248">
        <f t="shared" si="24"/>
        <v>0</v>
      </c>
      <c r="L29" s="248">
        <f t="shared" si="24"/>
        <v>0</v>
      </c>
      <c r="M29" s="248">
        <f t="shared" si="24"/>
        <v>0</v>
      </c>
      <c r="N29" s="248">
        <f t="shared" si="24"/>
        <v>0</v>
      </c>
      <c r="O29" s="248">
        <f t="shared" si="24"/>
        <v>1</v>
      </c>
      <c r="P29" s="248">
        <f t="shared" si="24"/>
        <v>1</v>
      </c>
      <c r="Q29" s="248">
        <f t="shared" si="24"/>
        <v>1</v>
      </c>
      <c r="R29" s="248">
        <f t="shared" si="24"/>
        <v>1</v>
      </c>
      <c r="S29" s="248">
        <f t="shared" si="24"/>
        <v>1</v>
      </c>
      <c r="T29" s="248">
        <f t="shared" si="24"/>
        <v>1</v>
      </c>
      <c r="U29" s="248">
        <f t="shared" si="24"/>
        <v>1</v>
      </c>
      <c r="V29" s="248">
        <f t="shared" si="24"/>
        <v>1</v>
      </c>
      <c r="W29" s="248">
        <f t="shared" si="24"/>
        <v>1</v>
      </c>
      <c r="X29" s="248">
        <f t="shared" si="24"/>
        <v>1</v>
      </c>
      <c r="Y29" s="248">
        <f t="shared" si="24"/>
        <v>1</v>
      </c>
      <c r="Z29" s="248">
        <f t="shared" si="24"/>
        <v>1</v>
      </c>
      <c r="AA29" s="248">
        <f t="shared" si="24"/>
        <v>1</v>
      </c>
      <c r="AB29" s="248">
        <f t="shared" si="24"/>
        <v>1</v>
      </c>
      <c r="AC29" s="248">
        <f t="shared" si="24"/>
        <v>1</v>
      </c>
      <c r="AD29" s="248">
        <f t="shared" si="24"/>
        <v>1</v>
      </c>
      <c r="AE29" s="248">
        <f t="shared" si="24"/>
        <v>1</v>
      </c>
      <c r="AF29" s="248">
        <f t="shared" si="24"/>
        <v>1</v>
      </c>
      <c r="AG29" s="248">
        <f t="shared" si="24"/>
        <v>1</v>
      </c>
      <c r="AH29" s="248">
        <f t="shared" si="24"/>
        <v>1</v>
      </c>
      <c r="AI29" s="248">
        <f t="shared" si="24"/>
        <v>1</v>
      </c>
      <c r="AJ29" s="248">
        <f t="shared" si="24"/>
        <v>1</v>
      </c>
      <c r="AK29" s="248">
        <f t="shared" si="24"/>
        <v>1</v>
      </c>
      <c r="AL29" s="248">
        <f t="shared" si="24"/>
        <v>1</v>
      </c>
      <c r="AM29" s="248">
        <f t="shared" si="24"/>
        <v>1</v>
      </c>
      <c r="AN29" s="248">
        <f t="shared" si="24"/>
        <v>1</v>
      </c>
      <c r="AO29" s="248">
        <f t="shared" si="24"/>
        <v>1</v>
      </c>
      <c r="AP29" s="248">
        <f t="shared" si="24"/>
        <v>1</v>
      </c>
      <c r="AQ29" s="248">
        <f t="shared" si="24"/>
        <v>1</v>
      </c>
      <c r="AR29" s="248">
        <f t="shared" si="24"/>
        <v>1</v>
      </c>
      <c r="AS29" s="248">
        <f t="shared" si="24"/>
        <v>1</v>
      </c>
      <c r="AT29" s="248">
        <f t="shared" si="24"/>
        <v>1</v>
      </c>
      <c r="AU29" s="248">
        <f t="shared" si="24"/>
        <v>1</v>
      </c>
      <c r="AV29" s="248">
        <f t="shared" si="24"/>
        <v>1</v>
      </c>
      <c r="AW29" s="248">
        <f t="shared" si="24"/>
        <v>1</v>
      </c>
      <c r="AX29" s="248">
        <f t="shared" si="24"/>
        <v>1</v>
      </c>
      <c r="AY29" s="248">
        <f t="shared" si="24"/>
        <v>1</v>
      </c>
      <c r="AZ29" s="248">
        <f t="shared" si="24"/>
        <v>1</v>
      </c>
      <c r="BA29" s="248">
        <f t="shared" si="24"/>
        <v>1</v>
      </c>
      <c r="BB29" s="248">
        <f t="shared" si="24"/>
        <v>1</v>
      </c>
      <c r="BC29" s="248">
        <f t="shared" si="24"/>
        <v>0</v>
      </c>
      <c r="BD29" s="248">
        <f t="shared" si="24"/>
        <v>0</v>
      </c>
      <c r="BE29" s="248">
        <f t="shared" si="24"/>
        <v>0</v>
      </c>
      <c r="BF29" s="248">
        <f t="shared" si="24"/>
        <v>0</v>
      </c>
      <c r="BG29" s="248">
        <f t="shared" si="24"/>
        <v>0</v>
      </c>
      <c r="BH29" s="248">
        <f t="shared" si="24"/>
        <v>0</v>
      </c>
      <c r="BI29" s="248">
        <f t="shared" si="24"/>
        <v>0</v>
      </c>
      <c r="BJ29" s="248">
        <f t="shared" si="24"/>
        <v>0</v>
      </c>
      <c r="BK29" s="248">
        <f t="shared" si="24"/>
        <v>0</v>
      </c>
      <c r="BL29" s="248">
        <f t="shared" si="24"/>
        <v>0</v>
      </c>
      <c r="BM29" s="248">
        <f t="shared" si="24"/>
        <v>0</v>
      </c>
      <c r="BN29" s="248">
        <f t="shared" si="24"/>
        <v>0</v>
      </c>
      <c r="BO29" s="248">
        <f t="shared" si="24"/>
        <v>0</v>
      </c>
      <c r="BP29" s="248">
        <f t="shared" si="24"/>
        <v>0</v>
      </c>
      <c r="BQ29" s="248">
        <f t="shared" si="24"/>
        <v>0</v>
      </c>
      <c r="BR29" s="248">
        <f t="shared" si="24"/>
        <v>0</v>
      </c>
      <c r="BS29" s="248">
        <f t="shared" si="24"/>
        <v>0</v>
      </c>
      <c r="BT29" s="248">
        <f t="shared" si="24"/>
        <v>0</v>
      </c>
      <c r="BU29" s="248">
        <f t="shared" si="24"/>
        <v>0</v>
      </c>
      <c r="BV29" s="248">
        <f t="shared" ref="BV29:CA29" si="25" xml:space="preserve"> IF( AND(BV28 &gt; $F26, BV28 &lt;= $F27), 1, 0)</f>
        <v>0</v>
      </c>
      <c r="BW29" s="248">
        <f t="shared" si="25"/>
        <v>0</v>
      </c>
      <c r="BX29" s="248">
        <f t="shared" si="25"/>
        <v>0</v>
      </c>
      <c r="BY29" s="248">
        <f t="shared" si="25"/>
        <v>0</v>
      </c>
      <c r="BZ29" s="248">
        <f t="shared" si="25"/>
        <v>0</v>
      </c>
      <c r="CA29" s="248">
        <f t="shared" si="25"/>
        <v>0</v>
      </c>
    </row>
    <row r="31" spans="1:79" s="229" customFormat="1" x14ac:dyDescent="0.2">
      <c r="A31" s="226"/>
      <c r="B31" s="226"/>
      <c r="C31" s="227"/>
      <c r="D31" s="228"/>
      <c r="E31" s="229" t="str">
        <f xml:space="preserve"> InpC!E$12</f>
        <v>Construction period end / conversion date</v>
      </c>
      <c r="F31" s="229">
        <f xml:space="preserve"> InpC!F$12</f>
        <v>42369</v>
      </c>
      <c r="G31" s="229" t="str">
        <f xml:space="preserve"> InpC!G$12</f>
        <v>date</v>
      </c>
    </row>
    <row r="32" spans="1:79" s="250" customFormat="1" x14ac:dyDescent="0.2">
      <c r="A32" s="225"/>
      <c r="B32" s="225"/>
      <c r="C32" s="246"/>
      <c r="D32" s="249"/>
      <c r="E32" s="250" t="str">
        <f>InpC!E$45</f>
        <v>Last date of accounting depreciation</v>
      </c>
      <c r="F32" s="250">
        <f>InpC!F$45</f>
        <v>51501</v>
      </c>
      <c r="G32" s="250" t="str">
        <f>InpC!G$45</f>
        <v>date</v>
      </c>
    </row>
    <row r="33" spans="1:79" s="243" customFormat="1" x14ac:dyDescent="0.2">
      <c r="A33" s="236"/>
      <c r="B33" s="240"/>
      <c r="C33" s="241"/>
      <c r="D33" s="242"/>
      <c r="E33" s="243" t="str">
        <f>E$12</f>
        <v>Model period ending</v>
      </c>
      <c r="F33" s="243" t="str">
        <f t="shared" ref="F33:BQ33" si="26">F$12</f>
        <v>constant</v>
      </c>
      <c r="G33" s="243" t="str">
        <f t="shared" si="26"/>
        <v>unit</v>
      </c>
      <c r="H33" s="243" t="str">
        <f t="shared" si="26"/>
        <v>total</v>
      </c>
      <c r="I33" s="243">
        <f t="shared" si="26"/>
        <v>0</v>
      </c>
      <c r="J33" s="243">
        <f t="shared" si="26"/>
        <v>41639</v>
      </c>
      <c r="K33" s="243">
        <f t="shared" si="26"/>
        <v>41820</v>
      </c>
      <c r="L33" s="243">
        <f t="shared" si="26"/>
        <v>42004</v>
      </c>
      <c r="M33" s="243">
        <f t="shared" si="26"/>
        <v>42185</v>
      </c>
      <c r="N33" s="243">
        <f t="shared" si="26"/>
        <v>42369</v>
      </c>
      <c r="O33" s="243">
        <f t="shared" si="26"/>
        <v>42551</v>
      </c>
      <c r="P33" s="243">
        <f t="shared" si="26"/>
        <v>42735</v>
      </c>
      <c r="Q33" s="243">
        <f t="shared" si="26"/>
        <v>42916</v>
      </c>
      <c r="R33" s="243">
        <f t="shared" si="26"/>
        <v>43100</v>
      </c>
      <c r="S33" s="243">
        <f t="shared" si="26"/>
        <v>43281</v>
      </c>
      <c r="T33" s="243">
        <f t="shared" si="26"/>
        <v>43465</v>
      </c>
      <c r="U33" s="243">
        <f t="shared" si="26"/>
        <v>43646</v>
      </c>
      <c r="V33" s="243">
        <f t="shared" si="26"/>
        <v>43830</v>
      </c>
      <c r="W33" s="243">
        <f t="shared" si="26"/>
        <v>44012</v>
      </c>
      <c r="X33" s="243">
        <f t="shared" si="26"/>
        <v>44196</v>
      </c>
      <c r="Y33" s="243">
        <f t="shared" si="26"/>
        <v>44377</v>
      </c>
      <c r="Z33" s="243">
        <f t="shared" si="26"/>
        <v>44561</v>
      </c>
      <c r="AA33" s="243">
        <f t="shared" si="26"/>
        <v>44742</v>
      </c>
      <c r="AB33" s="243">
        <f t="shared" si="26"/>
        <v>44926</v>
      </c>
      <c r="AC33" s="243">
        <f t="shared" si="26"/>
        <v>45107</v>
      </c>
      <c r="AD33" s="243">
        <f t="shared" si="26"/>
        <v>45291</v>
      </c>
      <c r="AE33" s="243">
        <f t="shared" si="26"/>
        <v>45473</v>
      </c>
      <c r="AF33" s="243">
        <f t="shared" si="26"/>
        <v>45657</v>
      </c>
      <c r="AG33" s="243">
        <f t="shared" si="26"/>
        <v>45838</v>
      </c>
      <c r="AH33" s="243">
        <f t="shared" si="26"/>
        <v>46022</v>
      </c>
      <c r="AI33" s="243">
        <f t="shared" si="26"/>
        <v>46203</v>
      </c>
      <c r="AJ33" s="243">
        <f t="shared" si="26"/>
        <v>46387</v>
      </c>
      <c r="AK33" s="243">
        <f t="shared" si="26"/>
        <v>46568</v>
      </c>
      <c r="AL33" s="243">
        <f t="shared" si="26"/>
        <v>46752</v>
      </c>
      <c r="AM33" s="243">
        <f t="shared" si="26"/>
        <v>46934</v>
      </c>
      <c r="AN33" s="243">
        <f t="shared" si="26"/>
        <v>47118</v>
      </c>
      <c r="AO33" s="243">
        <f t="shared" si="26"/>
        <v>47299</v>
      </c>
      <c r="AP33" s="243">
        <f t="shared" si="26"/>
        <v>47483</v>
      </c>
      <c r="AQ33" s="243">
        <f t="shared" si="26"/>
        <v>47664</v>
      </c>
      <c r="AR33" s="243">
        <f t="shared" si="26"/>
        <v>47848</v>
      </c>
      <c r="AS33" s="243">
        <f t="shared" si="26"/>
        <v>48029</v>
      </c>
      <c r="AT33" s="243">
        <f t="shared" si="26"/>
        <v>48213</v>
      </c>
      <c r="AU33" s="243">
        <f t="shared" si="26"/>
        <v>48395</v>
      </c>
      <c r="AV33" s="243">
        <f t="shared" si="26"/>
        <v>48579</v>
      </c>
      <c r="AW33" s="243">
        <f t="shared" si="26"/>
        <v>48760</v>
      </c>
      <c r="AX33" s="243">
        <f t="shared" si="26"/>
        <v>48944</v>
      </c>
      <c r="AY33" s="243">
        <f t="shared" si="26"/>
        <v>49125</v>
      </c>
      <c r="AZ33" s="243">
        <f t="shared" si="26"/>
        <v>49309</v>
      </c>
      <c r="BA33" s="243">
        <f t="shared" si="26"/>
        <v>49490</v>
      </c>
      <c r="BB33" s="243">
        <f t="shared" si="26"/>
        <v>49674</v>
      </c>
      <c r="BC33" s="243">
        <f t="shared" si="26"/>
        <v>49856</v>
      </c>
      <c r="BD33" s="243">
        <f t="shared" si="26"/>
        <v>50040</v>
      </c>
      <c r="BE33" s="243">
        <f t="shared" si="26"/>
        <v>50221</v>
      </c>
      <c r="BF33" s="243">
        <f t="shared" si="26"/>
        <v>50405</v>
      </c>
      <c r="BG33" s="243">
        <f t="shared" si="26"/>
        <v>50586</v>
      </c>
      <c r="BH33" s="243">
        <f t="shared" si="26"/>
        <v>50770</v>
      </c>
      <c r="BI33" s="243">
        <f t="shared" si="26"/>
        <v>50951</v>
      </c>
      <c r="BJ33" s="243">
        <f t="shared" si="26"/>
        <v>51135</v>
      </c>
      <c r="BK33" s="243">
        <f t="shared" si="26"/>
        <v>51317</v>
      </c>
      <c r="BL33" s="243">
        <f t="shared" si="26"/>
        <v>51501</v>
      </c>
      <c r="BM33" s="243">
        <f t="shared" si="26"/>
        <v>51682</v>
      </c>
      <c r="BN33" s="243">
        <f t="shared" si="26"/>
        <v>51866</v>
      </c>
      <c r="BO33" s="243">
        <f t="shared" si="26"/>
        <v>52047</v>
      </c>
      <c r="BP33" s="243">
        <f t="shared" si="26"/>
        <v>52231</v>
      </c>
      <c r="BQ33" s="243">
        <f t="shared" si="26"/>
        <v>52412</v>
      </c>
      <c r="BR33" s="243">
        <f t="shared" ref="BR33:CA33" si="27">BR$12</f>
        <v>52596</v>
      </c>
      <c r="BS33" s="243">
        <f t="shared" si="27"/>
        <v>52778</v>
      </c>
      <c r="BT33" s="243">
        <f t="shared" si="27"/>
        <v>52962</v>
      </c>
      <c r="BU33" s="243">
        <f t="shared" si="27"/>
        <v>53143</v>
      </c>
      <c r="BV33" s="243">
        <f t="shared" si="27"/>
        <v>53327</v>
      </c>
      <c r="BW33" s="243">
        <f t="shared" si="27"/>
        <v>53508</v>
      </c>
      <c r="BX33" s="243">
        <f t="shared" si="27"/>
        <v>53692</v>
      </c>
      <c r="BY33" s="243">
        <f t="shared" si="27"/>
        <v>53873</v>
      </c>
      <c r="BZ33" s="243">
        <f t="shared" si="27"/>
        <v>54057</v>
      </c>
      <c r="CA33" s="243">
        <f t="shared" si="27"/>
        <v>54239</v>
      </c>
    </row>
    <row r="34" spans="1:79" s="140" customFormat="1" x14ac:dyDescent="0.2">
      <c r="A34" s="137"/>
      <c r="B34" s="137"/>
      <c r="C34" s="138"/>
      <c r="D34" s="139"/>
      <c r="E34" s="140" t="s">
        <v>107</v>
      </c>
      <c r="F34" s="137"/>
      <c r="G34" s="140" t="s">
        <v>12</v>
      </c>
      <c r="H34" s="140">
        <f>SUM(J34:CA34)</f>
        <v>50</v>
      </c>
      <c r="J34" s="248">
        <f t="shared" ref="J34:BU34" si="28" xml:space="preserve"> IF( AND(J33 &gt; $F31, J33 &lt;= $F32), 1, 0)</f>
        <v>0</v>
      </c>
      <c r="K34" s="248">
        <f t="shared" si="28"/>
        <v>0</v>
      </c>
      <c r="L34" s="248">
        <f t="shared" si="28"/>
        <v>0</v>
      </c>
      <c r="M34" s="248">
        <f t="shared" si="28"/>
        <v>0</v>
      </c>
      <c r="N34" s="248">
        <f t="shared" si="28"/>
        <v>0</v>
      </c>
      <c r="O34" s="248">
        <f t="shared" si="28"/>
        <v>1</v>
      </c>
      <c r="P34" s="248">
        <f t="shared" si="28"/>
        <v>1</v>
      </c>
      <c r="Q34" s="248">
        <f t="shared" si="28"/>
        <v>1</v>
      </c>
      <c r="R34" s="248">
        <f t="shared" si="28"/>
        <v>1</v>
      </c>
      <c r="S34" s="248">
        <f t="shared" si="28"/>
        <v>1</v>
      </c>
      <c r="T34" s="248">
        <f t="shared" si="28"/>
        <v>1</v>
      </c>
      <c r="U34" s="248">
        <f t="shared" si="28"/>
        <v>1</v>
      </c>
      <c r="V34" s="248">
        <f t="shared" si="28"/>
        <v>1</v>
      </c>
      <c r="W34" s="248">
        <f t="shared" si="28"/>
        <v>1</v>
      </c>
      <c r="X34" s="248">
        <f t="shared" si="28"/>
        <v>1</v>
      </c>
      <c r="Y34" s="248">
        <f t="shared" si="28"/>
        <v>1</v>
      </c>
      <c r="Z34" s="248">
        <f t="shared" si="28"/>
        <v>1</v>
      </c>
      <c r="AA34" s="248">
        <f t="shared" si="28"/>
        <v>1</v>
      </c>
      <c r="AB34" s="248">
        <f t="shared" si="28"/>
        <v>1</v>
      </c>
      <c r="AC34" s="248">
        <f t="shared" si="28"/>
        <v>1</v>
      </c>
      <c r="AD34" s="248">
        <f t="shared" si="28"/>
        <v>1</v>
      </c>
      <c r="AE34" s="248">
        <f t="shared" si="28"/>
        <v>1</v>
      </c>
      <c r="AF34" s="248">
        <f t="shared" si="28"/>
        <v>1</v>
      </c>
      <c r="AG34" s="248">
        <f t="shared" si="28"/>
        <v>1</v>
      </c>
      <c r="AH34" s="248">
        <f t="shared" si="28"/>
        <v>1</v>
      </c>
      <c r="AI34" s="248">
        <f t="shared" si="28"/>
        <v>1</v>
      </c>
      <c r="AJ34" s="248">
        <f t="shared" si="28"/>
        <v>1</v>
      </c>
      <c r="AK34" s="248">
        <f t="shared" si="28"/>
        <v>1</v>
      </c>
      <c r="AL34" s="248">
        <f t="shared" si="28"/>
        <v>1</v>
      </c>
      <c r="AM34" s="248">
        <f t="shared" si="28"/>
        <v>1</v>
      </c>
      <c r="AN34" s="248">
        <f t="shared" si="28"/>
        <v>1</v>
      </c>
      <c r="AO34" s="248">
        <f t="shared" si="28"/>
        <v>1</v>
      </c>
      <c r="AP34" s="248">
        <f t="shared" si="28"/>
        <v>1</v>
      </c>
      <c r="AQ34" s="248">
        <f t="shared" si="28"/>
        <v>1</v>
      </c>
      <c r="AR34" s="248">
        <f t="shared" si="28"/>
        <v>1</v>
      </c>
      <c r="AS34" s="248">
        <f t="shared" si="28"/>
        <v>1</v>
      </c>
      <c r="AT34" s="248">
        <f t="shared" si="28"/>
        <v>1</v>
      </c>
      <c r="AU34" s="248">
        <f t="shared" si="28"/>
        <v>1</v>
      </c>
      <c r="AV34" s="248">
        <f t="shared" si="28"/>
        <v>1</v>
      </c>
      <c r="AW34" s="248">
        <f t="shared" si="28"/>
        <v>1</v>
      </c>
      <c r="AX34" s="248">
        <f t="shared" si="28"/>
        <v>1</v>
      </c>
      <c r="AY34" s="248">
        <f t="shared" si="28"/>
        <v>1</v>
      </c>
      <c r="AZ34" s="248">
        <f t="shared" si="28"/>
        <v>1</v>
      </c>
      <c r="BA34" s="248">
        <f t="shared" si="28"/>
        <v>1</v>
      </c>
      <c r="BB34" s="248">
        <f t="shared" si="28"/>
        <v>1</v>
      </c>
      <c r="BC34" s="248">
        <f t="shared" si="28"/>
        <v>1</v>
      </c>
      <c r="BD34" s="248">
        <f t="shared" si="28"/>
        <v>1</v>
      </c>
      <c r="BE34" s="248">
        <f t="shared" si="28"/>
        <v>1</v>
      </c>
      <c r="BF34" s="248">
        <f t="shared" si="28"/>
        <v>1</v>
      </c>
      <c r="BG34" s="248">
        <f t="shared" si="28"/>
        <v>1</v>
      </c>
      <c r="BH34" s="248">
        <f t="shared" si="28"/>
        <v>1</v>
      </c>
      <c r="BI34" s="248">
        <f t="shared" si="28"/>
        <v>1</v>
      </c>
      <c r="BJ34" s="248">
        <f t="shared" si="28"/>
        <v>1</v>
      </c>
      <c r="BK34" s="248">
        <f t="shared" si="28"/>
        <v>1</v>
      </c>
      <c r="BL34" s="248">
        <f t="shared" si="28"/>
        <v>1</v>
      </c>
      <c r="BM34" s="248">
        <f t="shared" si="28"/>
        <v>0</v>
      </c>
      <c r="BN34" s="248">
        <f t="shared" si="28"/>
        <v>0</v>
      </c>
      <c r="BO34" s="248">
        <f t="shared" si="28"/>
        <v>0</v>
      </c>
      <c r="BP34" s="248">
        <f t="shared" si="28"/>
        <v>0</v>
      </c>
      <c r="BQ34" s="248">
        <f t="shared" si="28"/>
        <v>0</v>
      </c>
      <c r="BR34" s="248">
        <f t="shared" si="28"/>
        <v>0</v>
      </c>
      <c r="BS34" s="248">
        <f t="shared" si="28"/>
        <v>0</v>
      </c>
      <c r="BT34" s="248">
        <f t="shared" si="28"/>
        <v>0</v>
      </c>
      <c r="BU34" s="248">
        <f t="shared" si="28"/>
        <v>0</v>
      </c>
      <c r="BV34" s="248">
        <f t="shared" ref="BV34:CA34" si="29" xml:space="preserve"> IF( AND(BV33 &gt; $F31, BV33 &lt;= $F32), 1, 0)</f>
        <v>0</v>
      </c>
      <c r="BW34" s="248">
        <f t="shared" si="29"/>
        <v>0</v>
      </c>
      <c r="BX34" s="248">
        <f t="shared" si="29"/>
        <v>0</v>
      </c>
      <c r="BY34" s="248">
        <f t="shared" si="29"/>
        <v>0</v>
      </c>
      <c r="BZ34" s="248">
        <f t="shared" si="29"/>
        <v>0</v>
      </c>
      <c r="CA34" s="248">
        <f t="shared" si="29"/>
        <v>0</v>
      </c>
    </row>
    <row r="36" spans="1:79" s="230" customFormat="1" x14ac:dyDescent="0.2">
      <c r="A36" s="225"/>
      <c r="B36" s="225"/>
      <c r="C36" s="246"/>
      <c r="D36" s="247"/>
      <c r="E36" s="230" t="str">
        <f xml:space="preserve"> InpC!E$15</f>
        <v>Last forecast date</v>
      </c>
      <c r="F36" s="230">
        <f xml:space="preserve"> InpC!F$15</f>
        <v>53327</v>
      </c>
      <c r="G36" s="230" t="str">
        <f xml:space="preserve"> InpC!G$15</f>
        <v>date</v>
      </c>
    </row>
    <row r="37" spans="1:79" s="243" customFormat="1" x14ac:dyDescent="0.2">
      <c r="A37" s="236"/>
      <c r="B37" s="240"/>
      <c r="C37" s="241"/>
      <c r="D37" s="242"/>
      <c r="E37" s="243" t="str">
        <f>E$12</f>
        <v>Model period ending</v>
      </c>
      <c r="F37" s="243" t="str">
        <f t="shared" ref="F37:BQ37" si="30">F$12</f>
        <v>constant</v>
      </c>
      <c r="G37" s="243" t="str">
        <f t="shared" si="30"/>
        <v>unit</v>
      </c>
      <c r="H37" s="243" t="str">
        <f t="shared" si="30"/>
        <v>total</v>
      </c>
      <c r="I37" s="243">
        <f t="shared" si="30"/>
        <v>0</v>
      </c>
      <c r="J37" s="243">
        <f t="shared" si="30"/>
        <v>41639</v>
      </c>
      <c r="K37" s="243">
        <f t="shared" si="30"/>
        <v>41820</v>
      </c>
      <c r="L37" s="243">
        <f t="shared" si="30"/>
        <v>42004</v>
      </c>
      <c r="M37" s="243">
        <f t="shared" si="30"/>
        <v>42185</v>
      </c>
      <c r="N37" s="243">
        <f t="shared" si="30"/>
        <v>42369</v>
      </c>
      <c r="O37" s="243">
        <f t="shared" si="30"/>
        <v>42551</v>
      </c>
      <c r="P37" s="243">
        <f t="shared" si="30"/>
        <v>42735</v>
      </c>
      <c r="Q37" s="243">
        <f t="shared" si="30"/>
        <v>42916</v>
      </c>
      <c r="R37" s="243">
        <f t="shared" si="30"/>
        <v>43100</v>
      </c>
      <c r="S37" s="243">
        <f t="shared" si="30"/>
        <v>43281</v>
      </c>
      <c r="T37" s="243">
        <f t="shared" si="30"/>
        <v>43465</v>
      </c>
      <c r="U37" s="243">
        <f t="shared" si="30"/>
        <v>43646</v>
      </c>
      <c r="V37" s="243">
        <f t="shared" si="30"/>
        <v>43830</v>
      </c>
      <c r="W37" s="243">
        <f t="shared" si="30"/>
        <v>44012</v>
      </c>
      <c r="X37" s="243">
        <f t="shared" si="30"/>
        <v>44196</v>
      </c>
      <c r="Y37" s="243">
        <f t="shared" si="30"/>
        <v>44377</v>
      </c>
      <c r="Z37" s="243">
        <f t="shared" si="30"/>
        <v>44561</v>
      </c>
      <c r="AA37" s="243">
        <f t="shared" si="30"/>
        <v>44742</v>
      </c>
      <c r="AB37" s="243">
        <f t="shared" si="30"/>
        <v>44926</v>
      </c>
      <c r="AC37" s="243">
        <f t="shared" si="30"/>
        <v>45107</v>
      </c>
      <c r="AD37" s="243">
        <f t="shared" si="30"/>
        <v>45291</v>
      </c>
      <c r="AE37" s="243">
        <f t="shared" si="30"/>
        <v>45473</v>
      </c>
      <c r="AF37" s="243">
        <f t="shared" si="30"/>
        <v>45657</v>
      </c>
      <c r="AG37" s="243">
        <f t="shared" si="30"/>
        <v>45838</v>
      </c>
      <c r="AH37" s="243">
        <f t="shared" si="30"/>
        <v>46022</v>
      </c>
      <c r="AI37" s="243">
        <f t="shared" si="30"/>
        <v>46203</v>
      </c>
      <c r="AJ37" s="243">
        <f t="shared" si="30"/>
        <v>46387</v>
      </c>
      <c r="AK37" s="243">
        <f t="shared" si="30"/>
        <v>46568</v>
      </c>
      <c r="AL37" s="243">
        <f t="shared" si="30"/>
        <v>46752</v>
      </c>
      <c r="AM37" s="243">
        <f t="shared" si="30"/>
        <v>46934</v>
      </c>
      <c r="AN37" s="243">
        <f t="shared" si="30"/>
        <v>47118</v>
      </c>
      <c r="AO37" s="243">
        <f t="shared" si="30"/>
        <v>47299</v>
      </c>
      <c r="AP37" s="243">
        <f t="shared" si="30"/>
        <v>47483</v>
      </c>
      <c r="AQ37" s="243">
        <f t="shared" si="30"/>
        <v>47664</v>
      </c>
      <c r="AR37" s="243">
        <f t="shared" si="30"/>
        <v>47848</v>
      </c>
      <c r="AS37" s="243">
        <f t="shared" si="30"/>
        <v>48029</v>
      </c>
      <c r="AT37" s="243">
        <f t="shared" si="30"/>
        <v>48213</v>
      </c>
      <c r="AU37" s="243">
        <f t="shared" si="30"/>
        <v>48395</v>
      </c>
      <c r="AV37" s="243">
        <f t="shared" si="30"/>
        <v>48579</v>
      </c>
      <c r="AW37" s="243">
        <f t="shared" si="30"/>
        <v>48760</v>
      </c>
      <c r="AX37" s="243">
        <f t="shared" si="30"/>
        <v>48944</v>
      </c>
      <c r="AY37" s="243">
        <f t="shared" si="30"/>
        <v>49125</v>
      </c>
      <c r="AZ37" s="243">
        <f t="shared" si="30"/>
        <v>49309</v>
      </c>
      <c r="BA37" s="243">
        <f t="shared" si="30"/>
        <v>49490</v>
      </c>
      <c r="BB37" s="243">
        <f t="shared" si="30"/>
        <v>49674</v>
      </c>
      <c r="BC37" s="243">
        <f t="shared" si="30"/>
        <v>49856</v>
      </c>
      <c r="BD37" s="243">
        <f t="shared" si="30"/>
        <v>50040</v>
      </c>
      <c r="BE37" s="243">
        <f t="shared" si="30"/>
        <v>50221</v>
      </c>
      <c r="BF37" s="243">
        <f t="shared" si="30"/>
        <v>50405</v>
      </c>
      <c r="BG37" s="243">
        <f t="shared" si="30"/>
        <v>50586</v>
      </c>
      <c r="BH37" s="243">
        <f t="shared" si="30"/>
        <v>50770</v>
      </c>
      <c r="BI37" s="243">
        <f t="shared" si="30"/>
        <v>50951</v>
      </c>
      <c r="BJ37" s="243">
        <f t="shared" si="30"/>
        <v>51135</v>
      </c>
      <c r="BK37" s="243">
        <f t="shared" si="30"/>
        <v>51317</v>
      </c>
      <c r="BL37" s="243">
        <f t="shared" si="30"/>
        <v>51501</v>
      </c>
      <c r="BM37" s="243">
        <f t="shared" si="30"/>
        <v>51682</v>
      </c>
      <c r="BN37" s="243">
        <f t="shared" si="30"/>
        <v>51866</v>
      </c>
      <c r="BO37" s="243">
        <f t="shared" si="30"/>
        <v>52047</v>
      </c>
      <c r="BP37" s="243">
        <f t="shared" si="30"/>
        <v>52231</v>
      </c>
      <c r="BQ37" s="243">
        <f t="shared" si="30"/>
        <v>52412</v>
      </c>
      <c r="BR37" s="243">
        <f t="shared" ref="BR37:CA37" si="31">BR$12</f>
        <v>52596</v>
      </c>
      <c r="BS37" s="243">
        <f t="shared" si="31"/>
        <v>52778</v>
      </c>
      <c r="BT37" s="243">
        <f t="shared" si="31"/>
        <v>52962</v>
      </c>
      <c r="BU37" s="243">
        <f t="shared" si="31"/>
        <v>53143</v>
      </c>
      <c r="BV37" s="243">
        <f t="shared" si="31"/>
        <v>53327</v>
      </c>
      <c r="BW37" s="243">
        <f t="shared" si="31"/>
        <v>53508</v>
      </c>
      <c r="BX37" s="243">
        <f t="shared" si="31"/>
        <v>53692</v>
      </c>
      <c r="BY37" s="243">
        <f t="shared" si="31"/>
        <v>53873</v>
      </c>
      <c r="BZ37" s="243">
        <f t="shared" si="31"/>
        <v>54057</v>
      </c>
      <c r="CA37" s="243">
        <f t="shared" si="31"/>
        <v>54239</v>
      </c>
    </row>
    <row r="38" spans="1:79" s="140" customFormat="1" x14ac:dyDescent="0.2">
      <c r="A38" s="137"/>
      <c r="B38" s="137"/>
      <c r="C38" s="138"/>
      <c r="D38" s="139"/>
      <c r="E38" s="140" t="s">
        <v>126</v>
      </c>
      <c r="G38" s="140" t="s">
        <v>12</v>
      </c>
      <c r="H38" s="140">
        <f>SUM(J38:CA38)</f>
        <v>1</v>
      </c>
      <c r="J38" s="140">
        <f t="shared" ref="J38:BU38" si="32" xml:space="preserve"> IF(J37 = $F36, 1, 0)</f>
        <v>0</v>
      </c>
      <c r="K38" s="140">
        <f t="shared" si="32"/>
        <v>0</v>
      </c>
      <c r="L38" s="140">
        <f t="shared" si="32"/>
        <v>0</v>
      </c>
      <c r="M38" s="140">
        <f t="shared" si="32"/>
        <v>0</v>
      </c>
      <c r="N38" s="140">
        <f t="shared" si="32"/>
        <v>0</v>
      </c>
      <c r="O38" s="140">
        <f t="shared" si="32"/>
        <v>0</v>
      </c>
      <c r="P38" s="140">
        <f t="shared" si="32"/>
        <v>0</v>
      </c>
      <c r="Q38" s="140">
        <f t="shared" si="32"/>
        <v>0</v>
      </c>
      <c r="R38" s="140">
        <f t="shared" si="32"/>
        <v>0</v>
      </c>
      <c r="S38" s="140">
        <f t="shared" si="32"/>
        <v>0</v>
      </c>
      <c r="T38" s="140">
        <f t="shared" si="32"/>
        <v>0</v>
      </c>
      <c r="U38" s="140">
        <f t="shared" si="32"/>
        <v>0</v>
      </c>
      <c r="V38" s="140">
        <f t="shared" si="32"/>
        <v>0</v>
      </c>
      <c r="W38" s="140">
        <f t="shared" si="32"/>
        <v>0</v>
      </c>
      <c r="X38" s="140">
        <f t="shared" si="32"/>
        <v>0</v>
      </c>
      <c r="Y38" s="140">
        <f t="shared" si="32"/>
        <v>0</v>
      </c>
      <c r="Z38" s="140">
        <f t="shared" si="32"/>
        <v>0</v>
      </c>
      <c r="AA38" s="140">
        <f t="shared" si="32"/>
        <v>0</v>
      </c>
      <c r="AB38" s="140">
        <f t="shared" si="32"/>
        <v>0</v>
      </c>
      <c r="AC38" s="140">
        <f t="shared" si="32"/>
        <v>0</v>
      </c>
      <c r="AD38" s="140">
        <f t="shared" si="32"/>
        <v>0</v>
      </c>
      <c r="AE38" s="140">
        <f t="shared" si="32"/>
        <v>0</v>
      </c>
      <c r="AF38" s="140">
        <f t="shared" si="32"/>
        <v>0</v>
      </c>
      <c r="AG38" s="140">
        <f t="shared" si="32"/>
        <v>0</v>
      </c>
      <c r="AH38" s="140">
        <f t="shared" si="32"/>
        <v>0</v>
      </c>
      <c r="AI38" s="140">
        <f t="shared" si="32"/>
        <v>0</v>
      </c>
      <c r="AJ38" s="140">
        <f t="shared" si="32"/>
        <v>0</v>
      </c>
      <c r="AK38" s="140">
        <f t="shared" si="32"/>
        <v>0</v>
      </c>
      <c r="AL38" s="140">
        <f t="shared" si="32"/>
        <v>0</v>
      </c>
      <c r="AM38" s="140">
        <f t="shared" si="32"/>
        <v>0</v>
      </c>
      <c r="AN38" s="140">
        <f t="shared" si="32"/>
        <v>0</v>
      </c>
      <c r="AO38" s="140">
        <f t="shared" si="32"/>
        <v>0</v>
      </c>
      <c r="AP38" s="140">
        <f t="shared" si="32"/>
        <v>0</v>
      </c>
      <c r="AQ38" s="140">
        <f t="shared" si="32"/>
        <v>0</v>
      </c>
      <c r="AR38" s="140">
        <f t="shared" si="32"/>
        <v>0</v>
      </c>
      <c r="AS38" s="140">
        <f t="shared" si="32"/>
        <v>0</v>
      </c>
      <c r="AT38" s="140">
        <f t="shared" si="32"/>
        <v>0</v>
      </c>
      <c r="AU38" s="140">
        <f t="shared" si="32"/>
        <v>0</v>
      </c>
      <c r="AV38" s="140">
        <f t="shared" si="32"/>
        <v>0</v>
      </c>
      <c r="AW38" s="140">
        <f t="shared" si="32"/>
        <v>0</v>
      </c>
      <c r="AX38" s="140">
        <f t="shared" si="32"/>
        <v>0</v>
      </c>
      <c r="AY38" s="140">
        <f t="shared" si="32"/>
        <v>0</v>
      </c>
      <c r="AZ38" s="140">
        <f t="shared" si="32"/>
        <v>0</v>
      </c>
      <c r="BA38" s="140">
        <f t="shared" si="32"/>
        <v>0</v>
      </c>
      <c r="BB38" s="140">
        <f t="shared" si="32"/>
        <v>0</v>
      </c>
      <c r="BC38" s="140">
        <f t="shared" si="32"/>
        <v>0</v>
      </c>
      <c r="BD38" s="140">
        <f t="shared" si="32"/>
        <v>0</v>
      </c>
      <c r="BE38" s="140">
        <f t="shared" si="32"/>
        <v>0</v>
      </c>
      <c r="BF38" s="140">
        <f t="shared" si="32"/>
        <v>0</v>
      </c>
      <c r="BG38" s="140">
        <f t="shared" si="32"/>
        <v>0</v>
      </c>
      <c r="BH38" s="140">
        <f t="shared" si="32"/>
        <v>0</v>
      </c>
      <c r="BI38" s="140">
        <f t="shared" si="32"/>
        <v>0</v>
      </c>
      <c r="BJ38" s="140">
        <f t="shared" si="32"/>
        <v>0</v>
      </c>
      <c r="BK38" s="140">
        <f t="shared" si="32"/>
        <v>0</v>
      </c>
      <c r="BL38" s="140">
        <f t="shared" si="32"/>
        <v>0</v>
      </c>
      <c r="BM38" s="140">
        <f t="shared" si="32"/>
        <v>0</v>
      </c>
      <c r="BN38" s="140">
        <f t="shared" si="32"/>
        <v>0</v>
      </c>
      <c r="BO38" s="140">
        <f t="shared" si="32"/>
        <v>0</v>
      </c>
      <c r="BP38" s="140">
        <f t="shared" si="32"/>
        <v>0</v>
      </c>
      <c r="BQ38" s="140">
        <f t="shared" si="32"/>
        <v>0</v>
      </c>
      <c r="BR38" s="140">
        <f t="shared" si="32"/>
        <v>0</v>
      </c>
      <c r="BS38" s="140">
        <f t="shared" si="32"/>
        <v>0</v>
      </c>
      <c r="BT38" s="140">
        <f t="shared" si="32"/>
        <v>0</v>
      </c>
      <c r="BU38" s="140">
        <f t="shared" si="32"/>
        <v>0</v>
      </c>
      <c r="BV38" s="140">
        <f t="shared" ref="BV38:CA38" si="33" xml:space="preserve"> IF(BV37 = $F36, 1, 0)</f>
        <v>1</v>
      </c>
      <c r="BW38" s="140">
        <f t="shared" si="33"/>
        <v>0</v>
      </c>
      <c r="BX38" s="140">
        <f t="shared" si="33"/>
        <v>0</v>
      </c>
      <c r="BY38" s="140">
        <f t="shared" si="33"/>
        <v>0</v>
      </c>
      <c r="BZ38" s="140">
        <f t="shared" si="33"/>
        <v>0</v>
      </c>
      <c r="CA38" s="140">
        <f t="shared" si="33"/>
        <v>0</v>
      </c>
    </row>
    <row r="39" spans="1:79" s="245" customFormat="1" x14ac:dyDescent="0.2">
      <c r="A39" s="81"/>
      <c r="B39" s="81"/>
      <c r="C39" s="224"/>
      <c r="D39" s="244"/>
    </row>
    <row r="41" spans="1:79" x14ac:dyDescent="0.2">
      <c r="A41" s="81" t="s">
        <v>168</v>
      </c>
    </row>
    <row r="43" spans="1:79" s="186" customFormat="1" x14ac:dyDescent="0.2">
      <c r="A43" s="181"/>
      <c r="B43" s="182"/>
      <c r="C43" s="183"/>
      <c r="D43" s="184"/>
      <c r="E43" s="186" t="str">
        <f>InpC!E$17</f>
        <v>Annual CPI inflation rate</v>
      </c>
      <c r="F43" s="186">
        <f>InpC!F$17</f>
        <v>2.5000000000000001E-2</v>
      </c>
      <c r="G43" s="186" t="str">
        <f>InpC!G$17</f>
        <v>p.a.</v>
      </c>
    </row>
    <row r="44" spans="1:79" x14ac:dyDescent="0.2">
      <c r="E44" s="87" t="s">
        <v>165</v>
      </c>
      <c r="F44" s="251">
        <f xml:space="preserve"> (1 + F43) ^ (1/2) - 1</f>
        <v>1.2422836565829209E-2</v>
      </c>
      <c r="G44" s="87" t="s">
        <v>166</v>
      </c>
    </row>
    <row r="46" spans="1:79" s="251" customFormat="1" x14ac:dyDescent="0.2">
      <c r="A46" s="252"/>
      <c r="B46" s="97"/>
      <c r="C46" s="253"/>
      <c r="D46" s="254"/>
      <c r="E46" s="251" t="str">
        <f xml:space="preserve"> E$44</f>
        <v>Period CPI inflation rate</v>
      </c>
      <c r="F46" s="251">
        <f t="shared" ref="F46:G46" si="34" xml:space="preserve"> F$44</f>
        <v>1.2422836565829209E-2</v>
      </c>
      <c r="G46" s="251" t="str">
        <f t="shared" si="34"/>
        <v>per period</v>
      </c>
    </row>
    <row r="47" spans="1:79" s="256" customFormat="1" x14ac:dyDescent="0.2">
      <c r="A47" s="226"/>
      <c r="B47" s="225"/>
      <c r="C47" s="246"/>
      <c r="D47" s="255"/>
      <c r="E47" s="256" t="str">
        <f>InpC!E$18</f>
        <v>Price and cost basis date - period ending</v>
      </c>
      <c r="F47" s="256">
        <f>InpC!F$18</f>
        <v>41820</v>
      </c>
      <c r="G47" s="256" t="str">
        <f>InpC!G$18</f>
        <v>date</v>
      </c>
    </row>
    <row r="48" spans="1:79" s="243" customFormat="1" x14ac:dyDescent="0.2">
      <c r="A48" s="236"/>
      <c r="B48" s="240"/>
      <c r="C48" s="241"/>
      <c r="D48" s="242"/>
      <c r="E48" s="243" t="str">
        <f>E$12</f>
        <v>Model period ending</v>
      </c>
      <c r="F48" s="243" t="str">
        <f t="shared" ref="F48:BQ48" si="35">F$12</f>
        <v>constant</v>
      </c>
      <c r="G48" s="243" t="str">
        <f t="shared" si="35"/>
        <v>unit</v>
      </c>
      <c r="H48" s="243" t="str">
        <f t="shared" si="35"/>
        <v>total</v>
      </c>
      <c r="I48" s="243">
        <f t="shared" si="35"/>
        <v>0</v>
      </c>
      <c r="J48" s="243">
        <f t="shared" si="35"/>
        <v>41639</v>
      </c>
      <c r="K48" s="243">
        <f t="shared" si="35"/>
        <v>41820</v>
      </c>
      <c r="L48" s="243">
        <f t="shared" si="35"/>
        <v>42004</v>
      </c>
      <c r="M48" s="243">
        <f t="shared" si="35"/>
        <v>42185</v>
      </c>
      <c r="N48" s="243">
        <f t="shared" si="35"/>
        <v>42369</v>
      </c>
      <c r="O48" s="243">
        <f t="shared" si="35"/>
        <v>42551</v>
      </c>
      <c r="P48" s="243">
        <f t="shared" si="35"/>
        <v>42735</v>
      </c>
      <c r="Q48" s="243">
        <f t="shared" si="35"/>
        <v>42916</v>
      </c>
      <c r="R48" s="243">
        <f t="shared" si="35"/>
        <v>43100</v>
      </c>
      <c r="S48" s="243">
        <f t="shared" si="35"/>
        <v>43281</v>
      </c>
      <c r="T48" s="243">
        <f t="shared" si="35"/>
        <v>43465</v>
      </c>
      <c r="U48" s="243">
        <f t="shared" si="35"/>
        <v>43646</v>
      </c>
      <c r="V48" s="243">
        <f t="shared" si="35"/>
        <v>43830</v>
      </c>
      <c r="W48" s="243">
        <f t="shared" si="35"/>
        <v>44012</v>
      </c>
      <c r="X48" s="243">
        <f t="shared" si="35"/>
        <v>44196</v>
      </c>
      <c r="Y48" s="243">
        <f t="shared" si="35"/>
        <v>44377</v>
      </c>
      <c r="Z48" s="243">
        <f t="shared" si="35"/>
        <v>44561</v>
      </c>
      <c r="AA48" s="243">
        <f t="shared" si="35"/>
        <v>44742</v>
      </c>
      <c r="AB48" s="243">
        <f t="shared" si="35"/>
        <v>44926</v>
      </c>
      <c r="AC48" s="243">
        <f t="shared" si="35"/>
        <v>45107</v>
      </c>
      <c r="AD48" s="243">
        <f t="shared" si="35"/>
        <v>45291</v>
      </c>
      <c r="AE48" s="243">
        <f t="shared" si="35"/>
        <v>45473</v>
      </c>
      <c r="AF48" s="243">
        <f t="shared" si="35"/>
        <v>45657</v>
      </c>
      <c r="AG48" s="243">
        <f t="shared" si="35"/>
        <v>45838</v>
      </c>
      <c r="AH48" s="243">
        <f t="shared" si="35"/>
        <v>46022</v>
      </c>
      <c r="AI48" s="243">
        <f t="shared" si="35"/>
        <v>46203</v>
      </c>
      <c r="AJ48" s="243">
        <f t="shared" si="35"/>
        <v>46387</v>
      </c>
      <c r="AK48" s="243">
        <f t="shared" si="35"/>
        <v>46568</v>
      </c>
      <c r="AL48" s="243">
        <f t="shared" si="35"/>
        <v>46752</v>
      </c>
      <c r="AM48" s="243">
        <f t="shared" si="35"/>
        <v>46934</v>
      </c>
      <c r="AN48" s="243">
        <f t="shared" si="35"/>
        <v>47118</v>
      </c>
      <c r="AO48" s="243">
        <f t="shared" si="35"/>
        <v>47299</v>
      </c>
      <c r="AP48" s="243">
        <f t="shared" si="35"/>
        <v>47483</v>
      </c>
      <c r="AQ48" s="243">
        <f t="shared" si="35"/>
        <v>47664</v>
      </c>
      <c r="AR48" s="243">
        <f t="shared" si="35"/>
        <v>47848</v>
      </c>
      <c r="AS48" s="243">
        <f t="shared" si="35"/>
        <v>48029</v>
      </c>
      <c r="AT48" s="243">
        <f t="shared" si="35"/>
        <v>48213</v>
      </c>
      <c r="AU48" s="243">
        <f t="shared" si="35"/>
        <v>48395</v>
      </c>
      <c r="AV48" s="243">
        <f t="shared" si="35"/>
        <v>48579</v>
      </c>
      <c r="AW48" s="243">
        <f t="shared" si="35"/>
        <v>48760</v>
      </c>
      <c r="AX48" s="243">
        <f t="shared" si="35"/>
        <v>48944</v>
      </c>
      <c r="AY48" s="243">
        <f t="shared" si="35"/>
        <v>49125</v>
      </c>
      <c r="AZ48" s="243">
        <f t="shared" si="35"/>
        <v>49309</v>
      </c>
      <c r="BA48" s="243">
        <f t="shared" si="35"/>
        <v>49490</v>
      </c>
      <c r="BB48" s="243">
        <f t="shared" si="35"/>
        <v>49674</v>
      </c>
      <c r="BC48" s="243">
        <f t="shared" si="35"/>
        <v>49856</v>
      </c>
      <c r="BD48" s="243">
        <f t="shared" si="35"/>
        <v>50040</v>
      </c>
      <c r="BE48" s="243">
        <f t="shared" si="35"/>
        <v>50221</v>
      </c>
      <c r="BF48" s="243">
        <f t="shared" si="35"/>
        <v>50405</v>
      </c>
      <c r="BG48" s="243">
        <f t="shared" si="35"/>
        <v>50586</v>
      </c>
      <c r="BH48" s="243">
        <f t="shared" si="35"/>
        <v>50770</v>
      </c>
      <c r="BI48" s="243">
        <f t="shared" si="35"/>
        <v>50951</v>
      </c>
      <c r="BJ48" s="243">
        <f t="shared" si="35"/>
        <v>51135</v>
      </c>
      <c r="BK48" s="243">
        <f t="shared" si="35"/>
        <v>51317</v>
      </c>
      <c r="BL48" s="243">
        <f t="shared" si="35"/>
        <v>51501</v>
      </c>
      <c r="BM48" s="243">
        <f t="shared" si="35"/>
        <v>51682</v>
      </c>
      <c r="BN48" s="243">
        <f t="shared" si="35"/>
        <v>51866</v>
      </c>
      <c r="BO48" s="243">
        <f t="shared" si="35"/>
        <v>52047</v>
      </c>
      <c r="BP48" s="243">
        <f t="shared" si="35"/>
        <v>52231</v>
      </c>
      <c r="BQ48" s="243">
        <f t="shared" si="35"/>
        <v>52412</v>
      </c>
      <c r="BR48" s="243">
        <f t="shared" ref="BR48:CA48" si="36">BR$12</f>
        <v>52596</v>
      </c>
      <c r="BS48" s="243">
        <f t="shared" si="36"/>
        <v>52778</v>
      </c>
      <c r="BT48" s="243">
        <f t="shared" si="36"/>
        <v>52962</v>
      </c>
      <c r="BU48" s="243">
        <f t="shared" si="36"/>
        <v>53143</v>
      </c>
      <c r="BV48" s="243">
        <f t="shared" si="36"/>
        <v>53327</v>
      </c>
      <c r="BW48" s="243">
        <f t="shared" si="36"/>
        <v>53508</v>
      </c>
      <c r="BX48" s="243">
        <f t="shared" si="36"/>
        <v>53692</v>
      </c>
      <c r="BY48" s="243">
        <f t="shared" si="36"/>
        <v>53873</v>
      </c>
      <c r="BZ48" s="243">
        <f t="shared" si="36"/>
        <v>54057</v>
      </c>
      <c r="CA48" s="243">
        <f t="shared" si="36"/>
        <v>54239</v>
      </c>
    </row>
    <row r="49" spans="1:79" s="260" customFormat="1" x14ac:dyDescent="0.2">
      <c r="A49" s="257"/>
      <c r="B49" s="257"/>
      <c r="C49" s="258"/>
      <c r="D49" s="259"/>
      <c r="E49" s="260" t="s">
        <v>167</v>
      </c>
      <c r="G49" s="260" t="s">
        <v>83</v>
      </c>
      <c r="I49" s="261"/>
      <c r="J49" s="260">
        <f xml:space="preserve"> IF(J48 = $F47, 1, I49 * (1 + $F46))</f>
        <v>0</v>
      </c>
      <c r="K49" s="260">
        <f t="shared" ref="K49:BV49" si="37" xml:space="preserve"> IF(K48 = $F47, 1, J49 * (1 + $F46))</f>
        <v>1</v>
      </c>
      <c r="L49" s="260">
        <f t="shared" si="37"/>
        <v>1.0124228365658292</v>
      </c>
      <c r="M49" s="260">
        <f t="shared" si="37"/>
        <v>1.0249999999999997</v>
      </c>
      <c r="N49" s="260">
        <f t="shared" si="37"/>
        <v>1.0377334074799747</v>
      </c>
      <c r="O49" s="260">
        <f t="shared" si="37"/>
        <v>1.0506249999999995</v>
      </c>
      <c r="P49" s="260">
        <f t="shared" si="37"/>
        <v>1.0636767426669738</v>
      </c>
      <c r="Q49" s="260">
        <f t="shared" si="37"/>
        <v>1.0768906249999992</v>
      </c>
      <c r="R49" s="260">
        <f t="shared" si="37"/>
        <v>1.0902686612336479</v>
      </c>
      <c r="S49" s="260">
        <f t="shared" si="37"/>
        <v>1.1038128906249989</v>
      </c>
      <c r="T49" s="260">
        <f t="shared" si="37"/>
        <v>1.1175253777644887</v>
      </c>
      <c r="U49" s="260">
        <f t="shared" si="37"/>
        <v>1.1314082128906235</v>
      </c>
      <c r="V49" s="260">
        <f t="shared" si="37"/>
        <v>1.1454635122086008</v>
      </c>
      <c r="W49" s="260">
        <f t="shared" si="37"/>
        <v>1.1596934182128888</v>
      </c>
      <c r="X49" s="260">
        <f t="shared" si="37"/>
        <v>1.1741001000138154</v>
      </c>
      <c r="Y49" s="260">
        <f t="shared" si="37"/>
        <v>1.1886857536682107</v>
      </c>
      <c r="Z49" s="260">
        <f t="shared" si="37"/>
        <v>1.2034526025141605</v>
      </c>
      <c r="AA49" s="260">
        <f t="shared" si="37"/>
        <v>1.2184028975099157</v>
      </c>
      <c r="AB49" s="260">
        <f t="shared" si="37"/>
        <v>1.2335389175770142</v>
      </c>
      <c r="AC49" s="260">
        <f t="shared" si="37"/>
        <v>1.2488629699476632</v>
      </c>
      <c r="AD49" s="260">
        <f t="shared" si="37"/>
        <v>1.264377390516439</v>
      </c>
      <c r="AE49" s="260">
        <f t="shared" si="37"/>
        <v>1.2800845441963544</v>
      </c>
      <c r="AF49" s="260">
        <f t="shared" si="37"/>
        <v>1.2959868252793496</v>
      </c>
      <c r="AG49" s="260">
        <f t="shared" si="37"/>
        <v>1.3120866578012629</v>
      </c>
      <c r="AH49" s="260">
        <f t="shared" si="37"/>
        <v>1.328386495911333</v>
      </c>
      <c r="AI49" s="260">
        <f t="shared" si="37"/>
        <v>1.344888824246294</v>
      </c>
      <c r="AJ49" s="260">
        <f t="shared" si="37"/>
        <v>1.3615961583091158</v>
      </c>
      <c r="AK49" s="260">
        <f t="shared" si="37"/>
        <v>1.3785110448524509</v>
      </c>
      <c r="AL49" s="260">
        <f t="shared" si="37"/>
        <v>1.3956360622668433</v>
      </c>
      <c r="AM49" s="260">
        <f t="shared" si="37"/>
        <v>1.4129738209737617</v>
      </c>
      <c r="AN49" s="260">
        <f t="shared" si="37"/>
        <v>1.4305269638235139</v>
      </c>
      <c r="AO49" s="260">
        <f t="shared" si="37"/>
        <v>1.4482981664981052</v>
      </c>
      <c r="AP49" s="260">
        <f t="shared" si="37"/>
        <v>1.4662901379191011</v>
      </c>
      <c r="AQ49" s="260">
        <f t="shared" si="37"/>
        <v>1.4845056206605574</v>
      </c>
      <c r="AR49" s="260">
        <f t="shared" si="37"/>
        <v>1.5029473913670783</v>
      </c>
      <c r="AS49" s="260">
        <f t="shared" si="37"/>
        <v>1.521618261177071</v>
      </c>
      <c r="AT49" s="260">
        <f t="shared" si="37"/>
        <v>1.5405210761512549</v>
      </c>
      <c r="AU49" s="260">
        <f t="shared" si="37"/>
        <v>1.5596587177064973</v>
      </c>
      <c r="AV49" s="260">
        <f t="shared" si="37"/>
        <v>1.5790341030550359</v>
      </c>
      <c r="AW49" s="260">
        <f t="shared" si="37"/>
        <v>1.5986501856491593</v>
      </c>
      <c r="AX49" s="260">
        <f t="shared" si="37"/>
        <v>1.6185099556314113</v>
      </c>
      <c r="AY49" s="260">
        <f t="shared" si="37"/>
        <v>1.6386164402903878</v>
      </c>
      <c r="AZ49" s="260">
        <f t="shared" si="37"/>
        <v>1.658972704522196</v>
      </c>
      <c r="BA49" s="260">
        <f t="shared" si="37"/>
        <v>1.679581851297647</v>
      </c>
      <c r="BB49" s="260">
        <f t="shared" si="37"/>
        <v>1.7004470221352506</v>
      </c>
      <c r="BC49" s="260">
        <f t="shared" si="37"/>
        <v>1.7215713975800877</v>
      </c>
      <c r="BD49" s="260">
        <f t="shared" si="37"/>
        <v>1.7429581976886312</v>
      </c>
      <c r="BE49" s="260">
        <f t="shared" si="37"/>
        <v>1.7646106825195893</v>
      </c>
      <c r="BF49" s="260">
        <f t="shared" si="37"/>
        <v>1.7865321526308464</v>
      </c>
      <c r="BG49" s="260">
        <f t="shared" si="37"/>
        <v>1.8087259495825785</v>
      </c>
      <c r="BH49" s="260">
        <f t="shared" si="37"/>
        <v>1.8311954564466171</v>
      </c>
      <c r="BI49" s="260">
        <f t="shared" si="37"/>
        <v>1.8539440983221425</v>
      </c>
      <c r="BJ49" s="260">
        <f t="shared" si="37"/>
        <v>1.876975342857782</v>
      </c>
      <c r="BK49" s="260">
        <f t="shared" si="37"/>
        <v>1.9002927007801955</v>
      </c>
      <c r="BL49" s="260">
        <f t="shared" si="37"/>
        <v>1.9238997264292261</v>
      </c>
      <c r="BM49" s="260">
        <f t="shared" si="37"/>
        <v>1.9478000182997</v>
      </c>
      <c r="BN49" s="260">
        <f t="shared" si="37"/>
        <v>1.9719972195899562</v>
      </c>
      <c r="BO49" s="260">
        <f t="shared" si="37"/>
        <v>1.9964950187571919</v>
      </c>
      <c r="BP49" s="260">
        <f t="shared" si="37"/>
        <v>2.0212971500797048</v>
      </c>
      <c r="BQ49" s="260">
        <f t="shared" si="37"/>
        <v>2.0464073942261214</v>
      </c>
      <c r="BR49" s="260">
        <f t="shared" si="37"/>
        <v>2.0718295788316969</v>
      </c>
      <c r="BS49" s="260">
        <f t="shared" si="37"/>
        <v>2.0975675790817738</v>
      </c>
      <c r="BT49" s="260">
        <f t="shared" si="37"/>
        <v>2.1236253183024889</v>
      </c>
      <c r="BU49" s="260">
        <f t="shared" si="37"/>
        <v>2.1500067685588178</v>
      </c>
      <c r="BV49" s="260">
        <f t="shared" si="37"/>
        <v>2.1767159512600505</v>
      </c>
      <c r="BW49" s="260">
        <f t="shared" ref="BW49:CA49" si="38" xml:space="preserve"> IF(BW48 = $F47, 1, BV49 * (1 + $F46))</f>
        <v>2.2037569377727877</v>
      </c>
      <c r="BX49" s="260">
        <f t="shared" si="38"/>
        <v>2.2311338500415512</v>
      </c>
      <c r="BY49" s="260">
        <f t="shared" si="38"/>
        <v>2.2588508612171068</v>
      </c>
      <c r="BZ49" s="260">
        <f t="shared" si="38"/>
        <v>2.2869121962925893</v>
      </c>
      <c r="CA49" s="260">
        <f t="shared" si="38"/>
        <v>2.3153221327475335</v>
      </c>
    </row>
  </sheetData>
  <phoneticPr fontId="2" type="noConversion"/>
  <printOptions heading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&amp;L&amp;"Arial,Bold"&amp;14Financial Mechanics Training Model&amp;C&amp;"Arial,Bold"&amp;14Sheet: &amp;A&amp;R&amp;"Arial,Bold"&amp;14STRICTLY NOT CONFIDENTIAL</oddHeader>
    <oddFooter>&amp;L&amp;12&amp;F (Printed on &amp;D at &amp;T) &amp;C&amp;12Page &amp;P of &amp;N&amp;R&amp;12© 2008 Financial Mechanics Ltd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 summaryRight="0"/>
  </sheetPr>
  <dimension ref="A1:CO114"/>
  <sheetViews>
    <sheetView defaultGridColor="0" colorId="22" zoomScaleNormal="100" workbookViewId="0">
      <pane xSplit="6" ySplit="4" topLeftCell="G5" activePane="bottomRight" state="frozen"/>
      <selection activeCell="G5" sqref="G5"/>
      <selection pane="topRight" activeCell="G5" sqref="G5"/>
      <selection pane="bottomLeft" activeCell="G5" sqref="G5"/>
      <selection pane="bottomRight" activeCell="O19" sqref="O19"/>
    </sheetView>
  </sheetViews>
  <sheetFormatPr defaultColWidth="0" defaultRowHeight="12.75" x14ac:dyDescent="0.2"/>
  <cols>
    <col min="1" max="1" width="1.28515625" style="81" customWidth="1"/>
    <col min="2" max="2" width="1.28515625" style="82" customWidth="1"/>
    <col min="3" max="3" width="1.28515625" style="151" customWidth="1"/>
    <col min="4" max="4" width="1.28515625" style="86" customWidth="1"/>
    <col min="5" max="5" width="40.7109375" style="87" customWidth="1"/>
    <col min="6" max="6" width="12.7109375" style="87" customWidth="1"/>
    <col min="7" max="8" width="11.7109375" style="87" customWidth="1"/>
    <col min="9" max="9" width="2.7109375" style="87" customWidth="1"/>
    <col min="10" max="79" width="11.7109375" style="87" customWidth="1"/>
    <col min="80" max="16384" width="0" style="87" hidden="1"/>
  </cols>
  <sheetData>
    <row r="1" spans="1:83" s="142" customFormat="1" x14ac:dyDescent="0.2">
      <c r="A1" s="69" t="str">
        <f ca="1" xml:space="preserve"> RIGHT(CELL("filename", A1), LEN(CELL("filename", A1)) - SEARCH("]", CELL("filename", A1)))</f>
        <v>Rev</v>
      </c>
      <c r="B1" s="69"/>
      <c r="C1" s="208"/>
      <c r="D1" s="141"/>
      <c r="F1" s="73"/>
      <c r="G1" s="73"/>
      <c r="H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</row>
    <row r="2" spans="1:83" s="74" customFormat="1" x14ac:dyDescent="0.2">
      <c r="A2" s="75"/>
      <c r="B2" s="75"/>
      <c r="C2" s="76"/>
      <c r="D2" s="77"/>
      <c r="E2" s="74" t="str">
        <f>'T&amp;E'!E$24</f>
        <v>Operating period flag</v>
      </c>
      <c r="F2" s="74">
        <f>'T&amp;E'!F$24</f>
        <v>0</v>
      </c>
      <c r="G2" s="74" t="str">
        <f>'T&amp;E'!G$24</f>
        <v>flag</v>
      </c>
      <c r="H2" s="74">
        <f>'T&amp;E'!H$24</f>
        <v>60</v>
      </c>
      <c r="I2" s="74">
        <f>'T&amp;E'!I$24</f>
        <v>0</v>
      </c>
      <c r="J2" s="74">
        <f>'T&amp;E'!J$24</f>
        <v>0</v>
      </c>
      <c r="K2" s="74">
        <f>'T&amp;E'!K$24</f>
        <v>0</v>
      </c>
      <c r="L2" s="74">
        <f>'T&amp;E'!L$24</f>
        <v>0</v>
      </c>
      <c r="M2" s="74">
        <f>'T&amp;E'!M$24</f>
        <v>0</v>
      </c>
      <c r="N2" s="74">
        <f>'T&amp;E'!N$24</f>
        <v>0</v>
      </c>
      <c r="O2" s="74">
        <f>'T&amp;E'!O$24</f>
        <v>1</v>
      </c>
      <c r="P2" s="74">
        <f>'T&amp;E'!P$24</f>
        <v>1</v>
      </c>
      <c r="Q2" s="74">
        <f>'T&amp;E'!Q$24</f>
        <v>1</v>
      </c>
      <c r="R2" s="74">
        <f>'T&amp;E'!R$24</f>
        <v>1</v>
      </c>
      <c r="S2" s="74">
        <f>'T&amp;E'!S$24</f>
        <v>1</v>
      </c>
      <c r="T2" s="74">
        <f>'T&amp;E'!T$24</f>
        <v>1</v>
      </c>
      <c r="U2" s="74">
        <f>'T&amp;E'!U$24</f>
        <v>1</v>
      </c>
      <c r="V2" s="74">
        <f>'T&amp;E'!V$24</f>
        <v>1</v>
      </c>
      <c r="W2" s="74">
        <f>'T&amp;E'!W$24</f>
        <v>1</v>
      </c>
      <c r="X2" s="74">
        <f>'T&amp;E'!X$24</f>
        <v>1</v>
      </c>
      <c r="Y2" s="74">
        <f>'T&amp;E'!Y$24</f>
        <v>1</v>
      </c>
      <c r="Z2" s="74">
        <f>'T&amp;E'!Z$24</f>
        <v>1</v>
      </c>
      <c r="AA2" s="74">
        <f>'T&amp;E'!AA$24</f>
        <v>1</v>
      </c>
      <c r="AB2" s="74">
        <f>'T&amp;E'!AB$24</f>
        <v>1</v>
      </c>
      <c r="AC2" s="74">
        <f>'T&amp;E'!AC$24</f>
        <v>1</v>
      </c>
      <c r="AD2" s="74">
        <f>'T&amp;E'!AD$24</f>
        <v>1</v>
      </c>
      <c r="AE2" s="74">
        <f>'T&amp;E'!AE$24</f>
        <v>1</v>
      </c>
      <c r="AF2" s="74">
        <f>'T&amp;E'!AF$24</f>
        <v>1</v>
      </c>
      <c r="AG2" s="74">
        <f>'T&amp;E'!AG$24</f>
        <v>1</v>
      </c>
      <c r="AH2" s="74">
        <f>'T&amp;E'!AH$24</f>
        <v>1</v>
      </c>
      <c r="AI2" s="74">
        <f>'T&amp;E'!AI$24</f>
        <v>1</v>
      </c>
      <c r="AJ2" s="74">
        <f>'T&amp;E'!AJ$24</f>
        <v>1</v>
      </c>
      <c r="AK2" s="74">
        <f>'T&amp;E'!AK$24</f>
        <v>1</v>
      </c>
      <c r="AL2" s="74">
        <f>'T&amp;E'!AL$24</f>
        <v>1</v>
      </c>
      <c r="AM2" s="74">
        <f>'T&amp;E'!AM$24</f>
        <v>1</v>
      </c>
      <c r="AN2" s="74">
        <f>'T&amp;E'!AN$24</f>
        <v>1</v>
      </c>
      <c r="AO2" s="74">
        <f>'T&amp;E'!AO$24</f>
        <v>1</v>
      </c>
      <c r="AP2" s="74">
        <f>'T&amp;E'!AP$24</f>
        <v>1</v>
      </c>
      <c r="AQ2" s="74">
        <f>'T&amp;E'!AQ$24</f>
        <v>1</v>
      </c>
      <c r="AR2" s="74">
        <f>'T&amp;E'!AR$24</f>
        <v>1</v>
      </c>
      <c r="AS2" s="74">
        <f>'T&amp;E'!AS$24</f>
        <v>1</v>
      </c>
      <c r="AT2" s="74">
        <f>'T&amp;E'!AT$24</f>
        <v>1</v>
      </c>
      <c r="AU2" s="74">
        <f>'T&amp;E'!AU$24</f>
        <v>1</v>
      </c>
      <c r="AV2" s="74">
        <f>'T&amp;E'!AV$24</f>
        <v>1</v>
      </c>
      <c r="AW2" s="74">
        <f>'T&amp;E'!AW$24</f>
        <v>1</v>
      </c>
      <c r="AX2" s="74">
        <f>'T&amp;E'!AX$24</f>
        <v>1</v>
      </c>
      <c r="AY2" s="74">
        <f>'T&amp;E'!AY$24</f>
        <v>1</v>
      </c>
      <c r="AZ2" s="74">
        <f>'T&amp;E'!AZ$24</f>
        <v>1</v>
      </c>
      <c r="BA2" s="74">
        <f>'T&amp;E'!BA$24</f>
        <v>1</v>
      </c>
      <c r="BB2" s="74">
        <f>'T&amp;E'!BB$24</f>
        <v>1</v>
      </c>
      <c r="BC2" s="74">
        <f>'T&amp;E'!BC$24</f>
        <v>1</v>
      </c>
      <c r="BD2" s="74">
        <f>'T&amp;E'!BD$24</f>
        <v>1</v>
      </c>
      <c r="BE2" s="74">
        <f>'T&amp;E'!BE$24</f>
        <v>1</v>
      </c>
      <c r="BF2" s="74">
        <f>'T&amp;E'!BF$24</f>
        <v>1</v>
      </c>
      <c r="BG2" s="74">
        <f>'T&amp;E'!BG$24</f>
        <v>1</v>
      </c>
      <c r="BH2" s="74">
        <f>'T&amp;E'!BH$24</f>
        <v>1</v>
      </c>
      <c r="BI2" s="74">
        <f>'T&amp;E'!BI$24</f>
        <v>1</v>
      </c>
      <c r="BJ2" s="74">
        <f>'T&amp;E'!BJ$24</f>
        <v>1</v>
      </c>
      <c r="BK2" s="74">
        <f>'T&amp;E'!BK$24</f>
        <v>1</v>
      </c>
      <c r="BL2" s="74">
        <f>'T&amp;E'!BL$24</f>
        <v>1</v>
      </c>
      <c r="BM2" s="74">
        <f>'T&amp;E'!BM$24</f>
        <v>1</v>
      </c>
      <c r="BN2" s="74">
        <f>'T&amp;E'!BN$24</f>
        <v>1</v>
      </c>
      <c r="BO2" s="74">
        <f>'T&amp;E'!BO$24</f>
        <v>1</v>
      </c>
      <c r="BP2" s="74">
        <f>'T&amp;E'!BP$24</f>
        <v>1</v>
      </c>
      <c r="BQ2" s="74">
        <f>'T&amp;E'!BQ$24</f>
        <v>1</v>
      </c>
      <c r="BR2" s="74">
        <f>'T&amp;E'!BR$24</f>
        <v>1</v>
      </c>
      <c r="BS2" s="74">
        <f>'T&amp;E'!BS$24</f>
        <v>1</v>
      </c>
      <c r="BT2" s="74">
        <f>'T&amp;E'!BT$24</f>
        <v>1</v>
      </c>
      <c r="BU2" s="74">
        <f>'T&amp;E'!BU$24</f>
        <v>1</v>
      </c>
      <c r="BV2" s="74">
        <f>'T&amp;E'!BV$24</f>
        <v>1</v>
      </c>
      <c r="BW2" s="74">
        <f>'T&amp;E'!BW$24</f>
        <v>0</v>
      </c>
      <c r="BX2" s="74">
        <f>'T&amp;E'!BX$24</f>
        <v>0</v>
      </c>
      <c r="BY2" s="74">
        <f>'T&amp;E'!BY$24</f>
        <v>0</v>
      </c>
      <c r="BZ2" s="74">
        <f>'T&amp;E'!BZ$24</f>
        <v>0</v>
      </c>
      <c r="CA2" s="74">
        <f>'T&amp;E'!CA$24</f>
        <v>0</v>
      </c>
    </row>
    <row r="3" spans="1:83" s="74" customFormat="1" x14ac:dyDescent="0.2">
      <c r="A3" s="75"/>
      <c r="B3" s="75"/>
      <c r="C3" s="76"/>
      <c r="D3" s="77"/>
      <c r="E3" s="74" t="str">
        <f>'T&amp;E'!E$8</f>
        <v>Model column counter</v>
      </c>
      <c r="F3" s="74">
        <f>'T&amp;E'!F$8</f>
        <v>0</v>
      </c>
      <c r="G3" s="74">
        <f>'T&amp;E'!G$8</f>
        <v>0</v>
      </c>
      <c r="H3" s="74">
        <f>'T&amp;E'!H$8</f>
        <v>0</v>
      </c>
      <c r="I3" s="74">
        <f>'T&amp;E'!I$8</f>
        <v>0</v>
      </c>
      <c r="J3" s="74">
        <f>'T&amp;E'!J$8</f>
        <v>1</v>
      </c>
      <c r="K3" s="74">
        <f>'T&amp;E'!K$8</f>
        <v>2</v>
      </c>
      <c r="L3" s="74">
        <f>'T&amp;E'!L$8</f>
        <v>3</v>
      </c>
      <c r="M3" s="74">
        <f>'T&amp;E'!M$8</f>
        <v>4</v>
      </c>
      <c r="N3" s="74">
        <f>'T&amp;E'!N$8</f>
        <v>5</v>
      </c>
      <c r="O3" s="74">
        <f>'T&amp;E'!O$8</f>
        <v>6</v>
      </c>
      <c r="P3" s="74">
        <f>'T&amp;E'!P$8</f>
        <v>7</v>
      </c>
      <c r="Q3" s="74">
        <f>'T&amp;E'!Q$8</f>
        <v>8</v>
      </c>
      <c r="R3" s="74">
        <f>'T&amp;E'!R$8</f>
        <v>9</v>
      </c>
      <c r="S3" s="74">
        <f>'T&amp;E'!S$8</f>
        <v>10</v>
      </c>
      <c r="T3" s="74">
        <f>'T&amp;E'!T$8</f>
        <v>11</v>
      </c>
      <c r="U3" s="74">
        <f>'T&amp;E'!U$8</f>
        <v>12</v>
      </c>
      <c r="V3" s="74">
        <f>'T&amp;E'!V$8</f>
        <v>13</v>
      </c>
      <c r="W3" s="74">
        <f>'T&amp;E'!W$8</f>
        <v>14</v>
      </c>
      <c r="X3" s="74">
        <f>'T&amp;E'!X$8</f>
        <v>15</v>
      </c>
      <c r="Y3" s="74">
        <f>'T&amp;E'!Y$8</f>
        <v>16</v>
      </c>
      <c r="Z3" s="74">
        <f>'T&amp;E'!Z$8</f>
        <v>17</v>
      </c>
      <c r="AA3" s="74">
        <f>'T&amp;E'!AA$8</f>
        <v>18</v>
      </c>
      <c r="AB3" s="74">
        <f>'T&amp;E'!AB$8</f>
        <v>19</v>
      </c>
      <c r="AC3" s="74">
        <f>'T&amp;E'!AC$8</f>
        <v>20</v>
      </c>
      <c r="AD3" s="74">
        <f>'T&amp;E'!AD$8</f>
        <v>21</v>
      </c>
      <c r="AE3" s="74">
        <f>'T&amp;E'!AE$8</f>
        <v>22</v>
      </c>
      <c r="AF3" s="74">
        <f>'T&amp;E'!AF$8</f>
        <v>23</v>
      </c>
      <c r="AG3" s="74">
        <f>'T&amp;E'!AG$8</f>
        <v>24</v>
      </c>
      <c r="AH3" s="74">
        <f>'T&amp;E'!AH$8</f>
        <v>25</v>
      </c>
      <c r="AI3" s="74">
        <f>'T&amp;E'!AI$8</f>
        <v>26</v>
      </c>
      <c r="AJ3" s="74">
        <f>'T&amp;E'!AJ$8</f>
        <v>27</v>
      </c>
      <c r="AK3" s="74">
        <f>'T&amp;E'!AK$8</f>
        <v>28</v>
      </c>
      <c r="AL3" s="74">
        <f>'T&amp;E'!AL$8</f>
        <v>29</v>
      </c>
      <c r="AM3" s="74">
        <f>'T&amp;E'!AM$8</f>
        <v>30</v>
      </c>
      <c r="AN3" s="74">
        <f>'T&amp;E'!AN$8</f>
        <v>31</v>
      </c>
      <c r="AO3" s="74">
        <f>'T&amp;E'!AO$8</f>
        <v>32</v>
      </c>
      <c r="AP3" s="74">
        <f>'T&amp;E'!AP$8</f>
        <v>33</v>
      </c>
      <c r="AQ3" s="74">
        <f>'T&amp;E'!AQ$8</f>
        <v>34</v>
      </c>
      <c r="AR3" s="74">
        <f>'T&amp;E'!AR$8</f>
        <v>35</v>
      </c>
      <c r="AS3" s="74">
        <f>'T&amp;E'!AS$8</f>
        <v>36</v>
      </c>
      <c r="AT3" s="74">
        <f>'T&amp;E'!AT$8</f>
        <v>37</v>
      </c>
      <c r="AU3" s="74">
        <f>'T&amp;E'!AU$8</f>
        <v>38</v>
      </c>
      <c r="AV3" s="74">
        <f>'T&amp;E'!AV$8</f>
        <v>39</v>
      </c>
      <c r="AW3" s="74">
        <f>'T&amp;E'!AW$8</f>
        <v>40</v>
      </c>
      <c r="AX3" s="74">
        <f>'T&amp;E'!AX$8</f>
        <v>41</v>
      </c>
      <c r="AY3" s="74">
        <f>'T&amp;E'!AY$8</f>
        <v>42</v>
      </c>
      <c r="AZ3" s="74">
        <f>'T&amp;E'!AZ$8</f>
        <v>43</v>
      </c>
      <c r="BA3" s="74">
        <f>'T&amp;E'!BA$8</f>
        <v>44</v>
      </c>
      <c r="BB3" s="74">
        <f>'T&amp;E'!BB$8</f>
        <v>45</v>
      </c>
      <c r="BC3" s="74">
        <f>'T&amp;E'!BC$8</f>
        <v>46</v>
      </c>
      <c r="BD3" s="74">
        <f>'T&amp;E'!BD$8</f>
        <v>47</v>
      </c>
      <c r="BE3" s="74">
        <f>'T&amp;E'!BE$8</f>
        <v>48</v>
      </c>
      <c r="BF3" s="74">
        <f>'T&amp;E'!BF$8</f>
        <v>49</v>
      </c>
      <c r="BG3" s="74">
        <f>'T&amp;E'!BG$8</f>
        <v>50</v>
      </c>
      <c r="BH3" s="74">
        <f>'T&amp;E'!BH$8</f>
        <v>51</v>
      </c>
      <c r="BI3" s="74">
        <f>'T&amp;E'!BI$8</f>
        <v>52</v>
      </c>
      <c r="BJ3" s="74">
        <f>'T&amp;E'!BJ$8</f>
        <v>53</v>
      </c>
      <c r="BK3" s="74">
        <f>'T&amp;E'!BK$8</f>
        <v>54</v>
      </c>
      <c r="BL3" s="74">
        <f>'T&amp;E'!BL$8</f>
        <v>55</v>
      </c>
      <c r="BM3" s="74">
        <f>'T&amp;E'!BM$8</f>
        <v>56</v>
      </c>
      <c r="BN3" s="74">
        <f>'T&amp;E'!BN$8</f>
        <v>57</v>
      </c>
      <c r="BO3" s="74">
        <f>'T&amp;E'!BO$8</f>
        <v>58</v>
      </c>
      <c r="BP3" s="74">
        <f>'T&amp;E'!BP$8</f>
        <v>59</v>
      </c>
      <c r="BQ3" s="74">
        <f>'T&amp;E'!BQ$8</f>
        <v>60</v>
      </c>
      <c r="BR3" s="74">
        <f>'T&amp;E'!BR$8</f>
        <v>61</v>
      </c>
      <c r="BS3" s="74">
        <f>'T&amp;E'!BS$8</f>
        <v>62</v>
      </c>
      <c r="BT3" s="74">
        <f>'T&amp;E'!BT$8</f>
        <v>63</v>
      </c>
      <c r="BU3" s="74">
        <f>'T&amp;E'!BU$8</f>
        <v>64</v>
      </c>
      <c r="BV3" s="74">
        <f>'T&amp;E'!BV$8</f>
        <v>65</v>
      </c>
      <c r="BW3" s="74">
        <f>'T&amp;E'!BW$8</f>
        <v>66</v>
      </c>
      <c r="BX3" s="74">
        <f>'T&amp;E'!BX$8</f>
        <v>67</v>
      </c>
      <c r="BY3" s="74">
        <f>'T&amp;E'!BY$8</f>
        <v>68</v>
      </c>
      <c r="BZ3" s="74">
        <f>'T&amp;E'!BZ$8</f>
        <v>69</v>
      </c>
      <c r="CA3" s="74">
        <f>'T&amp;E'!CA$8</f>
        <v>70</v>
      </c>
    </row>
    <row r="4" spans="1:83" s="78" customFormat="1" x14ac:dyDescent="0.2">
      <c r="C4" s="79"/>
      <c r="D4" s="80"/>
      <c r="E4" s="78" t="str">
        <f>'T&amp;E'!E$12</f>
        <v>Model period ending</v>
      </c>
      <c r="F4" s="80" t="str">
        <f>'T&amp;E'!F$12</f>
        <v>constant</v>
      </c>
      <c r="G4" s="78" t="str">
        <f>'T&amp;E'!G$12</f>
        <v>unit</v>
      </c>
      <c r="H4" s="80" t="str">
        <f>'T&amp;E'!H$12</f>
        <v>total</v>
      </c>
      <c r="I4" s="78">
        <f>'T&amp;E'!I$12</f>
        <v>0</v>
      </c>
      <c r="J4" s="78">
        <f>'T&amp;E'!J$12</f>
        <v>41639</v>
      </c>
      <c r="K4" s="78">
        <f>'T&amp;E'!K$12</f>
        <v>41820</v>
      </c>
      <c r="L4" s="78">
        <f>'T&amp;E'!L$12</f>
        <v>42004</v>
      </c>
      <c r="M4" s="78">
        <f>'T&amp;E'!M$12</f>
        <v>42185</v>
      </c>
      <c r="N4" s="78">
        <f>'T&amp;E'!N$12</f>
        <v>42369</v>
      </c>
      <c r="O4" s="78">
        <f>'T&amp;E'!O$12</f>
        <v>42551</v>
      </c>
      <c r="P4" s="78">
        <f>'T&amp;E'!P$12</f>
        <v>42735</v>
      </c>
      <c r="Q4" s="78">
        <f>'T&amp;E'!Q$12</f>
        <v>42916</v>
      </c>
      <c r="R4" s="78">
        <f>'T&amp;E'!R$12</f>
        <v>43100</v>
      </c>
      <c r="S4" s="78">
        <f>'T&amp;E'!S$12</f>
        <v>43281</v>
      </c>
      <c r="T4" s="78">
        <f>'T&amp;E'!T$12</f>
        <v>43465</v>
      </c>
      <c r="U4" s="78">
        <f>'T&amp;E'!U$12</f>
        <v>43646</v>
      </c>
      <c r="V4" s="78">
        <f>'T&amp;E'!V$12</f>
        <v>43830</v>
      </c>
      <c r="W4" s="78">
        <f>'T&amp;E'!W$12</f>
        <v>44012</v>
      </c>
      <c r="X4" s="78">
        <f>'T&amp;E'!X$12</f>
        <v>44196</v>
      </c>
      <c r="Y4" s="78">
        <f>'T&amp;E'!Y$12</f>
        <v>44377</v>
      </c>
      <c r="Z4" s="78">
        <f>'T&amp;E'!Z$12</f>
        <v>44561</v>
      </c>
      <c r="AA4" s="78">
        <f>'T&amp;E'!AA$12</f>
        <v>44742</v>
      </c>
      <c r="AB4" s="78">
        <f>'T&amp;E'!AB$12</f>
        <v>44926</v>
      </c>
      <c r="AC4" s="78">
        <f>'T&amp;E'!AC$12</f>
        <v>45107</v>
      </c>
      <c r="AD4" s="78">
        <f>'T&amp;E'!AD$12</f>
        <v>45291</v>
      </c>
      <c r="AE4" s="78">
        <f>'T&amp;E'!AE$12</f>
        <v>45473</v>
      </c>
      <c r="AF4" s="78">
        <f>'T&amp;E'!AF$12</f>
        <v>45657</v>
      </c>
      <c r="AG4" s="78">
        <f>'T&amp;E'!AG$12</f>
        <v>45838</v>
      </c>
      <c r="AH4" s="78">
        <f>'T&amp;E'!AH$12</f>
        <v>46022</v>
      </c>
      <c r="AI4" s="78">
        <f>'T&amp;E'!AI$12</f>
        <v>46203</v>
      </c>
      <c r="AJ4" s="78">
        <f>'T&amp;E'!AJ$12</f>
        <v>46387</v>
      </c>
      <c r="AK4" s="78">
        <f>'T&amp;E'!AK$12</f>
        <v>46568</v>
      </c>
      <c r="AL4" s="78">
        <f>'T&amp;E'!AL$12</f>
        <v>46752</v>
      </c>
      <c r="AM4" s="78">
        <f>'T&amp;E'!AM$12</f>
        <v>46934</v>
      </c>
      <c r="AN4" s="78">
        <f>'T&amp;E'!AN$12</f>
        <v>47118</v>
      </c>
      <c r="AO4" s="78">
        <f>'T&amp;E'!AO$12</f>
        <v>47299</v>
      </c>
      <c r="AP4" s="78">
        <f>'T&amp;E'!AP$12</f>
        <v>47483</v>
      </c>
      <c r="AQ4" s="78">
        <f>'T&amp;E'!AQ$12</f>
        <v>47664</v>
      </c>
      <c r="AR4" s="78">
        <f>'T&amp;E'!AR$12</f>
        <v>47848</v>
      </c>
      <c r="AS4" s="78">
        <f>'T&amp;E'!AS$12</f>
        <v>48029</v>
      </c>
      <c r="AT4" s="78">
        <f>'T&amp;E'!AT$12</f>
        <v>48213</v>
      </c>
      <c r="AU4" s="78">
        <f>'T&amp;E'!AU$12</f>
        <v>48395</v>
      </c>
      <c r="AV4" s="78">
        <f>'T&amp;E'!AV$12</f>
        <v>48579</v>
      </c>
      <c r="AW4" s="78">
        <f>'T&amp;E'!AW$12</f>
        <v>48760</v>
      </c>
      <c r="AX4" s="78">
        <f>'T&amp;E'!AX$12</f>
        <v>48944</v>
      </c>
      <c r="AY4" s="78">
        <f>'T&amp;E'!AY$12</f>
        <v>49125</v>
      </c>
      <c r="AZ4" s="78">
        <f>'T&amp;E'!AZ$12</f>
        <v>49309</v>
      </c>
      <c r="BA4" s="78">
        <f>'T&amp;E'!BA$12</f>
        <v>49490</v>
      </c>
      <c r="BB4" s="78">
        <f>'T&amp;E'!BB$12</f>
        <v>49674</v>
      </c>
      <c r="BC4" s="78">
        <f>'T&amp;E'!BC$12</f>
        <v>49856</v>
      </c>
      <c r="BD4" s="78">
        <f>'T&amp;E'!BD$12</f>
        <v>50040</v>
      </c>
      <c r="BE4" s="78">
        <f>'T&amp;E'!BE$12</f>
        <v>50221</v>
      </c>
      <c r="BF4" s="78">
        <f>'T&amp;E'!BF$12</f>
        <v>50405</v>
      </c>
      <c r="BG4" s="78">
        <f>'T&amp;E'!BG$12</f>
        <v>50586</v>
      </c>
      <c r="BH4" s="78">
        <f>'T&amp;E'!BH$12</f>
        <v>50770</v>
      </c>
      <c r="BI4" s="78">
        <f>'T&amp;E'!BI$12</f>
        <v>50951</v>
      </c>
      <c r="BJ4" s="78">
        <f>'T&amp;E'!BJ$12</f>
        <v>51135</v>
      </c>
      <c r="BK4" s="78">
        <f>'T&amp;E'!BK$12</f>
        <v>51317</v>
      </c>
      <c r="BL4" s="78">
        <f>'T&amp;E'!BL$12</f>
        <v>51501</v>
      </c>
      <c r="BM4" s="78">
        <f>'T&amp;E'!BM$12</f>
        <v>51682</v>
      </c>
      <c r="BN4" s="78">
        <f>'T&amp;E'!BN$12</f>
        <v>51866</v>
      </c>
      <c r="BO4" s="78">
        <f>'T&amp;E'!BO$12</f>
        <v>52047</v>
      </c>
      <c r="BP4" s="78">
        <f>'T&amp;E'!BP$12</f>
        <v>52231</v>
      </c>
      <c r="BQ4" s="78">
        <f>'T&amp;E'!BQ$12</f>
        <v>52412</v>
      </c>
      <c r="BR4" s="78">
        <f>'T&amp;E'!BR$12</f>
        <v>52596</v>
      </c>
      <c r="BS4" s="78">
        <f>'T&amp;E'!BS$12</f>
        <v>52778</v>
      </c>
      <c r="BT4" s="78">
        <f>'T&amp;E'!BT$12</f>
        <v>52962</v>
      </c>
      <c r="BU4" s="78">
        <f>'T&amp;E'!BU$12</f>
        <v>53143</v>
      </c>
      <c r="BV4" s="78">
        <f>'T&amp;E'!BV$12</f>
        <v>53327</v>
      </c>
      <c r="BW4" s="78">
        <f>'T&amp;E'!BW$12</f>
        <v>53508</v>
      </c>
      <c r="BX4" s="78">
        <f>'T&amp;E'!BX$12</f>
        <v>53692</v>
      </c>
      <c r="BY4" s="78">
        <f>'T&amp;E'!BY$12</f>
        <v>53873</v>
      </c>
      <c r="BZ4" s="78">
        <f>'T&amp;E'!BZ$12</f>
        <v>54057</v>
      </c>
      <c r="CA4" s="78">
        <f>'T&amp;E'!CA$12</f>
        <v>54239</v>
      </c>
    </row>
    <row r="6" spans="1:83" s="210" customFormat="1" x14ac:dyDescent="0.2">
      <c r="A6" s="81" t="s">
        <v>56</v>
      </c>
      <c r="B6" s="82"/>
      <c r="C6" s="83"/>
      <c r="D6" s="209"/>
      <c r="G6" s="153"/>
      <c r="H6" s="153"/>
      <c r="I6" s="153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  <c r="AJ6" s="211"/>
      <c r="AK6" s="211"/>
      <c r="AL6" s="211"/>
      <c r="AM6" s="211"/>
      <c r="AN6" s="211"/>
      <c r="AO6" s="211"/>
      <c r="AP6" s="211"/>
      <c r="AQ6" s="211"/>
      <c r="AR6" s="211"/>
      <c r="AS6" s="211"/>
      <c r="AT6" s="211"/>
      <c r="AU6" s="211"/>
      <c r="AV6" s="211"/>
      <c r="AW6" s="211"/>
      <c r="AX6" s="211"/>
      <c r="AY6" s="211"/>
      <c r="AZ6" s="211"/>
      <c r="BA6" s="211"/>
      <c r="BB6" s="211"/>
      <c r="BC6" s="211"/>
      <c r="BD6" s="211"/>
      <c r="BE6" s="211"/>
      <c r="BF6" s="211"/>
      <c r="BG6" s="211"/>
      <c r="BH6" s="211"/>
      <c r="BI6" s="211"/>
      <c r="BJ6" s="211"/>
      <c r="BK6" s="211"/>
      <c r="BL6" s="211"/>
      <c r="BM6" s="211"/>
      <c r="BN6" s="211"/>
      <c r="BO6" s="211"/>
      <c r="BP6" s="211"/>
      <c r="BQ6" s="211"/>
      <c r="BR6" s="211"/>
      <c r="BS6" s="211"/>
      <c r="BT6" s="211"/>
      <c r="BU6" s="211"/>
      <c r="BV6" s="211"/>
      <c r="BW6" s="211"/>
      <c r="BX6" s="211"/>
      <c r="BY6" s="211"/>
      <c r="BZ6" s="211"/>
      <c r="CA6" s="211"/>
    </row>
    <row r="7" spans="1:83" s="210" customFormat="1" x14ac:dyDescent="0.2">
      <c r="A7" s="81"/>
      <c r="B7" s="82"/>
      <c r="C7" s="83"/>
      <c r="D7" s="209"/>
      <c r="G7" s="153"/>
      <c r="H7" s="153"/>
      <c r="I7" s="153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1"/>
      <c r="AD7" s="211"/>
      <c r="AE7" s="211"/>
      <c r="AF7" s="211"/>
      <c r="AG7" s="211"/>
      <c r="AH7" s="211"/>
      <c r="AI7" s="211"/>
      <c r="AJ7" s="211"/>
      <c r="AK7" s="211"/>
      <c r="AL7" s="211"/>
      <c r="AM7" s="211"/>
      <c r="AN7" s="211"/>
      <c r="AO7" s="211"/>
      <c r="AP7" s="211"/>
      <c r="AQ7" s="211"/>
      <c r="AR7" s="211"/>
      <c r="AS7" s="211"/>
      <c r="AT7" s="211"/>
      <c r="AU7" s="211"/>
      <c r="AV7" s="211"/>
      <c r="AW7" s="211"/>
      <c r="AX7" s="211"/>
      <c r="AY7" s="211"/>
      <c r="AZ7" s="211"/>
      <c r="BA7" s="211"/>
      <c r="BB7" s="211"/>
      <c r="BC7" s="211"/>
      <c r="BD7" s="211"/>
      <c r="BE7" s="211"/>
      <c r="BF7" s="211"/>
      <c r="BG7" s="211"/>
      <c r="BH7" s="211"/>
      <c r="BI7" s="211"/>
      <c r="BJ7" s="211"/>
      <c r="BK7" s="211"/>
      <c r="BL7" s="211"/>
      <c r="BM7" s="211"/>
      <c r="BN7" s="211"/>
      <c r="BO7" s="211"/>
      <c r="BP7" s="211"/>
      <c r="BQ7" s="211"/>
      <c r="BR7" s="211"/>
      <c r="BS7" s="211"/>
      <c r="BT7" s="211"/>
      <c r="BU7" s="211"/>
      <c r="BV7" s="211"/>
      <c r="BW7" s="211"/>
      <c r="BX7" s="211"/>
      <c r="BY7" s="211"/>
      <c r="BZ7" s="211"/>
      <c r="CA7" s="211"/>
    </row>
    <row r="8" spans="1:83" s="153" customFormat="1" x14ac:dyDescent="0.2">
      <c r="A8" s="82"/>
      <c r="B8" s="82"/>
      <c r="C8" s="83" t="s">
        <v>91</v>
      </c>
      <c r="D8" s="152"/>
    </row>
    <row r="9" spans="1:83" x14ac:dyDescent="0.2">
      <c r="F9" s="87" t="s">
        <v>9</v>
      </c>
    </row>
    <row r="10" spans="1:83" s="144" customFormat="1" x14ac:dyDescent="0.2">
      <c r="A10" s="93"/>
      <c r="B10" s="93"/>
      <c r="C10" s="94"/>
      <c r="D10" s="143"/>
      <c r="E10" s="144" t="str">
        <f>InpS!E$8</f>
        <v>Routes - domestic charter</v>
      </c>
      <c r="F10" s="144">
        <f>InpS!F$8</f>
        <v>0</v>
      </c>
      <c r="G10" s="144" t="str">
        <f>InpS!G$8</f>
        <v>planes</v>
      </c>
      <c r="H10" s="144">
        <f>InpS!H$8</f>
        <v>0</v>
      </c>
      <c r="I10" s="144">
        <f>InpS!I$8</f>
        <v>0</v>
      </c>
      <c r="J10" s="144">
        <f>InpS!J$8</f>
        <v>0</v>
      </c>
      <c r="K10" s="144">
        <f>InpS!K$8</f>
        <v>0</v>
      </c>
      <c r="L10" s="144">
        <f>InpS!L$8</f>
        <v>15</v>
      </c>
      <c r="M10" s="144">
        <f>InpS!M$8</f>
        <v>15</v>
      </c>
      <c r="N10" s="144">
        <f>InpS!N$8</f>
        <v>13</v>
      </c>
      <c r="O10" s="144">
        <f>InpS!O$8</f>
        <v>13</v>
      </c>
      <c r="P10" s="144">
        <f>InpS!P$8</f>
        <v>13</v>
      </c>
      <c r="Q10" s="144">
        <f>InpS!Q$8</f>
        <v>13</v>
      </c>
      <c r="R10" s="144">
        <f>InpS!R$8</f>
        <v>11</v>
      </c>
      <c r="S10" s="144">
        <f>InpS!S$8</f>
        <v>11</v>
      </c>
      <c r="T10" s="144">
        <f>InpS!T$8</f>
        <v>11</v>
      </c>
      <c r="U10" s="144">
        <f>InpS!U$8</f>
        <v>11</v>
      </c>
      <c r="V10" s="144">
        <f>InpS!V$8</f>
        <v>9</v>
      </c>
      <c r="W10" s="144">
        <f>InpS!W$8</f>
        <v>9</v>
      </c>
      <c r="X10" s="144">
        <f>InpS!X$8</f>
        <v>9</v>
      </c>
      <c r="Y10" s="144">
        <f>InpS!Y$8</f>
        <v>9</v>
      </c>
      <c r="Z10" s="144">
        <f>InpS!Z$8</f>
        <v>9</v>
      </c>
      <c r="AA10" s="144">
        <f>InpS!AA$8</f>
        <v>9</v>
      </c>
      <c r="AB10" s="144">
        <f>InpS!AB$8</f>
        <v>9</v>
      </c>
      <c r="AC10" s="144">
        <f>InpS!AC$8</f>
        <v>9</v>
      </c>
      <c r="AD10" s="144">
        <f>InpS!AD$8</f>
        <v>9</v>
      </c>
      <c r="AE10" s="144">
        <f>InpS!AE$8</f>
        <v>9</v>
      </c>
      <c r="AF10" s="144">
        <f>InpS!AF$8</f>
        <v>9</v>
      </c>
      <c r="AG10" s="144">
        <f>InpS!AG$8</f>
        <v>9</v>
      </c>
      <c r="AH10" s="144">
        <f>InpS!AH$8</f>
        <v>9</v>
      </c>
      <c r="AI10" s="144">
        <f>InpS!AI$8</f>
        <v>9</v>
      </c>
      <c r="AJ10" s="144">
        <f>InpS!AJ$8</f>
        <v>9</v>
      </c>
      <c r="AK10" s="144">
        <f>InpS!AK$8</f>
        <v>9</v>
      </c>
      <c r="AL10" s="144">
        <f>InpS!AL$8</f>
        <v>9</v>
      </c>
      <c r="AM10" s="144">
        <f>InpS!AM$8</f>
        <v>9</v>
      </c>
      <c r="AN10" s="144">
        <f>InpS!AN$8</f>
        <v>9</v>
      </c>
      <c r="AO10" s="144">
        <f>InpS!AO$8</f>
        <v>9</v>
      </c>
      <c r="AP10" s="144">
        <f>InpS!AP$8</f>
        <v>9</v>
      </c>
      <c r="AQ10" s="144">
        <f>InpS!AQ$8</f>
        <v>9</v>
      </c>
      <c r="AR10" s="144">
        <f>InpS!AR$8</f>
        <v>9</v>
      </c>
      <c r="AS10" s="144">
        <f>InpS!AS$8</f>
        <v>9</v>
      </c>
      <c r="AT10" s="144">
        <f>InpS!AT$8</f>
        <v>9</v>
      </c>
      <c r="AU10" s="144">
        <f>InpS!AU$8</f>
        <v>9</v>
      </c>
      <c r="AV10" s="144">
        <f>InpS!AV$8</f>
        <v>9</v>
      </c>
      <c r="AW10" s="144">
        <f>InpS!AW$8</f>
        <v>9</v>
      </c>
      <c r="AX10" s="144">
        <f>InpS!AX$8</f>
        <v>9</v>
      </c>
      <c r="AY10" s="144">
        <f>InpS!AY$8</f>
        <v>9</v>
      </c>
      <c r="AZ10" s="144">
        <f>InpS!AZ$8</f>
        <v>9</v>
      </c>
      <c r="BA10" s="144">
        <f>InpS!BA$8</f>
        <v>9</v>
      </c>
      <c r="BB10" s="144">
        <f>InpS!BB$8</f>
        <v>9</v>
      </c>
      <c r="BC10" s="144">
        <f>InpS!BC$8</f>
        <v>9</v>
      </c>
      <c r="BD10" s="144">
        <f>InpS!BD$8</f>
        <v>9</v>
      </c>
      <c r="BE10" s="144">
        <f>InpS!BE$8</f>
        <v>9</v>
      </c>
      <c r="BF10" s="144">
        <f>InpS!BF$8</f>
        <v>9</v>
      </c>
      <c r="BG10" s="144">
        <f>InpS!BG$8</f>
        <v>9</v>
      </c>
      <c r="BH10" s="144">
        <f>InpS!BH$8</f>
        <v>9</v>
      </c>
      <c r="BI10" s="144">
        <f>InpS!BI$8</f>
        <v>9</v>
      </c>
      <c r="BJ10" s="144">
        <f>InpS!BJ$8</f>
        <v>9</v>
      </c>
      <c r="BK10" s="144">
        <f>InpS!BK$8</f>
        <v>9</v>
      </c>
      <c r="BL10" s="144">
        <f>InpS!BL$8</f>
        <v>9</v>
      </c>
      <c r="BM10" s="144">
        <f>InpS!BM$8</f>
        <v>9</v>
      </c>
      <c r="BN10" s="144">
        <f>InpS!BN$8</f>
        <v>9</v>
      </c>
      <c r="BO10" s="144">
        <f>InpS!BO$8</f>
        <v>9</v>
      </c>
      <c r="BP10" s="144">
        <f>InpS!BP$8</f>
        <v>9</v>
      </c>
      <c r="BQ10" s="144">
        <f>InpS!BQ$8</f>
        <v>9</v>
      </c>
      <c r="BR10" s="144">
        <f>InpS!BR$8</f>
        <v>9</v>
      </c>
      <c r="BS10" s="144">
        <f>InpS!BS$8</f>
        <v>9</v>
      </c>
      <c r="BT10" s="144">
        <f>InpS!BT$8</f>
        <v>9</v>
      </c>
      <c r="BU10" s="144">
        <f>InpS!BU$8</f>
        <v>9</v>
      </c>
      <c r="BV10" s="144">
        <f>InpS!BV$8</f>
        <v>9</v>
      </c>
      <c r="BW10" s="144">
        <f>InpS!BW$8</f>
        <v>0</v>
      </c>
      <c r="BX10" s="144">
        <f>InpS!BX$8</f>
        <v>0</v>
      </c>
      <c r="BY10" s="144">
        <f>InpS!BY$8</f>
        <v>0</v>
      </c>
      <c r="BZ10" s="144">
        <f>InpS!BZ$8</f>
        <v>0</v>
      </c>
      <c r="CA10" s="144">
        <f>InpS!CA$8</f>
        <v>0</v>
      </c>
    </row>
    <row r="11" spans="1:83" s="144" customFormat="1" x14ac:dyDescent="0.2">
      <c r="A11" s="93"/>
      <c r="B11" s="93"/>
      <c r="C11" s="94"/>
      <c r="D11" s="143"/>
      <c r="E11" s="144" t="str">
        <f>InpS!E$13</f>
        <v>Landing frequency - domestic charter</v>
      </c>
      <c r="F11" s="144">
        <f>InpS!F$13</f>
        <v>0</v>
      </c>
      <c r="G11" s="144" t="str">
        <f>InpS!G$13</f>
        <v>lands / plane</v>
      </c>
      <c r="H11" s="144">
        <f>InpS!H$13</f>
        <v>0</v>
      </c>
      <c r="I11" s="144">
        <f>InpS!I$13</f>
        <v>0</v>
      </c>
      <c r="J11" s="144">
        <f>InpS!J$13</f>
        <v>0</v>
      </c>
      <c r="K11" s="144">
        <f>InpS!K$13</f>
        <v>0</v>
      </c>
      <c r="L11" s="144">
        <f>InpS!L$13</f>
        <v>120</v>
      </c>
      <c r="M11" s="144">
        <f>InpS!M$13</f>
        <v>120</v>
      </c>
      <c r="N11" s="144">
        <f>InpS!N$13</f>
        <v>110</v>
      </c>
      <c r="O11" s="144">
        <f>InpS!O$13</f>
        <v>110</v>
      </c>
      <c r="P11" s="144">
        <f>InpS!P$13</f>
        <v>110</v>
      </c>
      <c r="Q11" s="144">
        <f>InpS!Q$13</f>
        <v>110</v>
      </c>
      <c r="R11" s="144">
        <f>InpS!R$13</f>
        <v>100</v>
      </c>
      <c r="S11" s="144">
        <f>InpS!S$13</f>
        <v>100</v>
      </c>
      <c r="T11" s="144">
        <f>InpS!T$13</f>
        <v>100</v>
      </c>
      <c r="U11" s="144">
        <f>InpS!U$13</f>
        <v>100</v>
      </c>
      <c r="V11" s="144">
        <f>InpS!V$13</f>
        <v>90</v>
      </c>
      <c r="W11" s="144">
        <f>InpS!W$13</f>
        <v>90</v>
      </c>
      <c r="X11" s="144">
        <f>InpS!X$13</f>
        <v>90</v>
      </c>
      <c r="Y11" s="144">
        <f>InpS!Y$13</f>
        <v>90</v>
      </c>
      <c r="Z11" s="144">
        <f>InpS!Z$13</f>
        <v>80</v>
      </c>
      <c r="AA11" s="144">
        <f>InpS!AA$13</f>
        <v>80</v>
      </c>
      <c r="AB11" s="144">
        <f>InpS!AB$13</f>
        <v>80</v>
      </c>
      <c r="AC11" s="144">
        <f>InpS!AC$13</f>
        <v>80</v>
      </c>
      <c r="AD11" s="144">
        <f>InpS!AD$13</f>
        <v>80</v>
      </c>
      <c r="AE11" s="144">
        <f>InpS!AE$13</f>
        <v>80</v>
      </c>
      <c r="AF11" s="144">
        <f>InpS!AF$13</f>
        <v>80</v>
      </c>
      <c r="AG11" s="144">
        <f>InpS!AG$13</f>
        <v>80</v>
      </c>
      <c r="AH11" s="144">
        <f>InpS!AH$13</f>
        <v>80</v>
      </c>
      <c r="AI11" s="144">
        <f>InpS!AI$13</f>
        <v>80</v>
      </c>
      <c r="AJ11" s="144">
        <f>InpS!AJ$13</f>
        <v>80</v>
      </c>
      <c r="AK11" s="144">
        <f>InpS!AK$13</f>
        <v>80</v>
      </c>
      <c r="AL11" s="144">
        <f>InpS!AL$13</f>
        <v>80</v>
      </c>
      <c r="AM11" s="144">
        <f>InpS!AM$13</f>
        <v>80</v>
      </c>
      <c r="AN11" s="144">
        <f>InpS!AN$13</f>
        <v>80</v>
      </c>
      <c r="AO11" s="144">
        <f>InpS!AO$13</f>
        <v>80</v>
      </c>
      <c r="AP11" s="144">
        <f>InpS!AP$13</f>
        <v>80</v>
      </c>
      <c r="AQ11" s="144">
        <f>InpS!AQ$13</f>
        <v>80</v>
      </c>
      <c r="AR11" s="144">
        <f>InpS!AR$13</f>
        <v>80</v>
      </c>
      <c r="AS11" s="144">
        <f>InpS!AS$13</f>
        <v>80</v>
      </c>
      <c r="AT11" s="144">
        <f>InpS!AT$13</f>
        <v>80</v>
      </c>
      <c r="AU11" s="144">
        <f>InpS!AU$13</f>
        <v>80</v>
      </c>
      <c r="AV11" s="144">
        <f>InpS!AV$13</f>
        <v>80</v>
      </c>
      <c r="AW11" s="144">
        <f>InpS!AW$13</f>
        <v>80</v>
      </c>
      <c r="AX11" s="144">
        <f>InpS!AX$13</f>
        <v>80</v>
      </c>
      <c r="AY11" s="144">
        <f>InpS!AY$13</f>
        <v>80</v>
      </c>
      <c r="AZ11" s="144">
        <f>InpS!AZ$13</f>
        <v>80</v>
      </c>
      <c r="BA11" s="144">
        <f>InpS!BA$13</f>
        <v>80</v>
      </c>
      <c r="BB11" s="144">
        <f>InpS!BB$13</f>
        <v>80</v>
      </c>
      <c r="BC11" s="144">
        <f>InpS!BC$13</f>
        <v>80</v>
      </c>
      <c r="BD11" s="144">
        <f>InpS!BD$13</f>
        <v>80</v>
      </c>
      <c r="BE11" s="144">
        <f>InpS!BE$13</f>
        <v>80</v>
      </c>
      <c r="BF11" s="144">
        <f>InpS!BF$13</f>
        <v>80</v>
      </c>
      <c r="BG11" s="144">
        <f>InpS!BG$13</f>
        <v>80</v>
      </c>
      <c r="BH11" s="144">
        <f>InpS!BH$13</f>
        <v>80</v>
      </c>
      <c r="BI11" s="144">
        <f>InpS!BI$13</f>
        <v>80</v>
      </c>
      <c r="BJ11" s="144">
        <f>InpS!BJ$13</f>
        <v>80</v>
      </c>
      <c r="BK11" s="144">
        <f>InpS!BK$13</f>
        <v>80</v>
      </c>
      <c r="BL11" s="144">
        <f>InpS!BL$13</f>
        <v>80</v>
      </c>
      <c r="BM11" s="144">
        <f>InpS!BM$13</f>
        <v>80</v>
      </c>
      <c r="BN11" s="144">
        <f>InpS!BN$13</f>
        <v>80</v>
      </c>
      <c r="BO11" s="144">
        <f>InpS!BO$13</f>
        <v>80</v>
      </c>
      <c r="BP11" s="144">
        <f>InpS!BP$13</f>
        <v>80</v>
      </c>
      <c r="BQ11" s="144">
        <f>InpS!BQ$13</f>
        <v>80</v>
      </c>
      <c r="BR11" s="144">
        <f>InpS!BR$13</f>
        <v>80</v>
      </c>
      <c r="BS11" s="144">
        <f>InpS!BS$13</f>
        <v>80</v>
      </c>
      <c r="BT11" s="144">
        <f>InpS!BT$13</f>
        <v>80</v>
      </c>
      <c r="BU11" s="144">
        <f>InpS!BU$13</f>
        <v>80</v>
      </c>
      <c r="BV11" s="144">
        <f>InpS!BV$13</f>
        <v>80</v>
      </c>
      <c r="BW11" s="144">
        <f>InpS!BW$13</f>
        <v>0</v>
      </c>
      <c r="BX11" s="144">
        <f>InpS!BX$13</f>
        <v>0</v>
      </c>
      <c r="BY11" s="144">
        <f>InpS!BY$13</f>
        <v>0</v>
      </c>
      <c r="BZ11" s="144">
        <f>InpS!BZ$13</f>
        <v>0</v>
      </c>
      <c r="CA11" s="144">
        <f>InpS!CA$13</f>
        <v>0</v>
      </c>
    </row>
    <row r="12" spans="1:83" s="197" customFormat="1" x14ac:dyDescent="0.2">
      <c r="A12" s="264"/>
      <c r="B12" s="264"/>
      <c r="C12" s="265"/>
      <c r="D12" s="266"/>
      <c r="E12" s="197" t="str">
        <f>'T&amp;E'!E$24</f>
        <v>Operating period flag</v>
      </c>
      <c r="F12" s="197">
        <f>'T&amp;E'!F$24</f>
        <v>0</v>
      </c>
      <c r="G12" s="197" t="str">
        <f>'T&amp;E'!G$24</f>
        <v>flag</v>
      </c>
      <c r="H12" s="197">
        <f>'T&amp;E'!H$24</f>
        <v>60</v>
      </c>
      <c r="I12" s="197">
        <f>'T&amp;E'!I$24</f>
        <v>0</v>
      </c>
      <c r="J12" s="197">
        <f>'T&amp;E'!J$24</f>
        <v>0</v>
      </c>
      <c r="K12" s="197">
        <f>'T&amp;E'!K$24</f>
        <v>0</v>
      </c>
      <c r="L12" s="197">
        <f>'T&amp;E'!L$24</f>
        <v>0</v>
      </c>
      <c r="M12" s="197">
        <f>'T&amp;E'!M$24</f>
        <v>0</v>
      </c>
      <c r="N12" s="197">
        <f>'T&amp;E'!N$24</f>
        <v>0</v>
      </c>
      <c r="O12" s="197">
        <f>'T&amp;E'!O$24</f>
        <v>1</v>
      </c>
      <c r="P12" s="197">
        <f>'T&amp;E'!P$24</f>
        <v>1</v>
      </c>
      <c r="Q12" s="197">
        <f>'T&amp;E'!Q$24</f>
        <v>1</v>
      </c>
      <c r="R12" s="197">
        <f>'T&amp;E'!R$24</f>
        <v>1</v>
      </c>
      <c r="S12" s="197">
        <f>'T&amp;E'!S$24</f>
        <v>1</v>
      </c>
      <c r="T12" s="197">
        <f>'T&amp;E'!T$24</f>
        <v>1</v>
      </c>
      <c r="U12" s="197">
        <f>'T&amp;E'!U$24</f>
        <v>1</v>
      </c>
      <c r="V12" s="197">
        <f>'T&amp;E'!V$24</f>
        <v>1</v>
      </c>
      <c r="W12" s="197">
        <f>'T&amp;E'!W$24</f>
        <v>1</v>
      </c>
      <c r="X12" s="197">
        <f>'T&amp;E'!X$24</f>
        <v>1</v>
      </c>
      <c r="Y12" s="197">
        <f>'T&amp;E'!Y$24</f>
        <v>1</v>
      </c>
      <c r="Z12" s="197">
        <f>'T&amp;E'!Z$24</f>
        <v>1</v>
      </c>
      <c r="AA12" s="197">
        <f>'T&amp;E'!AA$24</f>
        <v>1</v>
      </c>
      <c r="AB12" s="197">
        <f>'T&amp;E'!AB$24</f>
        <v>1</v>
      </c>
      <c r="AC12" s="197">
        <f>'T&amp;E'!AC$24</f>
        <v>1</v>
      </c>
      <c r="AD12" s="197">
        <f>'T&amp;E'!AD$24</f>
        <v>1</v>
      </c>
      <c r="AE12" s="197">
        <f>'T&amp;E'!AE$24</f>
        <v>1</v>
      </c>
      <c r="AF12" s="197">
        <f>'T&amp;E'!AF$24</f>
        <v>1</v>
      </c>
      <c r="AG12" s="197">
        <f>'T&amp;E'!AG$24</f>
        <v>1</v>
      </c>
      <c r="AH12" s="197">
        <f>'T&amp;E'!AH$24</f>
        <v>1</v>
      </c>
      <c r="AI12" s="197">
        <f>'T&amp;E'!AI$24</f>
        <v>1</v>
      </c>
      <c r="AJ12" s="197">
        <f>'T&amp;E'!AJ$24</f>
        <v>1</v>
      </c>
      <c r="AK12" s="197">
        <f>'T&amp;E'!AK$24</f>
        <v>1</v>
      </c>
      <c r="AL12" s="197">
        <f>'T&amp;E'!AL$24</f>
        <v>1</v>
      </c>
      <c r="AM12" s="197">
        <f>'T&amp;E'!AM$24</f>
        <v>1</v>
      </c>
      <c r="AN12" s="197">
        <f>'T&amp;E'!AN$24</f>
        <v>1</v>
      </c>
      <c r="AO12" s="197">
        <f>'T&amp;E'!AO$24</f>
        <v>1</v>
      </c>
      <c r="AP12" s="197">
        <f>'T&amp;E'!AP$24</f>
        <v>1</v>
      </c>
      <c r="AQ12" s="197">
        <f>'T&amp;E'!AQ$24</f>
        <v>1</v>
      </c>
      <c r="AR12" s="197">
        <f>'T&amp;E'!AR$24</f>
        <v>1</v>
      </c>
      <c r="AS12" s="197">
        <f>'T&amp;E'!AS$24</f>
        <v>1</v>
      </c>
      <c r="AT12" s="197">
        <f>'T&amp;E'!AT$24</f>
        <v>1</v>
      </c>
      <c r="AU12" s="197">
        <f>'T&amp;E'!AU$24</f>
        <v>1</v>
      </c>
      <c r="AV12" s="197">
        <f>'T&amp;E'!AV$24</f>
        <v>1</v>
      </c>
      <c r="AW12" s="197">
        <f>'T&amp;E'!AW$24</f>
        <v>1</v>
      </c>
      <c r="AX12" s="197">
        <f>'T&amp;E'!AX$24</f>
        <v>1</v>
      </c>
      <c r="AY12" s="197">
        <f>'T&amp;E'!AY$24</f>
        <v>1</v>
      </c>
      <c r="AZ12" s="197">
        <f>'T&amp;E'!AZ$24</f>
        <v>1</v>
      </c>
      <c r="BA12" s="197">
        <f>'T&amp;E'!BA$24</f>
        <v>1</v>
      </c>
      <c r="BB12" s="197">
        <f>'T&amp;E'!BB$24</f>
        <v>1</v>
      </c>
      <c r="BC12" s="197">
        <f>'T&amp;E'!BC$24</f>
        <v>1</v>
      </c>
      <c r="BD12" s="197">
        <f>'T&amp;E'!BD$24</f>
        <v>1</v>
      </c>
      <c r="BE12" s="197">
        <f>'T&amp;E'!BE$24</f>
        <v>1</v>
      </c>
      <c r="BF12" s="197">
        <f>'T&amp;E'!BF$24</f>
        <v>1</v>
      </c>
      <c r="BG12" s="197">
        <f>'T&amp;E'!BG$24</f>
        <v>1</v>
      </c>
      <c r="BH12" s="197">
        <f>'T&amp;E'!BH$24</f>
        <v>1</v>
      </c>
      <c r="BI12" s="197">
        <f>'T&amp;E'!BI$24</f>
        <v>1</v>
      </c>
      <c r="BJ12" s="197">
        <f>'T&amp;E'!BJ$24</f>
        <v>1</v>
      </c>
      <c r="BK12" s="197">
        <f>'T&amp;E'!BK$24</f>
        <v>1</v>
      </c>
      <c r="BL12" s="197">
        <f>'T&amp;E'!BL$24</f>
        <v>1</v>
      </c>
      <c r="BM12" s="197">
        <f>'T&amp;E'!BM$24</f>
        <v>1</v>
      </c>
      <c r="BN12" s="197">
        <f>'T&amp;E'!BN$24</f>
        <v>1</v>
      </c>
      <c r="BO12" s="197">
        <f>'T&amp;E'!BO$24</f>
        <v>1</v>
      </c>
      <c r="BP12" s="197">
        <f>'T&amp;E'!BP$24</f>
        <v>1</v>
      </c>
      <c r="BQ12" s="197">
        <f>'T&amp;E'!BQ$24</f>
        <v>1</v>
      </c>
      <c r="BR12" s="197">
        <f>'T&amp;E'!BR$24</f>
        <v>1</v>
      </c>
      <c r="BS12" s="197">
        <f>'T&amp;E'!BS$24</f>
        <v>1</v>
      </c>
      <c r="BT12" s="197">
        <f>'T&amp;E'!BT$24</f>
        <v>1</v>
      </c>
      <c r="BU12" s="197">
        <f>'T&amp;E'!BU$24</f>
        <v>1</v>
      </c>
      <c r="BV12" s="197">
        <f>'T&amp;E'!BV$24</f>
        <v>1</v>
      </c>
      <c r="BW12" s="197">
        <f>'T&amp;E'!BW$24</f>
        <v>0</v>
      </c>
      <c r="BX12" s="197">
        <f>'T&amp;E'!BX$24</f>
        <v>0</v>
      </c>
      <c r="BY12" s="197">
        <f>'T&amp;E'!BY$24</f>
        <v>0</v>
      </c>
      <c r="BZ12" s="197">
        <f>'T&amp;E'!BZ$24</f>
        <v>0</v>
      </c>
      <c r="CA12" s="197">
        <f>'T&amp;E'!CA$24</f>
        <v>0</v>
      </c>
    </row>
    <row r="13" spans="1:83" s="90" customFormat="1" x14ac:dyDescent="0.2">
      <c r="A13" s="82"/>
      <c r="B13" s="82"/>
      <c r="C13" s="83"/>
      <c r="D13" s="89"/>
      <c r="E13" s="90" t="s">
        <v>43</v>
      </c>
      <c r="G13" s="90" t="s">
        <v>72</v>
      </c>
      <c r="H13" s="90">
        <f>SUM(J13:CA13)</f>
        <v>47210</v>
      </c>
      <c r="J13" s="90">
        <f xml:space="preserve"> J10 * J11 * J12</f>
        <v>0</v>
      </c>
      <c r="K13" s="90">
        <f t="shared" ref="K13:BV13" si="0" xml:space="preserve"> K10 * K11 * K12</f>
        <v>0</v>
      </c>
      <c r="L13" s="90">
        <f t="shared" si="0"/>
        <v>0</v>
      </c>
      <c r="M13" s="90">
        <f t="shared" si="0"/>
        <v>0</v>
      </c>
      <c r="N13" s="90">
        <f t="shared" si="0"/>
        <v>0</v>
      </c>
      <c r="O13" s="90">
        <f t="shared" si="0"/>
        <v>1430</v>
      </c>
      <c r="P13" s="90">
        <f t="shared" si="0"/>
        <v>1430</v>
      </c>
      <c r="Q13" s="90">
        <f t="shared" si="0"/>
        <v>1430</v>
      </c>
      <c r="R13" s="90">
        <f t="shared" si="0"/>
        <v>1100</v>
      </c>
      <c r="S13" s="90">
        <f t="shared" si="0"/>
        <v>1100</v>
      </c>
      <c r="T13" s="90">
        <f t="shared" si="0"/>
        <v>1100</v>
      </c>
      <c r="U13" s="90">
        <f t="shared" si="0"/>
        <v>1100</v>
      </c>
      <c r="V13" s="90">
        <f t="shared" si="0"/>
        <v>810</v>
      </c>
      <c r="W13" s="90">
        <f t="shared" si="0"/>
        <v>810</v>
      </c>
      <c r="X13" s="90">
        <f t="shared" si="0"/>
        <v>810</v>
      </c>
      <c r="Y13" s="90">
        <f t="shared" si="0"/>
        <v>810</v>
      </c>
      <c r="Z13" s="90">
        <f t="shared" si="0"/>
        <v>720</v>
      </c>
      <c r="AA13" s="90">
        <f t="shared" si="0"/>
        <v>720</v>
      </c>
      <c r="AB13" s="90">
        <f t="shared" si="0"/>
        <v>720</v>
      </c>
      <c r="AC13" s="90">
        <f t="shared" si="0"/>
        <v>720</v>
      </c>
      <c r="AD13" s="90">
        <f t="shared" si="0"/>
        <v>720</v>
      </c>
      <c r="AE13" s="90">
        <f t="shared" si="0"/>
        <v>720</v>
      </c>
      <c r="AF13" s="90">
        <f t="shared" si="0"/>
        <v>720</v>
      </c>
      <c r="AG13" s="90">
        <f t="shared" si="0"/>
        <v>720</v>
      </c>
      <c r="AH13" s="90">
        <f t="shared" si="0"/>
        <v>720</v>
      </c>
      <c r="AI13" s="90">
        <f t="shared" si="0"/>
        <v>720</v>
      </c>
      <c r="AJ13" s="90">
        <f t="shared" si="0"/>
        <v>720</v>
      </c>
      <c r="AK13" s="90">
        <f t="shared" si="0"/>
        <v>720</v>
      </c>
      <c r="AL13" s="90">
        <f t="shared" si="0"/>
        <v>720</v>
      </c>
      <c r="AM13" s="90">
        <f t="shared" si="0"/>
        <v>720</v>
      </c>
      <c r="AN13" s="90">
        <f t="shared" si="0"/>
        <v>720</v>
      </c>
      <c r="AO13" s="90">
        <f t="shared" si="0"/>
        <v>720</v>
      </c>
      <c r="AP13" s="90">
        <f t="shared" si="0"/>
        <v>720</v>
      </c>
      <c r="AQ13" s="90">
        <f t="shared" si="0"/>
        <v>720</v>
      </c>
      <c r="AR13" s="90">
        <f t="shared" si="0"/>
        <v>720</v>
      </c>
      <c r="AS13" s="90">
        <f t="shared" si="0"/>
        <v>720</v>
      </c>
      <c r="AT13" s="90">
        <f t="shared" si="0"/>
        <v>720</v>
      </c>
      <c r="AU13" s="90">
        <f t="shared" si="0"/>
        <v>720</v>
      </c>
      <c r="AV13" s="90">
        <f t="shared" si="0"/>
        <v>720</v>
      </c>
      <c r="AW13" s="90">
        <f t="shared" si="0"/>
        <v>720</v>
      </c>
      <c r="AX13" s="90">
        <f t="shared" si="0"/>
        <v>720</v>
      </c>
      <c r="AY13" s="90">
        <f t="shared" si="0"/>
        <v>720</v>
      </c>
      <c r="AZ13" s="90">
        <f t="shared" si="0"/>
        <v>720</v>
      </c>
      <c r="BA13" s="90">
        <f t="shared" si="0"/>
        <v>720</v>
      </c>
      <c r="BB13" s="90">
        <f t="shared" si="0"/>
        <v>720</v>
      </c>
      <c r="BC13" s="90">
        <f t="shared" si="0"/>
        <v>720</v>
      </c>
      <c r="BD13" s="90">
        <f t="shared" si="0"/>
        <v>720</v>
      </c>
      <c r="BE13" s="90">
        <f t="shared" si="0"/>
        <v>720</v>
      </c>
      <c r="BF13" s="90">
        <f t="shared" si="0"/>
        <v>720</v>
      </c>
      <c r="BG13" s="90">
        <f t="shared" si="0"/>
        <v>720</v>
      </c>
      <c r="BH13" s="90">
        <f t="shared" si="0"/>
        <v>720</v>
      </c>
      <c r="BI13" s="90">
        <f t="shared" si="0"/>
        <v>720</v>
      </c>
      <c r="BJ13" s="90">
        <f t="shared" si="0"/>
        <v>720</v>
      </c>
      <c r="BK13" s="90">
        <f t="shared" si="0"/>
        <v>720</v>
      </c>
      <c r="BL13" s="90">
        <f t="shared" si="0"/>
        <v>720</v>
      </c>
      <c r="BM13" s="90">
        <f t="shared" si="0"/>
        <v>720</v>
      </c>
      <c r="BN13" s="90">
        <f t="shared" si="0"/>
        <v>720</v>
      </c>
      <c r="BO13" s="90">
        <f t="shared" si="0"/>
        <v>720</v>
      </c>
      <c r="BP13" s="90">
        <f t="shared" si="0"/>
        <v>720</v>
      </c>
      <c r="BQ13" s="90">
        <f t="shared" si="0"/>
        <v>720</v>
      </c>
      <c r="BR13" s="90">
        <f t="shared" si="0"/>
        <v>720</v>
      </c>
      <c r="BS13" s="90">
        <f t="shared" si="0"/>
        <v>720</v>
      </c>
      <c r="BT13" s="90">
        <f t="shared" si="0"/>
        <v>720</v>
      </c>
      <c r="BU13" s="90">
        <f t="shared" si="0"/>
        <v>720</v>
      </c>
      <c r="BV13" s="90">
        <f t="shared" si="0"/>
        <v>720</v>
      </c>
      <c r="BW13" s="90">
        <f t="shared" ref="BW13:CA13" si="1" xml:space="preserve"> BW10 * BW11 * BW12</f>
        <v>0</v>
      </c>
      <c r="BX13" s="90">
        <f t="shared" si="1"/>
        <v>0</v>
      </c>
      <c r="BY13" s="90">
        <f t="shared" si="1"/>
        <v>0</v>
      </c>
      <c r="BZ13" s="90">
        <f t="shared" si="1"/>
        <v>0</v>
      </c>
      <c r="CA13" s="90">
        <f t="shared" si="1"/>
        <v>0</v>
      </c>
    </row>
    <row r="14" spans="1:83" x14ac:dyDescent="0.2">
      <c r="C14" s="83"/>
    </row>
    <row r="15" spans="1:83" s="96" customFormat="1" x14ac:dyDescent="0.2">
      <c r="A15" s="92"/>
      <c r="B15" s="93"/>
      <c r="C15" s="94"/>
      <c r="D15" s="95"/>
      <c r="E15" s="96" t="str">
        <f>InpS!E$9</f>
        <v>Routes - domestic scheduled</v>
      </c>
      <c r="F15" s="96">
        <f>InpS!F$9</f>
        <v>0</v>
      </c>
      <c r="G15" s="96" t="str">
        <f>InpS!G$9</f>
        <v>planes</v>
      </c>
      <c r="H15" s="96">
        <f>InpS!H$9</f>
        <v>0</v>
      </c>
      <c r="I15" s="96">
        <f>InpS!I$9</f>
        <v>0</v>
      </c>
      <c r="J15" s="96">
        <f>InpS!J$9</f>
        <v>0</v>
      </c>
      <c r="K15" s="96">
        <f>InpS!K$9</f>
        <v>0</v>
      </c>
      <c r="L15" s="96">
        <f>InpS!L$9</f>
        <v>28</v>
      </c>
      <c r="M15" s="96">
        <f>InpS!M$9</f>
        <v>28</v>
      </c>
      <c r="N15" s="96">
        <f>InpS!N$9</f>
        <v>24</v>
      </c>
      <c r="O15" s="96">
        <f>InpS!O$9</f>
        <v>24</v>
      </c>
      <c r="P15" s="96">
        <f>InpS!P$9</f>
        <v>24</v>
      </c>
      <c r="Q15" s="96">
        <f>InpS!Q$9</f>
        <v>24</v>
      </c>
      <c r="R15" s="96">
        <f>InpS!R$9</f>
        <v>20</v>
      </c>
      <c r="S15" s="96">
        <f>InpS!S$9</f>
        <v>20</v>
      </c>
      <c r="T15" s="96">
        <f>InpS!T$9</f>
        <v>20</v>
      </c>
      <c r="U15" s="96">
        <f>InpS!U$9</f>
        <v>20</v>
      </c>
      <c r="V15" s="96">
        <f>InpS!V$9</f>
        <v>20</v>
      </c>
      <c r="W15" s="96">
        <f>InpS!W$9</f>
        <v>20</v>
      </c>
      <c r="X15" s="96">
        <f>InpS!X$9</f>
        <v>20</v>
      </c>
      <c r="Y15" s="96">
        <f>InpS!Y$9</f>
        <v>20</v>
      </c>
      <c r="Z15" s="96">
        <f>InpS!Z$9</f>
        <v>20</v>
      </c>
      <c r="AA15" s="96">
        <f>InpS!AA$9</f>
        <v>20</v>
      </c>
      <c r="AB15" s="96">
        <f>InpS!AB$9</f>
        <v>20</v>
      </c>
      <c r="AC15" s="96">
        <f>InpS!AC$9</f>
        <v>20</v>
      </c>
      <c r="AD15" s="96">
        <f>InpS!AD$9</f>
        <v>20</v>
      </c>
      <c r="AE15" s="96">
        <f>InpS!AE$9</f>
        <v>20</v>
      </c>
      <c r="AF15" s="96">
        <f>InpS!AF$9</f>
        <v>20</v>
      </c>
      <c r="AG15" s="96">
        <f>InpS!AG$9</f>
        <v>20</v>
      </c>
      <c r="AH15" s="96">
        <f>InpS!AH$9</f>
        <v>20</v>
      </c>
      <c r="AI15" s="96">
        <f>InpS!AI$9</f>
        <v>20</v>
      </c>
      <c r="AJ15" s="96">
        <f>InpS!AJ$9</f>
        <v>20</v>
      </c>
      <c r="AK15" s="96">
        <f>InpS!AK$9</f>
        <v>20</v>
      </c>
      <c r="AL15" s="96">
        <f>InpS!AL$9</f>
        <v>20</v>
      </c>
      <c r="AM15" s="96">
        <f>InpS!AM$9</f>
        <v>20</v>
      </c>
      <c r="AN15" s="96">
        <f>InpS!AN$9</f>
        <v>20</v>
      </c>
      <c r="AO15" s="96">
        <f>InpS!AO$9</f>
        <v>20</v>
      </c>
      <c r="AP15" s="96">
        <f>InpS!AP$9</f>
        <v>20</v>
      </c>
      <c r="AQ15" s="96">
        <f>InpS!AQ$9</f>
        <v>20</v>
      </c>
      <c r="AR15" s="96">
        <f>InpS!AR$9</f>
        <v>20</v>
      </c>
      <c r="AS15" s="96">
        <f>InpS!AS$9</f>
        <v>20</v>
      </c>
      <c r="AT15" s="96">
        <f>InpS!AT$9</f>
        <v>20</v>
      </c>
      <c r="AU15" s="96">
        <f>InpS!AU$9</f>
        <v>20</v>
      </c>
      <c r="AV15" s="96">
        <f>InpS!AV$9</f>
        <v>20</v>
      </c>
      <c r="AW15" s="96">
        <f>InpS!AW$9</f>
        <v>20</v>
      </c>
      <c r="AX15" s="96">
        <f>InpS!AX$9</f>
        <v>20</v>
      </c>
      <c r="AY15" s="96">
        <f>InpS!AY$9</f>
        <v>20</v>
      </c>
      <c r="AZ15" s="96">
        <f>InpS!AZ$9</f>
        <v>20</v>
      </c>
      <c r="BA15" s="96">
        <f>InpS!BA$9</f>
        <v>20</v>
      </c>
      <c r="BB15" s="96">
        <f>InpS!BB$9</f>
        <v>20</v>
      </c>
      <c r="BC15" s="96">
        <f>InpS!BC$9</f>
        <v>20</v>
      </c>
      <c r="BD15" s="96">
        <f>InpS!BD$9</f>
        <v>20</v>
      </c>
      <c r="BE15" s="96">
        <f>InpS!BE$9</f>
        <v>20</v>
      </c>
      <c r="BF15" s="96">
        <f>InpS!BF$9</f>
        <v>20</v>
      </c>
      <c r="BG15" s="96">
        <f>InpS!BG$9</f>
        <v>20</v>
      </c>
      <c r="BH15" s="96">
        <f>InpS!BH$9</f>
        <v>20</v>
      </c>
      <c r="BI15" s="96">
        <f>InpS!BI$9</f>
        <v>20</v>
      </c>
      <c r="BJ15" s="96">
        <f>InpS!BJ$9</f>
        <v>20</v>
      </c>
      <c r="BK15" s="96">
        <f>InpS!BK$9</f>
        <v>20</v>
      </c>
      <c r="BL15" s="96">
        <f>InpS!BL$9</f>
        <v>20</v>
      </c>
      <c r="BM15" s="96">
        <f>InpS!BM$9</f>
        <v>20</v>
      </c>
      <c r="BN15" s="96">
        <f>InpS!BN$9</f>
        <v>20</v>
      </c>
      <c r="BO15" s="96">
        <f>InpS!BO$9</f>
        <v>20</v>
      </c>
      <c r="BP15" s="96">
        <f>InpS!BP$9</f>
        <v>20</v>
      </c>
      <c r="BQ15" s="96">
        <f>InpS!BQ$9</f>
        <v>20</v>
      </c>
      <c r="BR15" s="96">
        <f>InpS!BR$9</f>
        <v>20</v>
      </c>
      <c r="BS15" s="96">
        <f>InpS!BS$9</f>
        <v>20</v>
      </c>
      <c r="BT15" s="96">
        <f>InpS!BT$9</f>
        <v>20</v>
      </c>
      <c r="BU15" s="96">
        <f>InpS!BU$9</f>
        <v>20</v>
      </c>
      <c r="BV15" s="96">
        <f>InpS!BV$9</f>
        <v>20</v>
      </c>
      <c r="BW15" s="96">
        <f>InpS!BW$9</f>
        <v>0</v>
      </c>
      <c r="BX15" s="96">
        <f>InpS!BX$9</f>
        <v>0</v>
      </c>
      <c r="BY15" s="96">
        <f>InpS!BY$9</f>
        <v>0</v>
      </c>
      <c r="BZ15" s="96">
        <f>InpS!BZ$9</f>
        <v>0</v>
      </c>
      <c r="CA15" s="96">
        <f>InpS!CA$9</f>
        <v>0</v>
      </c>
    </row>
    <row r="16" spans="1:83" s="144" customFormat="1" x14ac:dyDescent="0.2">
      <c r="A16" s="93"/>
      <c r="B16" s="93"/>
      <c r="C16" s="94"/>
      <c r="D16" s="143"/>
      <c r="E16" s="144" t="str">
        <f>InpS!E$14</f>
        <v>Landing frequency - domestic scheduled</v>
      </c>
      <c r="F16" s="144">
        <f>InpS!F$14</f>
        <v>0</v>
      </c>
      <c r="G16" s="144" t="str">
        <f>InpS!G$14</f>
        <v>lands / plane</v>
      </c>
      <c r="H16" s="144">
        <f>InpS!H$14</f>
        <v>0</v>
      </c>
      <c r="I16" s="144">
        <f>InpS!I$14</f>
        <v>0</v>
      </c>
      <c r="J16" s="144">
        <f>InpS!J$14</f>
        <v>0</v>
      </c>
      <c r="K16" s="144">
        <f>InpS!K$14</f>
        <v>0</v>
      </c>
      <c r="L16" s="144">
        <f>InpS!L$14</f>
        <v>250</v>
      </c>
      <c r="M16" s="144">
        <f>InpS!M$14</f>
        <v>270</v>
      </c>
      <c r="N16" s="144">
        <f>InpS!N$14</f>
        <v>250</v>
      </c>
      <c r="O16" s="144">
        <f>InpS!O$14</f>
        <v>270</v>
      </c>
      <c r="P16" s="144">
        <f>InpS!P$14</f>
        <v>250</v>
      </c>
      <c r="Q16" s="144">
        <f>InpS!Q$14</f>
        <v>270</v>
      </c>
      <c r="R16" s="144">
        <f>InpS!R$14</f>
        <v>250</v>
      </c>
      <c r="S16" s="144">
        <f>InpS!S$14</f>
        <v>270</v>
      </c>
      <c r="T16" s="144">
        <f>InpS!T$14</f>
        <v>250</v>
      </c>
      <c r="U16" s="144">
        <f>InpS!U$14</f>
        <v>270</v>
      </c>
      <c r="V16" s="144">
        <f>InpS!V$14</f>
        <v>250</v>
      </c>
      <c r="W16" s="144">
        <f>InpS!W$14</f>
        <v>270</v>
      </c>
      <c r="X16" s="144">
        <f>InpS!X$14</f>
        <v>250</v>
      </c>
      <c r="Y16" s="144">
        <f>InpS!Y$14</f>
        <v>270</v>
      </c>
      <c r="Z16" s="144">
        <f>InpS!Z$14</f>
        <v>250</v>
      </c>
      <c r="AA16" s="144">
        <f>InpS!AA$14</f>
        <v>270</v>
      </c>
      <c r="AB16" s="144">
        <f>InpS!AB$14</f>
        <v>250</v>
      </c>
      <c r="AC16" s="144">
        <f>InpS!AC$14</f>
        <v>270</v>
      </c>
      <c r="AD16" s="144">
        <f>InpS!AD$14</f>
        <v>250</v>
      </c>
      <c r="AE16" s="144">
        <f>InpS!AE$14</f>
        <v>270</v>
      </c>
      <c r="AF16" s="144">
        <f>InpS!AF$14</f>
        <v>250</v>
      </c>
      <c r="AG16" s="144">
        <f>InpS!AG$14</f>
        <v>270</v>
      </c>
      <c r="AH16" s="144">
        <f>InpS!AH$14</f>
        <v>250</v>
      </c>
      <c r="AI16" s="144">
        <f>InpS!AI$14</f>
        <v>270</v>
      </c>
      <c r="AJ16" s="144">
        <f>InpS!AJ$14</f>
        <v>250</v>
      </c>
      <c r="AK16" s="144">
        <f>InpS!AK$14</f>
        <v>270</v>
      </c>
      <c r="AL16" s="144">
        <f>InpS!AL$14</f>
        <v>250</v>
      </c>
      <c r="AM16" s="144">
        <f>InpS!AM$14</f>
        <v>270</v>
      </c>
      <c r="AN16" s="144">
        <f>InpS!AN$14</f>
        <v>250</v>
      </c>
      <c r="AO16" s="144">
        <f>InpS!AO$14</f>
        <v>270</v>
      </c>
      <c r="AP16" s="144">
        <f>InpS!AP$14</f>
        <v>250</v>
      </c>
      <c r="AQ16" s="144">
        <f>InpS!AQ$14</f>
        <v>270</v>
      </c>
      <c r="AR16" s="144">
        <f>InpS!AR$14</f>
        <v>250</v>
      </c>
      <c r="AS16" s="144">
        <f>InpS!AS$14</f>
        <v>270</v>
      </c>
      <c r="AT16" s="144">
        <f>InpS!AT$14</f>
        <v>250</v>
      </c>
      <c r="AU16" s="144">
        <f>InpS!AU$14</f>
        <v>270</v>
      </c>
      <c r="AV16" s="144">
        <f>InpS!AV$14</f>
        <v>250</v>
      </c>
      <c r="AW16" s="144">
        <f>InpS!AW$14</f>
        <v>270</v>
      </c>
      <c r="AX16" s="144">
        <f>InpS!AX$14</f>
        <v>250</v>
      </c>
      <c r="AY16" s="144">
        <f>InpS!AY$14</f>
        <v>270</v>
      </c>
      <c r="AZ16" s="144">
        <f>InpS!AZ$14</f>
        <v>250</v>
      </c>
      <c r="BA16" s="144">
        <f>InpS!BA$14</f>
        <v>270</v>
      </c>
      <c r="BB16" s="144">
        <f>InpS!BB$14</f>
        <v>250</v>
      </c>
      <c r="BC16" s="144">
        <f>InpS!BC$14</f>
        <v>270</v>
      </c>
      <c r="BD16" s="144">
        <f>InpS!BD$14</f>
        <v>250</v>
      </c>
      <c r="BE16" s="144">
        <f>InpS!BE$14</f>
        <v>270</v>
      </c>
      <c r="BF16" s="144">
        <f>InpS!BF$14</f>
        <v>250</v>
      </c>
      <c r="BG16" s="144">
        <f>InpS!BG$14</f>
        <v>270</v>
      </c>
      <c r="BH16" s="144">
        <f>InpS!BH$14</f>
        <v>250</v>
      </c>
      <c r="BI16" s="144">
        <f>InpS!BI$14</f>
        <v>250</v>
      </c>
      <c r="BJ16" s="144">
        <f>InpS!BJ$14</f>
        <v>270</v>
      </c>
      <c r="BK16" s="144">
        <f>InpS!BK$14</f>
        <v>250</v>
      </c>
      <c r="BL16" s="144">
        <f>InpS!BL$14</f>
        <v>270</v>
      </c>
      <c r="BM16" s="144">
        <f>InpS!BM$14</f>
        <v>250</v>
      </c>
      <c r="BN16" s="144">
        <f>InpS!BN$14</f>
        <v>270</v>
      </c>
      <c r="BO16" s="144">
        <f>InpS!BO$14</f>
        <v>250</v>
      </c>
      <c r="BP16" s="144">
        <f>InpS!BP$14</f>
        <v>270</v>
      </c>
      <c r="BQ16" s="144">
        <f>InpS!BQ$14</f>
        <v>250</v>
      </c>
      <c r="BR16" s="144">
        <f>InpS!BR$14</f>
        <v>250</v>
      </c>
      <c r="BS16" s="144">
        <f>InpS!BS$14</f>
        <v>270</v>
      </c>
      <c r="BT16" s="144">
        <f>InpS!BT$14</f>
        <v>270</v>
      </c>
      <c r="BU16" s="144">
        <f>InpS!BU$14</f>
        <v>270</v>
      </c>
      <c r="BV16" s="144">
        <f>InpS!BV$14</f>
        <v>270</v>
      </c>
      <c r="BW16" s="144">
        <f>InpS!BW$14</f>
        <v>0</v>
      </c>
      <c r="BX16" s="144">
        <f>InpS!BX$14</f>
        <v>0</v>
      </c>
      <c r="BY16" s="144">
        <f>InpS!BY$14</f>
        <v>0</v>
      </c>
      <c r="BZ16" s="144">
        <f>InpS!BZ$14</f>
        <v>0</v>
      </c>
      <c r="CA16" s="144">
        <f>InpS!CA$14</f>
        <v>0</v>
      </c>
      <c r="CB16" s="144">
        <v>270</v>
      </c>
      <c r="CC16" s="144">
        <v>168</v>
      </c>
      <c r="CD16" s="144">
        <v>84</v>
      </c>
      <c r="CE16" s="144">
        <v>168</v>
      </c>
    </row>
    <row r="17" spans="1:79" s="197" customFormat="1" x14ac:dyDescent="0.2">
      <c r="A17" s="264"/>
      <c r="B17" s="264"/>
      <c r="C17" s="265"/>
      <c r="D17" s="266"/>
      <c r="E17" s="197" t="str">
        <f>'T&amp;E'!E$24</f>
        <v>Operating period flag</v>
      </c>
      <c r="F17" s="197">
        <f>'T&amp;E'!F$24</f>
        <v>0</v>
      </c>
      <c r="G17" s="197" t="str">
        <f>'T&amp;E'!G$24</f>
        <v>flag</v>
      </c>
      <c r="H17" s="197">
        <f>'T&amp;E'!H$24</f>
        <v>60</v>
      </c>
      <c r="I17" s="197">
        <f>'T&amp;E'!I$24</f>
        <v>0</v>
      </c>
      <c r="J17" s="197">
        <f>'T&amp;E'!J$24</f>
        <v>0</v>
      </c>
      <c r="K17" s="197">
        <f>'T&amp;E'!K$24</f>
        <v>0</v>
      </c>
      <c r="L17" s="197">
        <f>'T&amp;E'!L$24</f>
        <v>0</v>
      </c>
      <c r="M17" s="197">
        <f>'T&amp;E'!M$24</f>
        <v>0</v>
      </c>
      <c r="N17" s="197">
        <f>'T&amp;E'!N$24</f>
        <v>0</v>
      </c>
      <c r="O17" s="197">
        <f>'T&amp;E'!O$24</f>
        <v>1</v>
      </c>
      <c r="P17" s="197">
        <f>'T&amp;E'!P$24</f>
        <v>1</v>
      </c>
      <c r="Q17" s="197">
        <f>'T&amp;E'!Q$24</f>
        <v>1</v>
      </c>
      <c r="R17" s="197">
        <f>'T&amp;E'!R$24</f>
        <v>1</v>
      </c>
      <c r="S17" s="197">
        <f>'T&amp;E'!S$24</f>
        <v>1</v>
      </c>
      <c r="T17" s="197">
        <f>'T&amp;E'!T$24</f>
        <v>1</v>
      </c>
      <c r="U17" s="197">
        <f>'T&amp;E'!U$24</f>
        <v>1</v>
      </c>
      <c r="V17" s="197">
        <f>'T&amp;E'!V$24</f>
        <v>1</v>
      </c>
      <c r="W17" s="197">
        <f>'T&amp;E'!W$24</f>
        <v>1</v>
      </c>
      <c r="X17" s="197">
        <f>'T&amp;E'!X$24</f>
        <v>1</v>
      </c>
      <c r="Y17" s="197">
        <f>'T&amp;E'!Y$24</f>
        <v>1</v>
      </c>
      <c r="Z17" s="197">
        <f>'T&amp;E'!Z$24</f>
        <v>1</v>
      </c>
      <c r="AA17" s="197">
        <f>'T&amp;E'!AA$24</f>
        <v>1</v>
      </c>
      <c r="AB17" s="197">
        <f>'T&amp;E'!AB$24</f>
        <v>1</v>
      </c>
      <c r="AC17" s="197">
        <f>'T&amp;E'!AC$24</f>
        <v>1</v>
      </c>
      <c r="AD17" s="197">
        <f>'T&amp;E'!AD$24</f>
        <v>1</v>
      </c>
      <c r="AE17" s="197">
        <f>'T&amp;E'!AE$24</f>
        <v>1</v>
      </c>
      <c r="AF17" s="197">
        <f>'T&amp;E'!AF$24</f>
        <v>1</v>
      </c>
      <c r="AG17" s="197">
        <f>'T&amp;E'!AG$24</f>
        <v>1</v>
      </c>
      <c r="AH17" s="197">
        <f>'T&amp;E'!AH$24</f>
        <v>1</v>
      </c>
      <c r="AI17" s="197">
        <f>'T&amp;E'!AI$24</f>
        <v>1</v>
      </c>
      <c r="AJ17" s="197">
        <f>'T&amp;E'!AJ$24</f>
        <v>1</v>
      </c>
      <c r="AK17" s="197">
        <f>'T&amp;E'!AK$24</f>
        <v>1</v>
      </c>
      <c r="AL17" s="197">
        <f>'T&amp;E'!AL$24</f>
        <v>1</v>
      </c>
      <c r="AM17" s="197">
        <f>'T&amp;E'!AM$24</f>
        <v>1</v>
      </c>
      <c r="AN17" s="197">
        <f>'T&amp;E'!AN$24</f>
        <v>1</v>
      </c>
      <c r="AO17" s="197">
        <f>'T&amp;E'!AO$24</f>
        <v>1</v>
      </c>
      <c r="AP17" s="197">
        <f>'T&amp;E'!AP$24</f>
        <v>1</v>
      </c>
      <c r="AQ17" s="197">
        <f>'T&amp;E'!AQ$24</f>
        <v>1</v>
      </c>
      <c r="AR17" s="197">
        <f>'T&amp;E'!AR$24</f>
        <v>1</v>
      </c>
      <c r="AS17" s="197">
        <f>'T&amp;E'!AS$24</f>
        <v>1</v>
      </c>
      <c r="AT17" s="197">
        <f>'T&amp;E'!AT$24</f>
        <v>1</v>
      </c>
      <c r="AU17" s="197">
        <f>'T&amp;E'!AU$24</f>
        <v>1</v>
      </c>
      <c r="AV17" s="197">
        <f>'T&amp;E'!AV$24</f>
        <v>1</v>
      </c>
      <c r="AW17" s="197">
        <f>'T&amp;E'!AW$24</f>
        <v>1</v>
      </c>
      <c r="AX17" s="197">
        <f>'T&amp;E'!AX$24</f>
        <v>1</v>
      </c>
      <c r="AY17" s="197">
        <f>'T&amp;E'!AY$24</f>
        <v>1</v>
      </c>
      <c r="AZ17" s="197">
        <f>'T&amp;E'!AZ$24</f>
        <v>1</v>
      </c>
      <c r="BA17" s="197">
        <f>'T&amp;E'!BA$24</f>
        <v>1</v>
      </c>
      <c r="BB17" s="197">
        <f>'T&amp;E'!BB$24</f>
        <v>1</v>
      </c>
      <c r="BC17" s="197">
        <f>'T&amp;E'!BC$24</f>
        <v>1</v>
      </c>
      <c r="BD17" s="197">
        <f>'T&amp;E'!BD$24</f>
        <v>1</v>
      </c>
      <c r="BE17" s="197">
        <f>'T&amp;E'!BE$24</f>
        <v>1</v>
      </c>
      <c r="BF17" s="197">
        <f>'T&amp;E'!BF$24</f>
        <v>1</v>
      </c>
      <c r="BG17" s="197">
        <f>'T&amp;E'!BG$24</f>
        <v>1</v>
      </c>
      <c r="BH17" s="197">
        <f>'T&amp;E'!BH$24</f>
        <v>1</v>
      </c>
      <c r="BI17" s="197">
        <f>'T&amp;E'!BI$24</f>
        <v>1</v>
      </c>
      <c r="BJ17" s="197">
        <f>'T&amp;E'!BJ$24</f>
        <v>1</v>
      </c>
      <c r="BK17" s="197">
        <f>'T&amp;E'!BK$24</f>
        <v>1</v>
      </c>
      <c r="BL17" s="197">
        <f>'T&amp;E'!BL$24</f>
        <v>1</v>
      </c>
      <c r="BM17" s="197">
        <f>'T&amp;E'!BM$24</f>
        <v>1</v>
      </c>
      <c r="BN17" s="197">
        <f>'T&amp;E'!BN$24</f>
        <v>1</v>
      </c>
      <c r="BO17" s="197">
        <f>'T&amp;E'!BO$24</f>
        <v>1</v>
      </c>
      <c r="BP17" s="197">
        <f>'T&amp;E'!BP$24</f>
        <v>1</v>
      </c>
      <c r="BQ17" s="197">
        <f>'T&amp;E'!BQ$24</f>
        <v>1</v>
      </c>
      <c r="BR17" s="197">
        <f>'T&amp;E'!BR$24</f>
        <v>1</v>
      </c>
      <c r="BS17" s="197">
        <f>'T&amp;E'!BS$24</f>
        <v>1</v>
      </c>
      <c r="BT17" s="197">
        <f>'T&amp;E'!BT$24</f>
        <v>1</v>
      </c>
      <c r="BU17" s="197">
        <f>'T&amp;E'!BU$24</f>
        <v>1</v>
      </c>
      <c r="BV17" s="197">
        <f>'T&amp;E'!BV$24</f>
        <v>1</v>
      </c>
      <c r="BW17" s="197">
        <f>'T&amp;E'!BW$24</f>
        <v>0</v>
      </c>
      <c r="BX17" s="197">
        <f>'T&amp;E'!BX$24</f>
        <v>0</v>
      </c>
      <c r="BY17" s="197">
        <f>'T&amp;E'!BY$24</f>
        <v>0</v>
      </c>
      <c r="BZ17" s="197">
        <f>'T&amp;E'!BZ$24</f>
        <v>0</v>
      </c>
      <c r="CA17" s="197">
        <f>'T&amp;E'!CA$24</f>
        <v>0</v>
      </c>
    </row>
    <row r="18" spans="1:79" s="90" customFormat="1" x14ac:dyDescent="0.2">
      <c r="A18" s="82"/>
      <c r="B18" s="82"/>
      <c r="C18" s="83"/>
      <c r="D18" s="89"/>
      <c r="E18" s="90" t="s">
        <v>49</v>
      </c>
      <c r="G18" s="90" t="s">
        <v>72</v>
      </c>
      <c r="H18" s="90">
        <f>SUM(J18:CA18)</f>
        <v>315560</v>
      </c>
      <c r="J18" s="90">
        <f xml:space="preserve"> J15 * J16 * J17</f>
        <v>0</v>
      </c>
      <c r="K18" s="90">
        <f t="shared" ref="K18:BV18" si="2" xml:space="preserve"> K15 * K16 * K17</f>
        <v>0</v>
      </c>
      <c r="L18" s="90">
        <f t="shared" si="2"/>
        <v>0</v>
      </c>
      <c r="M18" s="90">
        <f t="shared" si="2"/>
        <v>0</v>
      </c>
      <c r="N18" s="90">
        <f t="shared" si="2"/>
        <v>0</v>
      </c>
      <c r="O18" s="90">
        <f t="shared" si="2"/>
        <v>6480</v>
      </c>
      <c r="P18" s="90">
        <f t="shared" si="2"/>
        <v>6000</v>
      </c>
      <c r="Q18" s="90">
        <f t="shared" si="2"/>
        <v>6480</v>
      </c>
      <c r="R18" s="90">
        <f t="shared" si="2"/>
        <v>5000</v>
      </c>
      <c r="S18" s="90">
        <f t="shared" si="2"/>
        <v>5400</v>
      </c>
      <c r="T18" s="90">
        <f t="shared" si="2"/>
        <v>5000</v>
      </c>
      <c r="U18" s="90">
        <f t="shared" si="2"/>
        <v>5400</v>
      </c>
      <c r="V18" s="90">
        <f t="shared" si="2"/>
        <v>5000</v>
      </c>
      <c r="W18" s="90">
        <f t="shared" si="2"/>
        <v>5400</v>
      </c>
      <c r="X18" s="90">
        <f t="shared" si="2"/>
        <v>5000</v>
      </c>
      <c r="Y18" s="90">
        <f t="shared" si="2"/>
        <v>5400</v>
      </c>
      <c r="Z18" s="90">
        <f t="shared" si="2"/>
        <v>5000</v>
      </c>
      <c r="AA18" s="90">
        <f t="shared" si="2"/>
        <v>5400</v>
      </c>
      <c r="AB18" s="90">
        <f t="shared" si="2"/>
        <v>5000</v>
      </c>
      <c r="AC18" s="90">
        <f t="shared" si="2"/>
        <v>5400</v>
      </c>
      <c r="AD18" s="90">
        <f t="shared" si="2"/>
        <v>5000</v>
      </c>
      <c r="AE18" s="90">
        <f t="shared" si="2"/>
        <v>5400</v>
      </c>
      <c r="AF18" s="90">
        <f t="shared" si="2"/>
        <v>5000</v>
      </c>
      <c r="AG18" s="90">
        <f t="shared" si="2"/>
        <v>5400</v>
      </c>
      <c r="AH18" s="90">
        <f t="shared" si="2"/>
        <v>5000</v>
      </c>
      <c r="AI18" s="90">
        <f t="shared" si="2"/>
        <v>5400</v>
      </c>
      <c r="AJ18" s="90">
        <f t="shared" si="2"/>
        <v>5000</v>
      </c>
      <c r="AK18" s="90">
        <f t="shared" si="2"/>
        <v>5400</v>
      </c>
      <c r="AL18" s="90">
        <f t="shared" si="2"/>
        <v>5000</v>
      </c>
      <c r="AM18" s="90">
        <f t="shared" si="2"/>
        <v>5400</v>
      </c>
      <c r="AN18" s="90">
        <f t="shared" si="2"/>
        <v>5000</v>
      </c>
      <c r="AO18" s="90">
        <f t="shared" si="2"/>
        <v>5400</v>
      </c>
      <c r="AP18" s="90">
        <f t="shared" si="2"/>
        <v>5000</v>
      </c>
      <c r="AQ18" s="90">
        <f t="shared" si="2"/>
        <v>5400</v>
      </c>
      <c r="AR18" s="90">
        <f t="shared" si="2"/>
        <v>5000</v>
      </c>
      <c r="AS18" s="90">
        <f t="shared" si="2"/>
        <v>5400</v>
      </c>
      <c r="AT18" s="90">
        <f t="shared" si="2"/>
        <v>5000</v>
      </c>
      <c r="AU18" s="90">
        <f t="shared" si="2"/>
        <v>5400</v>
      </c>
      <c r="AV18" s="90">
        <f t="shared" si="2"/>
        <v>5000</v>
      </c>
      <c r="AW18" s="90">
        <f t="shared" si="2"/>
        <v>5400</v>
      </c>
      <c r="AX18" s="90">
        <f t="shared" si="2"/>
        <v>5000</v>
      </c>
      <c r="AY18" s="90">
        <f t="shared" si="2"/>
        <v>5400</v>
      </c>
      <c r="AZ18" s="90">
        <f t="shared" si="2"/>
        <v>5000</v>
      </c>
      <c r="BA18" s="90">
        <f t="shared" si="2"/>
        <v>5400</v>
      </c>
      <c r="BB18" s="90">
        <f t="shared" si="2"/>
        <v>5000</v>
      </c>
      <c r="BC18" s="90">
        <f t="shared" si="2"/>
        <v>5400</v>
      </c>
      <c r="BD18" s="90">
        <f t="shared" si="2"/>
        <v>5000</v>
      </c>
      <c r="BE18" s="90">
        <f t="shared" si="2"/>
        <v>5400</v>
      </c>
      <c r="BF18" s="90">
        <f t="shared" si="2"/>
        <v>5000</v>
      </c>
      <c r="BG18" s="90">
        <f t="shared" si="2"/>
        <v>5400</v>
      </c>
      <c r="BH18" s="90">
        <f t="shared" si="2"/>
        <v>5000</v>
      </c>
      <c r="BI18" s="90">
        <f t="shared" si="2"/>
        <v>5000</v>
      </c>
      <c r="BJ18" s="90">
        <f t="shared" si="2"/>
        <v>5400</v>
      </c>
      <c r="BK18" s="90">
        <f t="shared" si="2"/>
        <v>5000</v>
      </c>
      <c r="BL18" s="90">
        <f t="shared" si="2"/>
        <v>5400</v>
      </c>
      <c r="BM18" s="90">
        <f t="shared" si="2"/>
        <v>5000</v>
      </c>
      <c r="BN18" s="90">
        <f t="shared" si="2"/>
        <v>5400</v>
      </c>
      <c r="BO18" s="90">
        <f t="shared" si="2"/>
        <v>5000</v>
      </c>
      <c r="BP18" s="90">
        <f t="shared" si="2"/>
        <v>5400</v>
      </c>
      <c r="BQ18" s="90">
        <f t="shared" si="2"/>
        <v>5000</v>
      </c>
      <c r="BR18" s="90">
        <f t="shared" si="2"/>
        <v>5000</v>
      </c>
      <c r="BS18" s="90">
        <f t="shared" si="2"/>
        <v>5400</v>
      </c>
      <c r="BT18" s="90">
        <f t="shared" si="2"/>
        <v>5400</v>
      </c>
      <c r="BU18" s="90">
        <f t="shared" si="2"/>
        <v>5400</v>
      </c>
      <c r="BV18" s="90">
        <f t="shared" si="2"/>
        <v>5400</v>
      </c>
      <c r="BW18" s="90">
        <f t="shared" ref="BW18:CA18" si="3" xml:space="preserve"> BW15 * BW16 * BW17</f>
        <v>0</v>
      </c>
      <c r="BX18" s="90">
        <f t="shared" si="3"/>
        <v>0</v>
      </c>
      <c r="BY18" s="90">
        <f t="shared" si="3"/>
        <v>0</v>
      </c>
      <c r="BZ18" s="90">
        <f t="shared" si="3"/>
        <v>0</v>
      </c>
      <c r="CA18" s="90">
        <f t="shared" si="3"/>
        <v>0</v>
      </c>
    </row>
    <row r="19" spans="1:79" x14ac:dyDescent="0.2">
      <c r="C19" s="83"/>
    </row>
    <row r="20" spans="1:79" s="144" customFormat="1" x14ac:dyDescent="0.2">
      <c r="A20" s="93"/>
      <c r="B20" s="93"/>
      <c r="C20" s="94"/>
      <c r="D20" s="143"/>
      <c r="E20" s="144" t="str">
        <f>InpS!E$10</f>
        <v>Routes - international charter</v>
      </c>
      <c r="F20" s="144">
        <f>InpS!F$10</f>
        <v>0</v>
      </c>
      <c r="G20" s="144" t="str">
        <f>InpS!G$10</f>
        <v>planes</v>
      </c>
      <c r="H20" s="144">
        <f>InpS!H$10</f>
        <v>0</v>
      </c>
      <c r="I20" s="144">
        <f>InpS!I$10</f>
        <v>0</v>
      </c>
      <c r="J20" s="144">
        <f>InpS!J$10</f>
        <v>0</v>
      </c>
      <c r="K20" s="144">
        <f>InpS!K$10</f>
        <v>0</v>
      </c>
      <c r="L20" s="144">
        <f>InpS!L$10</f>
        <v>30</v>
      </c>
      <c r="M20" s="144">
        <f>InpS!M$10</f>
        <v>30</v>
      </c>
      <c r="N20" s="144">
        <f>InpS!N$10</f>
        <v>30</v>
      </c>
      <c r="O20" s="144">
        <f>InpS!O$10</f>
        <v>30</v>
      </c>
      <c r="P20" s="144">
        <f>InpS!P$10</f>
        <v>30</v>
      </c>
      <c r="Q20" s="144">
        <f>InpS!Q$10</f>
        <v>30</v>
      </c>
      <c r="R20" s="144">
        <f>InpS!R$10</f>
        <v>30</v>
      </c>
      <c r="S20" s="144">
        <f>InpS!S$10</f>
        <v>30</v>
      </c>
      <c r="T20" s="144">
        <f>InpS!T$10</f>
        <v>30</v>
      </c>
      <c r="U20" s="144">
        <f>InpS!U$10</f>
        <v>30</v>
      </c>
      <c r="V20" s="144">
        <f>InpS!V$10</f>
        <v>30</v>
      </c>
      <c r="W20" s="144">
        <f>InpS!W$10</f>
        <v>30</v>
      </c>
      <c r="X20" s="144">
        <f>InpS!X$10</f>
        <v>30</v>
      </c>
      <c r="Y20" s="144">
        <f>InpS!Y$10</f>
        <v>30</v>
      </c>
      <c r="Z20" s="144">
        <f>InpS!Z$10</f>
        <v>30</v>
      </c>
      <c r="AA20" s="144">
        <f>InpS!AA$10</f>
        <v>30</v>
      </c>
      <c r="AB20" s="144">
        <f>InpS!AB$10</f>
        <v>30</v>
      </c>
      <c r="AC20" s="144">
        <f>InpS!AC$10</f>
        <v>30</v>
      </c>
      <c r="AD20" s="144">
        <f>InpS!AD$10</f>
        <v>30</v>
      </c>
      <c r="AE20" s="144">
        <f>InpS!AE$10</f>
        <v>30</v>
      </c>
      <c r="AF20" s="144">
        <f>InpS!AF$10</f>
        <v>30</v>
      </c>
      <c r="AG20" s="144">
        <f>InpS!AG$10</f>
        <v>30</v>
      </c>
      <c r="AH20" s="144">
        <f>InpS!AH$10</f>
        <v>30</v>
      </c>
      <c r="AI20" s="144">
        <f>InpS!AI$10</f>
        <v>30</v>
      </c>
      <c r="AJ20" s="144">
        <f>InpS!AJ$10</f>
        <v>30</v>
      </c>
      <c r="AK20" s="144">
        <f>InpS!AK$10</f>
        <v>30</v>
      </c>
      <c r="AL20" s="144">
        <f>InpS!AL$10</f>
        <v>30</v>
      </c>
      <c r="AM20" s="144">
        <f>InpS!AM$10</f>
        <v>30</v>
      </c>
      <c r="AN20" s="144">
        <f>InpS!AN$10</f>
        <v>30</v>
      </c>
      <c r="AO20" s="144">
        <f>InpS!AO$10</f>
        <v>30</v>
      </c>
      <c r="AP20" s="144">
        <f>InpS!AP$10</f>
        <v>30</v>
      </c>
      <c r="AQ20" s="144">
        <f>InpS!AQ$10</f>
        <v>30</v>
      </c>
      <c r="AR20" s="144">
        <f>InpS!AR$10</f>
        <v>30</v>
      </c>
      <c r="AS20" s="144">
        <f>InpS!AS$10</f>
        <v>30</v>
      </c>
      <c r="AT20" s="144">
        <f>InpS!AT$10</f>
        <v>30</v>
      </c>
      <c r="AU20" s="144">
        <f>InpS!AU$10</f>
        <v>30</v>
      </c>
      <c r="AV20" s="144">
        <f>InpS!AV$10</f>
        <v>30</v>
      </c>
      <c r="AW20" s="144">
        <f>InpS!AW$10</f>
        <v>30</v>
      </c>
      <c r="AX20" s="144">
        <f>InpS!AX$10</f>
        <v>30</v>
      </c>
      <c r="AY20" s="144">
        <f>InpS!AY$10</f>
        <v>30</v>
      </c>
      <c r="AZ20" s="144">
        <f>InpS!AZ$10</f>
        <v>30</v>
      </c>
      <c r="BA20" s="144">
        <f>InpS!BA$10</f>
        <v>30</v>
      </c>
      <c r="BB20" s="144">
        <f>InpS!BB$10</f>
        <v>30</v>
      </c>
      <c r="BC20" s="144">
        <f>InpS!BC$10</f>
        <v>30</v>
      </c>
      <c r="BD20" s="144">
        <f>InpS!BD$10</f>
        <v>30</v>
      </c>
      <c r="BE20" s="144">
        <f>InpS!BE$10</f>
        <v>30</v>
      </c>
      <c r="BF20" s="144">
        <f>InpS!BF$10</f>
        <v>30</v>
      </c>
      <c r="BG20" s="144">
        <f>InpS!BG$10</f>
        <v>30</v>
      </c>
      <c r="BH20" s="144">
        <f>InpS!BH$10</f>
        <v>30</v>
      </c>
      <c r="BI20" s="144">
        <f>InpS!BI$10</f>
        <v>30</v>
      </c>
      <c r="BJ20" s="144">
        <f>InpS!BJ$10</f>
        <v>30</v>
      </c>
      <c r="BK20" s="144">
        <f>InpS!BK$10</f>
        <v>30</v>
      </c>
      <c r="BL20" s="144">
        <f>InpS!BL$10</f>
        <v>30</v>
      </c>
      <c r="BM20" s="144">
        <f>InpS!BM$10</f>
        <v>30</v>
      </c>
      <c r="BN20" s="144">
        <f>InpS!BN$10</f>
        <v>30</v>
      </c>
      <c r="BO20" s="144">
        <f>InpS!BO$10</f>
        <v>30</v>
      </c>
      <c r="BP20" s="144">
        <f>InpS!BP$10</f>
        <v>30</v>
      </c>
      <c r="BQ20" s="144">
        <f>InpS!BQ$10</f>
        <v>30</v>
      </c>
      <c r="BR20" s="144">
        <f>InpS!BR$10</f>
        <v>30</v>
      </c>
      <c r="BS20" s="144">
        <f>InpS!BS$10</f>
        <v>30</v>
      </c>
      <c r="BT20" s="144">
        <f>InpS!BT$10</f>
        <v>30</v>
      </c>
      <c r="BU20" s="144">
        <f>InpS!BU$10</f>
        <v>30</v>
      </c>
      <c r="BV20" s="144">
        <f>InpS!BV$10</f>
        <v>30</v>
      </c>
      <c r="BW20" s="144">
        <f>InpS!BW$10</f>
        <v>0</v>
      </c>
      <c r="BX20" s="144">
        <f>InpS!BX$10</f>
        <v>0</v>
      </c>
      <c r="BY20" s="144">
        <f>InpS!BY$10</f>
        <v>0</v>
      </c>
      <c r="BZ20" s="144">
        <f>InpS!BZ$10</f>
        <v>0</v>
      </c>
      <c r="CA20" s="144">
        <f>InpS!CA$10</f>
        <v>0</v>
      </c>
    </row>
    <row r="21" spans="1:79" s="144" customFormat="1" x14ac:dyDescent="0.2">
      <c r="A21" s="93"/>
      <c r="B21" s="93"/>
      <c r="C21" s="94"/>
      <c r="D21" s="143"/>
      <c r="E21" s="144" t="str">
        <f>InpS!E$15</f>
        <v>Landing frequency - international charter</v>
      </c>
      <c r="F21" s="144">
        <f>InpS!F$15</f>
        <v>0</v>
      </c>
      <c r="G21" s="144" t="str">
        <f>InpS!G$15</f>
        <v>lands / plane</v>
      </c>
      <c r="H21" s="144">
        <f>InpS!H$15</f>
        <v>0</v>
      </c>
      <c r="I21" s="144">
        <f>InpS!I$15</f>
        <v>0</v>
      </c>
      <c r="J21" s="144">
        <f>InpS!J$15</f>
        <v>0</v>
      </c>
      <c r="K21" s="144">
        <f>InpS!K$15</f>
        <v>0</v>
      </c>
      <c r="L21" s="144">
        <f>InpS!L$15</f>
        <v>40</v>
      </c>
      <c r="M21" s="144">
        <f>InpS!M$15</f>
        <v>40</v>
      </c>
      <c r="N21" s="144">
        <f>InpS!N$15</f>
        <v>45</v>
      </c>
      <c r="O21" s="144">
        <f>InpS!O$15</f>
        <v>45</v>
      </c>
      <c r="P21" s="144">
        <f>InpS!P$15</f>
        <v>50</v>
      </c>
      <c r="Q21" s="144">
        <f>InpS!Q$15</f>
        <v>50</v>
      </c>
      <c r="R21" s="144">
        <f>InpS!R$15</f>
        <v>55</v>
      </c>
      <c r="S21" s="144">
        <f>InpS!S$15</f>
        <v>55</v>
      </c>
      <c r="T21" s="144">
        <f>InpS!T$15</f>
        <v>60</v>
      </c>
      <c r="U21" s="144">
        <f>InpS!U$15</f>
        <v>60</v>
      </c>
      <c r="V21" s="144">
        <f>InpS!V$15</f>
        <v>65</v>
      </c>
      <c r="W21" s="144">
        <f>InpS!W$15</f>
        <v>65</v>
      </c>
      <c r="X21" s="144">
        <f>InpS!X$15</f>
        <v>70</v>
      </c>
      <c r="Y21" s="144">
        <f>InpS!Y$15</f>
        <v>70</v>
      </c>
      <c r="Z21" s="144">
        <f>InpS!Z$15</f>
        <v>70</v>
      </c>
      <c r="AA21" s="144">
        <f>InpS!AA$15</f>
        <v>70</v>
      </c>
      <c r="AB21" s="144">
        <f>InpS!AB$15</f>
        <v>70</v>
      </c>
      <c r="AC21" s="144">
        <f>InpS!AC$15</f>
        <v>70</v>
      </c>
      <c r="AD21" s="144">
        <f>InpS!AD$15</f>
        <v>70</v>
      </c>
      <c r="AE21" s="144">
        <f>InpS!AE$15</f>
        <v>70</v>
      </c>
      <c r="AF21" s="144">
        <f>InpS!AF$15</f>
        <v>70</v>
      </c>
      <c r="AG21" s="144">
        <f>InpS!AG$15</f>
        <v>70</v>
      </c>
      <c r="AH21" s="144">
        <f>InpS!AH$15</f>
        <v>70</v>
      </c>
      <c r="AI21" s="144">
        <f>InpS!AI$15</f>
        <v>70</v>
      </c>
      <c r="AJ21" s="144">
        <f>InpS!AJ$15</f>
        <v>70</v>
      </c>
      <c r="AK21" s="144">
        <f>InpS!AK$15</f>
        <v>70</v>
      </c>
      <c r="AL21" s="144">
        <f>InpS!AL$15</f>
        <v>70</v>
      </c>
      <c r="AM21" s="144">
        <f>InpS!AM$15</f>
        <v>70</v>
      </c>
      <c r="AN21" s="144">
        <f>InpS!AN$15</f>
        <v>70</v>
      </c>
      <c r="AO21" s="144">
        <f>InpS!AO$15</f>
        <v>70</v>
      </c>
      <c r="AP21" s="144">
        <f>InpS!AP$15</f>
        <v>70</v>
      </c>
      <c r="AQ21" s="144">
        <f>InpS!AQ$15</f>
        <v>70</v>
      </c>
      <c r="AR21" s="144">
        <f>InpS!AR$15</f>
        <v>70</v>
      </c>
      <c r="AS21" s="144">
        <f>InpS!AS$15</f>
        <v>70</v>
      </c>
      <c r="AT21" s="144">
        <f>InpS!AT$15</f>
        <v>70</v>
      </c>
      <c r="AU21" s="144">
        <f>InpS!AU$15</f>
        <v>70</v>
      </c>
      <c r="AV21" s="144">
        <f>InpS!AV$15</f>
        <v>70</v>
      </c>
      <c r="AW21" s="144">
        <f>InpS!AW$15</f>
        <v>70</v>
      </c>
      <c r="AX21" s="144">
        <f>InpS!AX$15</f>
        <v>70</v>
      </c>
      <c r="AY21" s="144">
        <f>InpS!AY$15</f>
        <v>70</v>
      </c>
      <c r="AZ21" s="144">
        <f>InpS!AZ$15</f>
        <v>70</v>
      </c>
      <c r="BA21" s="144">
        <f>InpS!BA$15</f>
        <v>70</v>
      </c>
      <c r="BB21" s="144">
        <f>InpS!BB$15</f>
        <v>70</v>
      </c>
      <c r="BC21" s="144">
        <f>InpS!BC$15</f>
        <v>70</v>
      </c>
      <c r="BD21" s="144">
        <f>InpS!BD$15</f>
        <v>70</v>
      </c>
      <c r="BE21" s="144">
        <f>InpS!BE$15</f>
        <v>70</v>
      </c>
      <c r="BF21" s="144">
        <f>InpS!BF$15</f>
        <v>70</v>
      </c>
      <c r="BG21" s="144">
        <f>InpS!BG$15</f>
        <v>70</v>
      </c>
      <c r="BH21" s="144">
        <f>InpS!BH$15</f>
        <v>70</v>
      </c>
      <c r="BI21" s="144">
        <f>InpS!BI$15</f>
        <v>70</v>
      </c>
      <c r="BJ21" s="144">
        <f>InpS!BJ$15</f>
        <v>70</v>
      </c>
      <c r="BK21" s="144">
        <f>InpS!BK$15</f>
        <v>70</v>
      </c>
      <c r="BL21" s="144">
        <f>InpS!BL$15</f>
        <v>70</v>
      </c>
      <c r="BM21" s="144">
        <f>InpS!BM$15</f>
        <v>70</v>
      </c>
      <c r="BN21" s="144">
        <f>InpS!BN$15</f>
        <v>70</v>
      </c>
      <c r="BO21" s="144">
        <f>InpS!BO$15</f>
        <v>70</v>
      </c>
      <c r="BP21" s="144">
        <f>InpS!BP$15</f>
        <v>70</v>
      </c>
      <c r="BQ21" s="144">
        <f>InpS!BQ$15</f>
        <v>70</v>
      </c>
      <c r="BR21" s="144">
        <f>InpS!BR$15</f>
        <v>70</v>
      </c>
      <c r="BS21" s="144">
        <f>InpS!BS$15</f>
        <v>70</v>
      </c>
      <c r="BT21" s="144">
        <f>InpS!BT$15</f>
        <v>70</v>
      </c>
      <c r="BU21" s="144">
        <f>InpS!BU$15</f>
        <v>70</v>
      </c>
      <c r="BV21" s="144">
        <f>InpS!BV$15</f>
        <v>70</v>
      </c>
      <c r="BW21" s="144">
        <f>InpS!BW$15</f>
        <v>0</v>
      </c>
      <c r="BX21" s="144">
        <f>InpS!BX$15</f>
        <v>0</v>
      </c>
      <c r="BY21" s="144">
        <f>InpS!BY$15</f>
        <v>0</v>
      </c>
      <c r="BZ21" s="144">
        <f>InpS!BZ$15</f>
        <v>0</v>
      </c>
      <c r="CA21" s="144">
        <f>InpS!CA$15</f>
        <v>0</v>
      </c>
    </row>
    <row r="22" spans="1:79" s="197" customFormat="1" x14ac:dyDescent="0.2">
      <c r="A22" s="264"/>
      <c r="B22" s="264"/>
      <c r="C22" s="265"/>
      <c r="D22" s="266"/>
      <c r="E22" s="197" t="str">
        <f>'T&amp;E'!E$24</f>
        <v>Operating period flag</v>
      </c>
      <c r="F22" s="197">
        <f>'T&amp;E'!F$24</f>
        <v>0</v>
      </c>
      <c r="G22" s="197" t="str">
        <f>'T&amp;E'!G$24</f>
        <v>flag</v>
      </c>
      <c r="H22" s="197">
        <f>'T&amp;E'!H$24</f>
        <v>60</v>
      </c>
      <c r="I22" s="197">
        <f>'T&amp;E'!I$24</f>
        <v>0</v>
      </c>
      <c r="J22" s="197">
        <f>'T&amp;E'!J$24</f>
        <v>0</v>
      </c>
      <c r="K22" s="197">
        <f>'T&amp;E'!K$24</f>
        <v>0</v>
      </c>
      <c r="L22" s="197">
        <f>'T&amp;E'!L$24</f>
        <v>0</v>
      </c>
      <c r="M22" s="197">
        <f>'T&amp;E'!M$24</f>
        <v>0</v>
      </c>
      <c r="N22" s="197">
        <f>'T&amp;E'!N$24</f>
        <v>0</v>
      </c>
      <c r="O22" s="197">
        <f>'T&amp;E'!O$24</f>
        <v>1</v>
      </c>
      <c r="P22" s="197">
        <f>'T&amp;E'!P$24</f>
        <v>1</v>
      </c>
      <c r="Q22" s="197">
        <f>'T&amp;E'!Q$24</f>
        <v>1</v>
      </c>
      <c r="R22" s="197">
        <f>'T&amp;E'!R$24</f>
        <v>1</v>
      </c>
      <c r="S22" s="197">
        <f>'T&amp;E'!S$24</f>
        <v>1</v>
      </c>
      <c r="T22" s="197">
        <f>'T&amp;E'!T$24</f>
        <v>1</v>
      </c>
      <c r="U22" s="197">
        <f>'T&amp;E'!U$24</f>
        <v>1</v>
      </c>
      <c r="V22" s="197">
        <f>'T&amp;E'!V$24</f>
        <v>1</v>
      </c>
      <c r="W22" s="197">
        <f>'T&amp;E'!W$24</f>
        <v>1</v>
      </c>
      <c r="X22" s="197">
        <f>'T&amp;E'!X$24</f>
        <v>1</v>
      </c>
      <c r="Y22" s="197">
        <f>'T&amp;E'!Y$24</f>
        <v>1</v>
      </c>
      <c r="Z22" s="197">
        <f>'T&amp;E'!Z$24</f>
        <v>1</v>
      </c>
      <c r="AA22" s="197">
        <f>'T&amp;E'!AA$24</f>
        <v>1</v>
      </c>
      <c r="AB22" s="197">
        <f>'T&amp;E'!AB$24</f>
        <v>1</v>
      </c>
      <c r="AC22" s="197">
        <f>'T&amp;E'!AC$24</f>
        <v>1</v>
      </c>
      <c r="AD22" s="197">
        <f>'T&amp;E'!AD$24</f>
        <v>1</v>
      </c>
      <c r="AE22" s="197">
        <f>'T&amp;E'!AE$24</f>
        <v>1</v>
      </c>
      <c r="AF22" s="197">
        <f>'T&amp;E'!AF$24</f>
        <v>1</v>
      </c>
      <c r="AG22" s="197">
        <f>'T&amp;E'!AG$24</f>
        <v>1</v>
      </c>
      <c r="AH22" s="197">
        <f>'T&amp;E'!AH$24</f>
        <v>1</v>
      </c>
      <c r="AI22" s="197">
        <f>'T&amp;E'!AI$24</f>
        <v>1</v>
      </c>
      <c r="AJ22" s="197">
        <f>'T&amp;E'!AJ$24</f>
        <v>1</v>
      </c>
      <c r="AK22" s="197">
        <f>'T&amp;E'!AK$24</f>
        <v>1</v>
      </c>
      <c r="AL22" s="197">
        <f>'T&amp;E'!AL$24</f>
        <v>1</v>
      </c>
      <c r="AM22" s="197">
        <f>'T&amp;E'!AM$24</f>
        <v>1</v>
      </c>
      <c r="AN22" s="197">
        <f>'T&amp;E'!AN$24</f>
        <v>1</v>
      </c>
      <c r="AO22" s="197">
        <f>'T&amp;E'!AO$24</f>
        <v>1</v>
      </c>
      <c r="AP22" s="197">
        <f>'T&amp;E'!AP$24</f>
        <v>1</v>
      </c>
      <c r="AQ22" s="197">
        <f>'T&amp;E'!AQ$24</f>
        <v>1</v>
      </c>
      <c r="AR22" s="197">
        <f>'T&amp;E'!AR$24</f>
        <v>1</v>
      </c>
      <c r="AS22" s="197">
        <f>'T&amp;E'!AS$24</f>
        <v>1</v>
      </c>
      <c r="AT22" s="197">
        <f>'T&amp;E'!AT$24</f>
        <v>1</v>
      </c>
      <c r="AU22" s="197">
        <f>'T&amp;E'!AU$24</f>
        <v>1</v>
      </c>
      <c r="AV22" s="197">
        <f>'T&amp;E'!AV$24</f>
        <v>1</v>
      </c>
      <c r="AW22" s="197">
        <f>'T&amp;E'!AW$24</f>
        <v>1</v>
      </c>
      <c r="AX22" s="197">
        <f>'T&amp;E'!AX$24</f>
        <v>1</v>
      </c>
      <c r="AY22" s="197">
        <f>'T&amp;E'!AY$24</f>
        <v>1</v>
      </c>
      <c r="AZ22" s="197">
        <f>'T&amp;E'!AZ$24</f>
        <v>1</v>
      </c>
      <c r="BA22" s="197">
        <f>'T&amp;E'!BA$24</f>
        <v>1</v>
      </c>
      <c r="BB22" s="197">
        <f>'T&amp;E'!BB$24</f>
        <v>1</v>
      </c>
      <c r="BC22" s="197">
        <f>'T&amp;E'!BC$24</f>
        <v>1</v>
      </c>
      <c r="BD22" s="197">
        <f>'T&amp;E'!BD$24</f>
        <v>1</v>
      </c>
      <c r="BE22" s="197">
        <f>'T&amp;E'!BE$24</f>
        <v>1</v>
      </c>
      <c r="BF22" s="197">
        <f>'T&amp;E'!BF$24</f>
        <v>1</v>
      </c>
      <c r="BG22" s="197">
        <f>'T&amp;E'!BG$24</f>
        <v>1</v>
      </c>
      <c r="BH22" s="197">
        <f>'T&amp;E'!BH$24</f>
        <v>1</v>
      </c>
      <c r="BI22" s="197">
        <f>'T&amp;E'!BI$24</f>
        <v>1</v>
      </c>
      <c r="BJ22" s="197">
        <f>'T&amp;E'!BJ$24</f>
        <v>1</v>
      </c>
      <c r="BK22" s="197">
        <f>'T&amp;E'!BK$24</f>
        <v>1</v>
      </c>
      <c r="BL22" s="197">
        <f>'T&amp;E'!BL$24</f>
        <v>1</v>
      </c>
      <c r="BM22" s="197">
        <f>'T&amp;E'!BM$24</f>
        <v>1</v>
      </c>
      <c r="BN22" s="197">
        <f>'T&amp;E'!BN$24</f>
        <v>1</v>
      </c>
      <c r="BO22" s="197">
        <f>'T&amp;E'!BO$24</f>
        <v>1</v>
      </c>
      <c r="BP22" s="197">
        <f>'T&amp;E'!BP$24</f>
        <v>1</v>
      </c>
      <c r="BQ22" s="197">
        <f>'T&amp;E'!BQ$24</f>
        <v>1</v>
      </c>
      <c r="BR22" s="197">
        <f>'T&amp;E'!BR$24</f>
        <v>1</v>
      </c>
      <c r="BS22" s="197">
        <f>'T&amp;E'!BS$24</f>
        <v>1</v>
      </c>
      <c r="BT22" s="197">
        <f>'T&amp;E'!BT$24</f>
        <v>1</v>
      </c>
      <c r="BU22" s="197">
        <f>'T&amp;E'!BU$24</f>
        <v>1</v>
      </c>
      <c r="BV22" s="197">
        <f>'T&amp;E'!BV$24</f>
        <v>1</v>
      </c>
      <c r="BW22" s="197">
        <f>'T&amp;E'!BW$24</f>
        <v>0</v>
      </c>
      <c r="BX22" s="197">
        <f>'T&amp;E'!BX$24</f>
        <v>0</v>
      </c>
      <c r="BY22" s="197">
        <f>'T&amp;E'!BY$24</f>
        <v>0</v>
      </c>
      <c r="BZ22" s="197">
        <f>'T&amp;E'!BZ$24</f>
        <v>0</v>
      </c>
      <c r="CA22" s="197">
        <f>'T&amp;E'!CA$24</f>
        <v>0</v>
      </c>
    </row>
    <row r="23" spans="1:79" s="90" customFormat="1" x14ac:dyDescent="0.2">
      <c r="A23" s="82"/>
      <c r="B23" s="82"/>
      <c r="C23" s="83"/>
      <c r="D23" s="89"/>
      <c r="E23" s="90" t="s">
        <v>52</v>
      </c>
      <c r="G23" s="90" t="s">
        <v>72</v>
      </c>
      <c r="H23" s="90">
        <f>SUM(J23:CA23)</f>
        <v>122250</v>
      </c>
      <c r="J23" s="90">
        <f xml:space="preserve"> J20 * J21 * J22</f>
        <v>0</v>
      </c>
      <c r="K23" s="90">
        <f t="shared" ref="K23:BV23" si="4" xml:space="preserve"> K20 * K21 * K22</f>
        <v>0</v>
      </c>
      <c r="L23" s="90">
        <f t="shared" si="4"/>
        <v>0</v>
      </c>
      <c r="M23" s="90">
        <f t="shared" si="4"/>
        <v>0</v>
      </c>
      <c r="N23" s="90">
        <f t="shared" si="4"/>
        <v>0</v>
      </c>
      <c r="O23" s="90">
        <f t="shared" si="4"/>
        <v>1350</v>
      </c>
      <c r="P23" s="90">
        <f t="shared" si="4"/>
        <v>1500</v>
      </c>
      <c r="Q23" s="90">
        <f t="shared" si="4"/>
        <v>1500</v>
      </c>
      <c r="R23" s="90">
        <f t="shared" si="4"/>
        <v>1650</v>
      </c>
      <c r="S23" s="90">
        <f t="shared" si="4"/>
        <v>1650</v>
      </c>
      <c r="T23" s="90">
        <f t="shared" si="4"/>
        <v>1800</v>
      </c>
      <c r="U23" s="90">
        <f t="shared" si="4"/>
        <v>1800</v>
      </c>
      <c r="V23" s="90">
        <f t="shared" si="4"/>
        <v>1950</v>
      </c>
      <c r="W23" s="90">
        <f t="shared" si="4"/>
        <v>1950</v>
      </c>
      <c r="X23" s="90">
        <f t="shared" si="4"/>
        <v>2100</v>
      </c>
      <c r="Y23" s="90">
        <f t="shared" si="4"/>
        <v>2100</v>
      </c>
      <c r="Z23" s="90">
        <f t="shared" si="4"/>
        <v>2100</v>
      </c>
      <c r="AA23" s="90">
        <f t="shared" si="4"/>
        <v>2100</v>
      </c>
      <c r="AB23" s="90">
        <f t="shared" si="4"/>
        <v>2100</v>
      </c>
      <c r="AC23" s="90">
        <f t="shared" si="4"/>
        <v>2100</v>
      </c>
      <c r="AD23" s="90">
        <f t="shared" si="4"/>
        <v>2100</v>
      </c>
      <c r="AE23" s="90">
        <f t="shared" si="4"/>
        <v>2100</v>
      </c>
      <c r="AF23" s="90">
        <f t="shared" si="4"/>
        <v>2100</v>
      </c>
      <c r="AG23" s="90">
        <f t="shared" si="4"/>
        <v>2100</v>
      </c>
      <c r="AH23" s="90">
        <f t="shared" si="4"/>
        <v>2100</v>
      </c>
      <c r="AI23" s="90">
        <f t="shared" si="4"/>
        <v>2100</v>
      </c>
      <c r="AJ23" s="90">
        <f t="shared" si="4"/>
        <v>2100</v>
      </c>
      <c r="AK23" s="90">
        <f t="shared" si="4"/>
        <v>2100</v>
      </c>
      <c r="AL23" s="90">
        <f t="shared" si="4"/>
        <v>2100</v>
      </c>
      <c r="AM23" s="90">
        <f t="shared" si="4"/>
        <v>2100</v>
      </c>
      <c r="AN23" s="90">
        <f t="shared" si="4"/>
        <v>2100</v>
      </c>
      <c r="AO23" s="90">
        <f t="shared" si="4"/>
        <v>2100</v>
      </c>
      <c r="AP23" s="90">
        <f t="shared" si="4"/>
        <v>2100</v>
      </c>
      <c r="AQ23" s="90">
        <f t="shared" si="4"/>
        <v>2100</v>
      </c>
      <c r="AR23" s="90">
        <f t="shared" si="4"/>
        <v>2100</v>
      </c>
      <c r="AS23" s="90">
        <f t="shared" si="4"/>
        <v>2100</v>
      </c>
      <c r="AT23" s="90">
        <f t="shared" si="4"/>
        <v>2100</v>
      </c>
      <c r="AU23" s="90">
        <f t="shared" si="4"/>
        <v>2100</v>
      </c>
      <c r="AV23" s="90">
        <f t="shared" si="4"/>
        <v>2100</v>
      </c>
      <c r="AW23" s="90">
        <f t="shared" si="4"/>
        <v>2100</v>
      </c>
      <c r="AX23" s="90">
        <f t="shared" si="4"/>
        <v>2100</v>
      </c>
      <c r="AY23" s="90">
        <f t="shared" si="4"/>
        <v>2100</v>
      </c>
      <c r="AZ23" s="90">
        <f t="shared" si="4"/>
        <v>2100</v>
      </c>
      <c r="BA23" s="90">
        <f t="shared" si="4"/>
        <v>2100</v>
      </c>
      <c r="BB23" s="90">
        <f t="shared" si="4"/>
        <v>2100</v>
      </c>
      <c r="BC23" s="90">
        <f t="shared" si="4"/>
        <v>2100</v>
      </c>
      <c r="BD23" s="90">
        <f t="shared" si="4"/>
        <v>2100</v>
      </c>
      <c r="BE23" s="90">
        <f t="shared" si="4"/>
        <v>2100</v>
      </c>
      <c r="BF23" s="90">
        <f t="shared" si="4"/>
        <v>2100</v>
      </c>
      <c r="BG23" s="90">
        <f t="shared" si="4"/>
        <v>2100</v>
      </c>
      <c r="BH23" s="90">
        <f t="shared" si="4"/>
        <v>2100</v>
      </c>
      <c r="BI23" s="90">
        <f t="shared" si="4"/>
        <v>2100</v>
      </c>
      <c r="BJ23" s="90">
        <f t="shared" si="4"/>
        <v>2100</v>
      </c>
      <c r="BK23" s="90">
        <f t="shared" si="4"/>
        <v>2100</v>
      </c>
      <c r="BL23" s="90">
        <f t="shared" si="4"/>
        <v>2100</v>
      </c>
      <c r="BM23" s="90">
        <f t="shared" si="4"/>
        <v>2100</v>
      </c>
      <c r="BN23" s="90">
        <f t="shared" si="4"/>
        <v>2100</v>
      </c>
      <c r="BO23" s="90">
        <f t="shared" si="4"/>
        <v>2100</v>
      </c>
      <c r="BP23" s="90">
        <f t="shared" si="4"/>
        <v>2100</v>
      </c>
      <c r="BQ23" s="90">
        <f t="shared" si="4"/>
        <v>2100</v>
      </c>
      <c r="BR23" s="90">
        <f t="shared" si="4"/>
        <v>2100</v>
      </c>
      <c r="BS23" s="90">
        <f t="shared" si="4"/>
        <v>2100</v>
      </c>
      <c r="BT23" s="90">
        <f t="shared" si="4"/>
        <v>2100</v>
      </c>
      <c r="BU23" s="90">
        <f t="shared" si="4"/>
        <v>2100</v>
      </c>
      <c r="BV23" s="90">
        <f t="shared" si="4"/>
        <v>2100</v>
      </c>
      <c r="BW23" s="90">
        <f t="shared" ref="BW23:CA23" si="5" xml:space="preserve"> BW20 * BW21 * BW22</f>
        <v>0</v>
      </c>
      <c r="BX23" s="90">
        <f t="shared" si="5"/>
        <v>0</v>
      </c>
      <c r="BY23" s="90">
        <f t="shared" si="5"/>
        <v>0</v>
      </c>
      <c r="BZ23" s="90">
        <f t="shared" si="5"/>
        <v>0</v>
      </c>
      <c r="CA23" s="90">
        <f t="shared" si="5"/>
        <v>0</v>
      </c>
    </row>
    <row r="24" spans="1:79" x14ac:dyDescent="0.2">
      <c r="C24" s="83"/>
    </row>
    <row r="25" spans="1:79" s="144" customFormat="1" x14ac:dyDescent="0.2">
      <c r="A25" s="93"/>
      <c r="B25" s="93"/>
      <c r="C25" s="94"/>
      <c r="D25" s="143"/>
      <c r="E25" s="144" t="str">
        <f>InpS!E$11</f>
        <v>Routes - international scheduled</v>
      </c>
      <c r="F25" s="144">
        <f>InpS!F$11</f>
        <v>0</v>
      </c>
      <c r="G25" s="144" t="str">
        <f>InpS!G$11</f>
        <v>planes</v>
      </c>
      <c r="H25" s="144">
        <f>InpS!H$11</f>
        <v>0</v>
      </c>
      <c r="I25" s="144">
        <f>InpS!I$11</f>
        <v>0</v>
      </c>
      <c r="J25" s="144">
        <f>InpS!J$11</f>
        <v>0</v>
      </c>
      <c r="K25" s="144">
        <f>InpS!K$11</f>
        <v>0</v>
      </c>
      <c r="L25" s="144">
        <f>InpS!L$11</f>
        <v>12</v>
      </c>
      <c r="M25" s="144">
        <f>InpS!M$11</f>
        <v>12</v>
      </c>
      <c r="N25" s="144">
        <f>InpS!N$11</f>
        <v>14</v>
      </c>
      <c r="O25" s="144">
        <f>InpS!O$11</f>
        <v>14</v>
      </c>
      <c r="P25" s="144">
        <f>InpS!P$11</f>
        <v>16</v>
      </c>
      <c r="Q25" s="144">
        <f>InpS!Q$11</f>
        <v>16</v>
      </c>
      <c r="R25" s="144">
        <f>InpS!R$11</f>
        <v>16</v>
      </c>
      <c r="S25" s="144">
        <f>InpS!S$11</f>
        <v>16</v>
      </c>
      <c r="T25" s="144">
        <f>InpS!T$11</f>
        <v>16</v>
      </c>
      <c r="U25" s="144">
        <f>InpS!U$11</f>
        <v>16</v>
      </c>
      <c r="V25" s="144">
        <f>InpS!V$11</f>
        <v>16</v>
      </c>
      <c r="W25" s="144">
        <f>InpS!W$11</f>
        <v>16</v>
      </c>
      <c r="X25" s="144">
        <f>InpS!X$11</f>
        <v>16</v>
      </c>
      <c r="Y25" s="144">
        <f>InpS!Y$11</f>
        <v>16</v>
      </c>
      <c r="Z25" s="144">
        <f>InpS!Z$11</f>
        <v>16</v>
      </c>
      <c r="AA25" s="144">
        <f>InpS!AA$11</f>
        <v>16</v>
      </c>
      <c r="AB25" s="144">
        <f>InpS!AB$11</f>
        <v>16</v>
      </c>
      <c r="AC25" s="144">
        <f>InpS!AC$11</f>
        <v>16</v>
      </c>
      <c r="AD25" s="144">
        <f>InpS!AD$11</f>
        <v>16</v>
      </c>
      <c r="AE25" s="144">
        <f>InpS!AE$11</f>
        <v>16</v>
      </c>
      <c r="AF25" s="144">
        <f>InpS!AF$11</f>
        <v>16</v>
      </c>
      <c r="AG25" s="144">
        <f>InpS!AG$11</f>
        <v>16</v>
      </c>
      <c r="AH25" s="144">
        <f>InpS!AH$11</f>
        <v>16</v>
      </c>
      <c r="AI25" s="144">
        <f>InpS!AI$11</f>
        <v>16</v>
      </c>
      <c r="AJ25" s="144">
        <f>InpS!AJ$11</f>
        <v>16</v>
      </c>
      <c r="AK25" s="144">
        <f>InpS!AK$11</f>
        <v>16</v>
      </c>
      <c r="AL25" s="144">
        <f>InpS!AL$11</f>
        <v>16</v>
      </c>
      <c r="AM25" s="144">
        <f>InpS!AM$11</f>
        <v>16</v>
      </c>
      <c r="AN25" s="144">
        <f>InpS!AN$11</f>
        <v>16</v>
      </c>
      <c r="AO25" s="144">
        <f>InpS!AO$11</f>
        <v>16</v>
      </c>
      <c r="AP25" s="144">
        <f>InpS!AP$11</f>
        <v>16</v>
      </c>
      <c r="AQ25" s="144">
        <f>InpS!AQ$11</f>
        <v>16</v>
      </c>
      <c r="AR25" s="144">
        <f>InpS!AR$11</f>
        <v>16</v>
      </c>
      <c r="AS25" s="144">
        <f>InpS!AS$11</f>
        <v>16</v>
      </c>
      <c r="AT25" s="144">
        <f>InpS!AT$11</f>
        <v>16</v>
      </c>
      <c r="AU25" s="144">
        <f>InpS!AU$11</f>
        <v>16</v>
      </c>
      <c r="AV25" s="144">
        <f>InpS!AV$11</f>
        <v>16</v>
      </c>
      <c r="AW25" s="144">
        <f>InpS!AW$11</f>
        <v>16</v>
      </c>
      <c r="AX25" s="144">
        <f>InpS!AX$11</f>
        <v>16</v>
      </c>
      <c r="AY25" s="144">
        <f>InpS!AY$11</f>
        <v>16</v>
      </c>
      <c r="AZ25" s="144">
        <f>InpS!AZ$11</f>
        <v>16</v>
      </c>
      <c r="BA25" s="144">
        <f>InpS!BA$11</f>
        <v>16</v>
      </c>
      <c r="BB25" s="144">
        <f>InpS!BB$11</f>
        <v>16</v>
      </c>
      <c r="BC25" s="144">
        <f>InpS!BC$11</f>
        <v>16</v>
      </c>
      <c r="BD25" s="144">
        <f>InpS!BD$11</f>
        <v>16</v>
      </c>
      <c r="BE25" s="144">
        <f>InpS!BE$11</f>
        <v>16</v>
      </c>
      <c r="BF25" s="144">
        <f>InpS!BF$11</f>
        <v>16</v>
      </c>
      <c r="BG25" s="144">
        <f>InpS!BG$11</f>
        <v>16</v>
      </c>
      <c r="BH25" s="144">
        <f>InpS!BH$11</f>
        <v>16</v>
      </c>
      <c r="BI25" s="144">
        <f>InpS!BI$11</f>
        <v>16</v>
      </c>
      <c r="BJ25" s="144">
        <f>InpS!BJ$11</f>
        <v>16</v>
      </c>
      <c r="BK25" s="144">
        <f>InpS!BK$11</f>
        <v>16</v>
      </c>
      <c r="BL25" s="144">
        <f>InpS!BL$11</f>
        <v>16</v>
      </c>
      <c r="BM25" s="144">
        <f>InpS!BM$11</f>
        <v>16</v>
      </c>
      <c r="BN25" s="144">
        <f>InpS!BN$11</f>
        <v>16</v>
      </c>
      <c r="BO25" s="144">
        <f>InpS!BO$11</f>
        <v>16</v>
      </c>
      <c r="BP25" s="144">
        <f>InpS!BP$11</f>
        <v>16</v>
      </c>
      <c r="BQ25" s="144">
        <f>InpS!BQ$11</f>
        <v>16</v>
      </c>
      <c r="BR25" s="144">
        <f>InpS!BR$11</f>
        <v>16</v>
      </c>
      <c r="BS25" s="144">
        <f>InpS!BS$11</f>
        <v>16</v>
      </c>
      <c r="BT25" s="144">
        <f>InpS!BT$11</f>
        <v>16</v>
      </c>
      <c r="BU25" s="144">
        <f>InpS!BU$11</f>
        <v>16</v>
      </c>
      <c r="BV25" s="144">
        <f>InpS!BV$11</f>
        <v>16</v>
      </c>
      <c r="BW25" s="144">
        <f>InpS!BW$11</f>
        <v>0</v>
      </c>
      <c r="BX25" s="144">
        <f>InpS!BX$11</f>
        <v>0</v>
      </c>
      <c r="BY25" s="144">
        <f>InpS!BY$11</f>
        <v>0</v>
      </c>
      <c r="BZ25" s="144">
        <f>InpS!BZ$11</f>
        <v>0</v>
      </c>
      <c r="CA25" s="144">
        <f>InpS!CA$11</f>
        <v>0</v>
      </c>
    </row>
    <row r="26" spans="1:79" s="144" customFormat="1" x14ac:dyDescent="0.2">
      <c r="A26" s="93"/>
      <c r="B26" s="93"/>
      <c r="C26" s="94"/>
      <c r="D26" s="143"/>
      <c r="E26" s="144" t="str">
        <f>InpS!E$16</f>
        <v>Landing frequency - international scheduled</v>
      </c>
      <c r="F26" s="144">
        <f>InpS!F$16</f>
        <v>0</v>
      </c>
      <c r="G26" s="144" t="str">
        <f>InpS!G$16</f>
        <v>lands / plane</v>
      </c>
      <c r="H26" s="144">
        <f>InpS!H$16</f>
        <v>0</v>
      </c>
      <c r="I26" s="144">
        <f>InpS!I$16</f>
        <v>0</v>
      </c>
      <c r="J26" s="144">
        <f>InpS!J$16</f>
        <v>0</v>
      </c>
      <c r="K26" s="144">
        <f>InpS!K$16</f>
        <v>0</v>
      </c>
      <c r="L26" s="144">
        <f>InpS!L$16</f>
        <v>35</v>
      </c>
      <c r="M26" s="144">
        <f>InpS!M$16</f>
        <v>35</v>
      </c>
      <c r="N26" s="144">
        <f>InpS!N$16</f>
        <v>45</v>
      </c>
      <c r="O26" s="144">
        <f>InpS!O$16</f>
        <v>45</v>
      </c>
      <c r="P26" s="144">
        <f>InpS!P$16</f>
        <v>45</v>
      </c>
      <c r="Q26" s="144">
        <f>InpS!Q$16</f>
        <v>45</v>
      </c>
      <c r="R26" s="144">
        <f>InpS!R$16</f>
        <v>55</v>
      </c>
      <c r="S26" s="144">
        <f>InpS!S$16</f>
        <v>55</v>
      </c>
      <c r="T26" s="144">
        <f>InpS!T$16</f>
        <v>55</v>
      </c>
      <c r="U26" s="144">
        <f>InpS!U$16</f>
        <v>55</v>
      </c>
      <c r="V26" s="144">
        <f>InpS!V$16</f>
        <v>55</v>
      </c>
      <c r="W26" s="144">
        <f>InpS!W$16</f>
        <v>55</v>
      </c>
      <c r="X26" s="144">
        <f>InpS!X$16</f>
        <v>55</v>
      </c>
      <c r="Y26" s="144">
        <f>InpS!Y$16</f>
        <v>55</v>
      </c>
      <c r="Z26" s="144">
        <f>InpS!Z$16</f>
        <v>55</v>
      </c>
      <c r="AA26" s="144">
        <f>InpS!AA$16</f>
        <v>55</v>
      </c>
      <c r="AB26" s="144">
        <f>InpS!AB$16</f>
        <v>55</v>
      </c>
      <c r="AC26" s="144">
        <f>InpS!AC$16</f>
        <v>55</v>
      </c>
      <c r="AD26" s="144">
        <f>InpS!AD$16</f>
        <v>55</v>
      </c>
      <c r="AE26" s="144">
        <f>InpS!AE$16</f>
        <v>55</v>
      </c>
      <c r="AF26" s="144">
        <f>InpS!AF$16</f>
        <v>55</v>
      </c>
      <c r="AG26" s="144">
        <f>InpS!AG$16</f>
        <v>55</v>
      </c>
      <c r="AH26" s="144">
        <f>InpS!AH$16</f>
        <v>55</v>
      </c>
      <c r="AI26" s="144">
        <f>InpS!AI$16</f>
        <v>55</v>
      </c>
      <c r="AJ26" s="144">
        <f>InpS!AJ$16</f>
        <v>55</v>
      </c>
      <c r="AK26" s="144">
        <f>InpS!AK$16</f>
        <v>55</v>
      </c>
      <c r="AL26" s="144">
        <f>InpS!AL$16</f>
        <v>55</v>
      </c>
      <c r="AM26" s="144">
        <f>InpS!AM$16</f>
        <v>55</v>
      </c>
      <c r="AN26" s="144">
        <f>InpS!AN$16</f>
        <v>55</v>
      </c>
      <c r="AO26" s="144">
        <f>InpS!AO$16</f>
        <v>55</v>
      </c>
      <c r="AP26" s="144">
        <f>InpS!AP$16</f>
        <v>55</v>
      </c>
      <c r="AQ26" s="144">
        <f>InpS!AQ$16</f>
        <v>55</v>
      </c>
      <c r="AR26" s="144">
        <f>InpS!AR$16</f>
        <v>55</v>
      </c>
      <c r="AS26" s="144">
        <f>InpS!AS$16</f>
        <v>55</v>
      </c>
      <c r="AT26" s="144">
        <f>InpS!AT$16</f>
        <v>55</v>
      </c>
      <c r="AU26" s="144">
        <f>InpS!AU$16</f>
        <v>55</v>
      </c>
      <c r="AV26" s="144">
        <f>InpS!AV$16</f>
        <v>55</v>
      </c>
      <c r="AW26" s="144">
        <f>InpS!AW$16</f>
        <v>55</v>
      </c>
      <c r="AX26" s="144">
        <f>InpS!AX$16</f>
        <v>55</v>
      </c>
      <c r="AY26" s="144">
        <f>InpS!AY$16</f>
        <v>55</v>
      </c>
      <c r="AZ26" s="144">
        <f>InpS!AZ$16</f>
        <v>55</v>
      </c>
      <c r="BA26" s="144">
        <f>InpS!BA$16</f>
        <v>55</v>
      </c>
      <c r="BB26" s="144">
        <f>InpS!BB$16</f>
        <v>55</v>
      </c>
      <c r="BC26" s="144">
        <f>InpS!BC$16</f>
        <v>55</v>
      </c>
      <c r="BD26" s="144">
        <f>InpS!BD$16</f>
        <v>55</v>
      </c>
      <c r="BE26" s="144">
        <f>InpS!BE$16</f>
        <v>55</v>
      </c>
      <c r="BF26" s="144">
        <f>InpS!BF$16</f>
        <v>55</v>
      </c>
      <c r="BG26" s="144">
        <f>InpS!BG$16</f>
        <v>55</v>
      </c>
      <c r="BH26" s="144">
        <f>InpS!BH$16</f>
        <v>55</v>
      </c>
      <c r="BI26" s="144">
        <f>InpS!BI$16</f>
        <v>55</v>
      </c>
      <c r="BJ26" s="144">
        <f>InpS!BJ$16</f>
        <v>55</v>
      </c>
      <c r="BK26" s="144">
        <f>InpS!BK$16</f>
        <v>55</v>
      </c>
      <c r="BL26" s="144">
        <f>InpS!BL$16</f>
        <v>55</v>
      </c>
      <c r="BM26" s="144">
        <f>InpS!BM$16</f>
        <v>55</v>
      </c>
      <c r="BN26" s="144">
        <f>InpS!BN$16</f>
        <v>55</v>
      </c>
      <c r="BO26" s="144">
        <f>InpS!BO$16</f>
        <v>55</v>
      </c>
      <c r="BP26" s="144">
        <f>InpS!BP$16</f>
        <v>55</v>
      </c>
      <c r="BQ26" s="144">
        <f>InpS!BQ$16</f>
        <v>55</v>
      </c>
      <c r="BR26" s="144">
        <f>InpS!BR$16</f>
        <v>55</v>
      </c>
      <c r="BS26" s="144">
        <f>InpS!BS$16</f>
        <v>55</v>
      </c>
      <c r="BT26" s="144">
        <f>InpS!BT$16</f>
        <v>55</v>
      </c>
      <c r="BU26" s="144">
        <f>InpS!BU$16</f>
        <v>55</v>
      </c>
      <c r="BV26" s="144">
        <f>InpS!BV$16</f>
        <v>55</v>
      </c>
      <c r="BW26" s="144">
        <f>InpS!BW$16</f>
        <v>0</v>
      </c>
      <c r="BX26" s="144">
        <f>InpS!BX$16</f>
        <v>0</v>
      </c>
      <c r="BY26" s="144">
        <f>InpS!BY$16</f>
        <v>0</v>
      </c>
      <c r="BZ26" s="144">
        <f>InpS!BZ$16</f>
        <v>0</v>
      </c>
      <c r="CA26" s="144">
        <f>InpS!CA$16</f>
        <v>0</v>
      </c>
    </row>
    <row r="27" spans="1:79" s="197" customFormat="1" x14ac:dyDescent="0.2">
      <c r="A27" s="264"/>
      <c r="B27" s="264"/>
      <c r="C27" s="265"/>
      <c r="D27" s="266"/>
      <c r="E27" s="197" t="str">
        <f>'T&amp;E'!E$24</f>
        <v>Operating period flag</v>
      </c>
      <c r="F27" s="197">
        <f>'T&amp;E'!F$24</f>
        <v>0</v>
      </c>
      <c r="G27" s="197" t="str">
        <f>'T&amp;E'!G$24</f>
        <v>flag</v>
      </c>
      <c r="H27" s="197">
        <f>'T&amp;E'!H$24</f>
        <v>60</v>
      </c>
      <c r="I27" s="197">
        <f>'T&amp;E'!I$24</f>
        <v>0</v>
      </c>
      <c r="J27" s="197">
        <f>'T&amp;E'!J$24</f>
        <v>0</v>
      </c>
      <c r="K27" s="197">
        <f>'T&amp;E'!K$24</f>
        <v>0</v>
      </c>
      <c r="L27" s="197">
        <f>'T&amp;E'!L$24</f>
        <v>0</v>
      </c>
      <c r="M27" s="197">
        <f>'T&amp;E'!M$24</f>
        <v>0</v>
      </c>
      <c r="N27" s="197">
        <f>'T&amp;E'!N$24</f>
        <v>0</v>
      </c>
      <c r="O27" s="197">
        <f>'T&amp;E'!O$24</f>
        <v>1</v>
      </c>
      <c r="P27" s="197">
        <f>'T&amp;E'!P$24</f>
        <v>1</v>
      </c>
      <c r="Q27" s="197">
        <f>'T&amp;E'!Q$24</f>
        <v>1</v>
      </c>
      <c r="R27" s="197">
        <f>'T&amp;E'!R$24</f>
        <v>1</v>
      </c>
      <c r="S27" s="197">
        <f>'T&amp;E'!S$24</f>
        <v>1</v>
      </c>
      <c r="T27" s="197">
        <f>'T&amp;E'!T$24</f>
        <v>1</v>
      </c>
      <c r="U27" s="197">
        <f>'T&amp;E'!U$24</f>
        <v>1</v>
      </c>
      <c r="V27" s="197">
        <f>'T&amp;E'!V$24</f>
        <v>1</v>
      </c>
      <c r="W27" s="197">
        <f>'T&amp;E'!W$24</f>
        <v>1</v>
      </c>
      <c r="X27" s="197">
        <f>'T&amp;E'!X$24</f>
        <v>1</v>
      </c>
      <c r="Y27" s="197">
        <f>'T&amp;E'!Y$24</f>
        <v>1</v>
      </c>
      <c r="Z27" s="197">
        <f>'T&amp;E'!Z$24</f>
        <v>1</v>
      </c>
      <c r="AA27" s="197">
        <f>'T&amp;E'!AA$24</f>
        <v>1</v>
      </c>
      <c r="AB27" s="197">
        <f>'T&amp;E'!AB$24</f>
        <v>1</v>
      </c>
      <c r="AC27" s="197">
        <f>'T&amp;E'!AC$24</f>
        <v>1</v>
      </c>
      <c r="AD27" s="197">
        <f>'T&amp;E'!AD$24</f>
        <v>1</v>
      </c>
      <c r="AE27" s="197">
        <f>'T&amp;E'!AE$24</f>
        <v>1</v>
      </c>
      <c r="AF27" s="197">
        <f>'T&amp;E'!AF$24</f>
        <v>1</v>
      </c>
      <c r="AG27" s="197">
        <f>'T&amp;E'!AG$24</f>
        <v>1</v>
      </c>
      <c r="AH27" s="197">
        <f>'T&amp;E'!AH$24</f>
        <v>1</v>
      </c>
      <c r="AI27" s="197">
        <f>'T&amp;E'!AI$24</f>
        <v>1</v>
      </c>
      <c r="AJ27" s="197">
        <f>'T&amp;E'!AJ$24</f>
        <v>1</v>
      </c>
      <c r="AK27" s="197">
        <f>'T&amp;E'!AK$24</f>
        <v>1</v>
      </c>
      <c r="AL27" s="197">
        <f>'T&amp;E'!AL$24</f>
        <v>1</v>
      </c>
      <c r="AM27" s="197">
        <f>'T&amp;E'!AM$24</f>
        <v>1</v>
      </c>
      <c r="AN27" s="197">
        <f>'T&amp;E'!AN$24</f>
        <v>1</v>
      </c>
      <c r="AO27" s="197">
        <f>'T&amp;E'!AO$24</f>
        <v>1</v>
      </c>
      <c r="AP27" s="197">
        <f>'T&amp;E'!AP$24</f>
        <v>1</v>
      </c>
      <c r="AQ27" s="197">
        <f>'T&amp;E'!AQ$24</f>
        <v>1</v>
      </c>
      <c r="AR27" s="197">
        <f>'T&amp;E'!AR$24</f>
        <v>1</v>
      </c>
      <c r="AS27" s="197">
        <f>'T&amp;E'!AS$24</f>
        <v>1</v>
      </c>
      <c r="AT27" s="197">
        <f>'T&amp;E'!AT$24</f>
        <v>1</v>
      </c>
      <c r="AU27" s="197">
        <f>'T&amp;E'!AU$24</f>
        <v>1</v>
      </c>
      <c r="AV27" s="197">
        <f>'T&amp;E'!AV$24</f>
        <v>1</v>
      </c>
      <c r="AW27" s="197">
        <f>'T&amp;E'!AW$24</f>
        <v>1</v>
      </c>
      <c r="AX27" s="197">
        <f>'T&amp;E'!AX$24</f>
        <v>1</v>
      </c>
      <c r="AY27" s="197">
        <f>'T&amp;E'!AY$24</f>
        <v>1</v>
      </c>
      <c r="AZ27" s="197">
        <f>'T&amp;E'!AZ$24</f>
        <v>1</v>
      </c>
      <c r="BA27" s="197">
        <f>'T&amp;E'!BA$24</f>
        <v>1</v>
      </c>
      <c r="BB27" s="197">
        <f>'T&amp;E'!BB$24</f>
        <v>1</v>
      </c>
      <c r="BC27" s="197">
        <f>'T&amp;E'!BC$24</f>
        <v>1</v>
      </c>
      <c r="BD27" s="197">
        <f>'T&amp;E'!BD$24</f>
        <v>1</v>
      </c>
      <c r="BE27" s="197">
        <f>'T&amp;E'!BE$24</f>
        <v>1</v>
      </c>
      <c r="BF27" s="197">
        <f>'T&amp;E'!BF$24</f>
        <v>1</v>
      </c>
      <c r="BG27" s="197">
        <f>'T&amp;E'!BG$24</f>
        <v>1</v>
      </c>
      <c r="BH27" s="197">
        <f>'T&amp;E'!BH$24</f>
        <v>1</v>
      </c>
      <c r="BI27" s="197">
        <f>'T&amp;E'!BI$24</f>
        <v>1</v>
      </c>
      <c r="BJ27" s="197">
        <f>'T&amp;E'!BJ$24</f>
        <v>1</v>
      </c>
      <c r="BK27" s="197">
        <f>'T&amp;E'!BK$24</f>
        <v>1</v>
      </c>
      <c r="BL27" s="197">
        <f>'T&amp;E'!BL$24</f>
        <v>1</v>
      </c>
      <c r="BM27" s="197">
        <f>'T&amp;E'!BM$24</f>
        <v>1</v>
      </c>
      <c r="BN27" s="197">
        <f>'T&amp;E'!BN$24</f>
        <v>1</v>
      </c>
      <c r="BO27" s="197">
        <f>'T&amp;E'!BO$24</f>
        <v>1</v>
      </c>
      <c r="BP27" s="197">
        <f>'T&amp;E'!BP$24</f>
        <v>1</v>
      </c>
      <c r="BQ27" s="197">
        <f>'T&amp;E'!BQ$24</f>
        <v>1</v>
      </c>
      <c r="BR27" s="197">
        <f>'T&amp;E'!BR$24</f>
        <v>1</v>
      </c>
      <c r="BS27" s="197">
        <f>'T&amp;E'!BS$24</f>
        <v>1</v>
      </c>
      <c r="BT27" s="197">
        <f>'T&amp;E'!BT$24</f>
        <v>1</v>
      </c>
      <c r="BU27" s="197">
        <f>'T&amp;E'!BU$24</f>
        <v>1</v>
      </c>
      <c r="BV27" s="197">
        <f>'T&amp;E'!BV$24</f>
        <v>1</v>
      </c>
      <c r="BW27" s="197">
        <f>'T&amp;E'!BW$24</f>
        <v>0</v>
      </c>
      <c r="BX27" s="197">
        <f>'T&amp;E'!BX$24</f>
        <v>0</v>
      </c>
      <c r="BY27" s="197">
        <f>'T&amp;E'!BY$24</f>
        <v>0</v>
      </c>
      <c r="BZ27" s="197">
        <f>'T&amp;E'!BZ$24</f>
        <v>0</v>
      </c>
      <c r="CA27" s="197">
        <f>'T&amp;E'!CA$24</f>
        <v>0</v>
      </c>
    </row>
    <row r="28" spans="1:79" s="90" customFormat="1" x14ac:dyDescent="0.2">
      <c r="A28" s="82"/>
      <c r="B28" s="82"/>
      <c r="C28" s="83"/>
      <c r="D28" s="89"/>
      <c r="E28" s="90" t="s">
        <v>55</v>
      </c>
      <c r="G28" s="90" t="s">
        <v>72</v>
      </c>
      <c r="H28" s="90">
        <f>SUM(J28:CA28)</f>
        <v>52230</v>
      </c>
      <c r="J28" s="90">
        <f xml:space="preserve"> J25 * J26 * J27</f>
        <v>0</v>
      </c>
      <c r="K28" s="90">
        <f t="shared" ref="K28:BV28" si="6" xml:space="preserve"> K25 * K26 * K27</f>
        <v>0</v>
      </c>
      <c r="L28" s="90">
        <f t="shared" si="6"/>
        <v>0</v>
      </c>
      <c r="M28" s="90">
        <f t="shared" si="6"/>
        <v>0</v>
      </c>
      <c r="N28" s="90">
        <f t="shared" si="6"/>
        <v>0</v>
      </c>
      <c r="O28" s="90">
        <f t="shared" si="6"/>
        <v>630</v>
      </c>
      <c r="P28" s="90">
        <f t="shared" si="6"/>
        <v>720</v>
      </c>
      <c r="Q28" s="90">
        <f t="shared" si="6"/>
        <v>720</v>
      </c>
      <c r="R28" s="90">
        <f t="shared" si="6"/>
        <v>880</v>
      </c>
      <c r="S28" s="90">
        <f t="shared" si="6"/>
        <v>880</v>
      </c>
      <c r="T28" s="90">
        <f t="shared" si="6"/>
        <v>880</v>
      </c>
      <c r="U28" s="90">
        <f t="shared" si="6"/>
        <v>880</v>
      </c>
      <c r="V28" s="90">
        <f t="shared" si="6"/>
        <v>880</v>
      </c>
      <c r="W28" s="90">
        <f t="shared" si="6"/>
        <v>880</v>
      </c>
      <c r="X28" s="90">
        <f t="shared" si="6"/>
        <v>880</v>
      </c>
      <c r="Y28" s="90">
        <f t="shared" si="6"/>
        <v>880</v>
      </c>
      <c r="Z28" s="90">
        <f t="shared" si="6"/>
        <v>880</v>
      </c>
      <c r="AA28" s="90">
        <f t="shared" si="6"/>
        <v>880</v>
      </c>
      <c r="AB28" s="90">
        <f t="shared" si="6"/>
        <v>880</v>
      </c>
      <c r="AC28" s="90">
        <f t="shared" si="6"/>
        <v>880</v>
      </c>
      <c r="AD28" s="90">
        <f t="shared" si="6"/>
        <v>880</v>
      </c>
      <c r="AE28" s="90">
        <f t="shared" si="6"/>
        <v>880</v>
      </c>
      <c r="AF28" s="90">
        <f t="shared" si="6"/>
        <v>880</v>
      </c>
      <c r="AG28" s="90">
        <f t="shared" si="6"/>
        <v>880</v>
      </c>
      <c r="AH28" s="90">
        <f t="shared" si="6"/>
        <v>880</v>
      </c>
      <c r="AI28" s="90">
        <f t="shared" si="6"/>
        <v>880</v>
      </c>
      <c r="AJ28" s="90">
        <f t="shared" si="6"/>
        <v>880</v>
      </c>
      <c r="AK28" s="90">
        <f t="shared" si="6"/>
        <v>880</v>
      </c>
      <c r="AL28" s="90">
        <f t="shared" si="6"/>
        <v>880</v>
      </c>
      <c r="AM28" s="90">
        <f t="shared" si="6"/>
        <v>880</v>
      </c>
      <c r="AN28" s="90">
        <f t="shared" si="6"/>
        <v>880</v>
      </c>
      <c r="AO28" s="90">
        <f t="shared" si="6"/>
        <v>880</v>
      </c>
      <c r="AP28" s="90">
        <f t="shared" si="6"/>
        <v>880</v>
      </c>
      <c r="AQ28" s="90">
        <f t="shared" si="6"/>
        <v>880</v>
      </c>
      <c r="AR28" s="90">
        <f t="shared" si="6"/>
        <v>880</v>
      </c>
      <c r="AS28" s="90">
        <f t="shared" si="6"/>
        <v>880</v>
      </c>
      <c r="AT28" s="90">
        <f t="shared" si="6"/>
        <v>880</v>
      </c>
      <c r="AU28" s="90">
        <f t="shared" si="6"/>
        <v>880</v>
      </c>
      <c r="AV28" s="90">
        <f t="shared" si="6"/>
        <v>880</v>
      </c>
      <c r="AW28" s="90">
        <f t="shared" si="6"/>
        <v>880</v>
      </c>
      <c r="AX28" s="90">
        <f t="shared" si="6"/>
        <v>880</v>
      </c>
      <c r="AY28" s="90">
        <f t="shared" si="6"/>
        <v>880</v>
      </c>
      <c r="AZ28" s="90">
        <f t="shared" si="6"/>
        <v>880</v>
      </c>
      <c r="BA28" s="90">
        <f t="shared" si="6"/>
        <v>880</v>
      </c>
      <c r="BB28" s="90">
        <f t="shared" si="6"/>
        <v>880</v>
      </c>
      <c r="BC28" s="90">
        <f t="shared" si="6"/>
        <v>880</v>
      </c>
      <c r="BD28" s="90">
        <f t="shared" si="6"/>
        <v>880</v>
      </c>
      <c r="BE28" s="90">
        <f t="shared" si="6"/>
        <v>880</v>
      </c>
      <c r="BF28" s="90">
        <f t="shared" si="6"/>
        <v>880</v>
      </c>
      <c r="BG28" s="90">
        <f t="shared" si="6"/>
        <v>880</v>
      </c>
      <c r="BH28" s="90">
        <f t="shared" si="6"/>
        <v>880</v>
      </c>
      <c r="BI28" s="90">
        <f t="shared" si="6"/>
        <v>880</v>
      </c>
      <c r="BJ28" s="90">
        <f t="shared" si="6"/>
        <v>880</v>
      </c>
      <c r="BK28" s="90">
        <f t="shared" si="6"/>
        <v>880</v>
      </c>
      <c r="BL28" s="90">
        <f t="shared" si="6"/>
        <v>880</v>
      </c>
      <c r="BM28" s="90">
        <f t="shared" si="6"/>
        <v>880</v>
      </c>
      <c r="BN28" s="90">
        <f t="shared" si="6"/>
        <v>880</v>
      </c>
      <c r="BO28" s="90">
        <f t="shared" si="6"/>
        <v>880</v>
      </c>
      <c r="BP28" s="90">
        <f t="shared" si="6"/>
        <v>880</v>
      </c>
      <c r="BQ28" s="90">
        <f t="shared" si="6"/>
        <v>880</v>
      </c>
      <c r="BR28" s="90">
        <f t="shared" si="6"/>
        <v>880</v>
      </c>
      <c r="BS28" s="90">
        <f t="shared" si="6"/>
        <v>880</v>
      </c>
      <c r="BT28" s="90">
        <f t="shared" si="6"/>
        <v>880</v>
      </c>
      <c r="BU28" s="90">
        <f t="shared" si="6"/>
        <v>880</v>
      </c>
      <c r="BV28" s="90">
        <f t="shared" si="6"/>
        <v>880</v>
      </c>
      <c r="BW28" s="90">
        <f t="shared" ref="BW28:CA28" si="7" xml:space="preserve"> BW25 * BW26 * BW27</f>
        <v>0</v>
      </c>
      <c r="BX28" s="90">
        <f t="shared" si="7"/>
        <v>0</v>
      </c>
      <c r="BY28" s="90">
        <f t="shared" si="7"/>
        <v>0</v>
      </c>
      <c r="BZ28" s="90">
        <f t="shared" si="7"/>
        <v>0</v>
      </c>
      <c r="CA28" s="90">
        <f t="shared" si="7"/>
        <v>0</v>
      </c>
    </row>
    <row r="29" spans="1:79" x14ac:dyDescent="0.2">
      <c r="C29" s="83"/>
    </row>
    <row r="30" spans="1:79" x14ac:dyDescent="0.2">
      <c r="C30" s="83"/>
    </row>
    <row r="31" spans="1:79" x14ac:dyDescent="0.2">
      <c r="C31" s="83"/>
      <c r="E31" s="87" t="str">
        <f xml:space="preserve"> E$13</f>
        <v>Landings - domestic charter</v>
      </c>
      <c r="F31" s="87">
        <f t="shared" ref="F31:BQ31" si="8" xml:space="preserve"> F$13</f>
        <v>0</v>
      </c>
      <c r="G31" s="87" t="str">
        <f t="shared" si="8"/>
        <v>landings</v>
      </c>
      <c r="H31" s="87">
        <f t="shared" si="8"/>
        <v>47210</v>
      </c>
      <c r="I31" s="87">
        <f t="shared" si="8"/>
        <v>0</v>
      </c>
      <c r="J31" s="87">
        <f t="shared" si="8"/>
        <v>0</v>
      </c>
      <c r="K31" s="87">
        <f t="shared" si="8"/>
        <v>0</v>
      </c>
      <c r="L31" s="87">
        <f t="shared" si="8"/>
        <v>0</v>
      </c>
      <c r="M31" s="87">
        <f t="shared" si="8"/>
        <v>0</v>
      </c>
      <c r="N31" s="87">
        <f t="shared" si="8"/>
        <v>0</v>
      </c>
      <c r="O31" s="87">
        <f t="shared" si="8"/>
        <v>1430</v>
      </c>
      <c r="P31" s="87">
        <f t="shared" si="8"/>
        <v>1430</v>
      </c>
      <c r="Q31" s="87">
        <f t="shared" si="8"/>
        <v>1430</v>
      </c>
      <c r="R31" s="87">
        <f t="shared" si="8"/>
        <v>1100</v>
      </c>
      <c r="S31" s="87">
        <f t="shared" si="8"/>
        <v>1100</v>
      </c>
      <c r="T31" s="87">
        <f t="shared" si="8"/>
        <v>1100</v>
      </c>
      <c r="U31" s="87">
        <f t="shared" si="8"/>
        <v>1100</v>
      </c>
      <c r="V31" s="87">
        <f t="shared" si="8"/>
        <v>810</v>
      </c>
      <c r="W31" s="87">
        <f t="shared" si="8"/>
        <v>810</v>
      </c>
      <c r="X31" s="87">
        <f t="shared" si="8"/>
        <v>810</v>
      </c>
      <c r="Y31" s="87">
        <f t="shared" si="8"/>
        <v>810</v>
      </c>
      <c r="Z31" s="87">
        <f t="shared" si="8"/>
        <v>720</v>
      </c>
      <c r="AA31" s="87">
        <f t="shared" si="8"/>
        <v>720</v>
      </c>
      <c r="AB31" s="87">
        <f t="shared" si="8"/>
        <v>720</v>
      </c>
      <c r="AC31" s="87">
        <f t="shared" si="8"/>
        <v>720</v>
      </c>
      <c r="AD31" s="87">
        <f t="shared" si="8"/>
        <v>720</v>
      </c>
      <c r="AE31" s="87">
        <f t="shared" si="8"/>
        <v>720</v>
      </c>
      <c r="AF31" s="87">
        <f t="shared" si="8"/>
        <v>720</v>
      </c>
      <c r="AG31" s="87">
        <f t="shared" si="8"/>
        <v>720</v>
      </c>
      <c r="AH31" s="87">
        <f t="shared" si="8"/>
        <v>720</v>
      </c>
      <c r="AI31" s="87">
        <f t="shared" si="8"/>
        <v>720</v>
      </c>
      <c r="AJ31" s="87">
        <f t="shared" si="8"/>
        <v>720</v>
      </c>
      <c r="AK31" s="87">
        <f t="shared" si="8"/>
        <v>720</v>
      </c>
      <c r="AL31" s="87">
        <f t="shared" si="8"/>
        <v>720</v>
      </c>
      <c r="AM31" s="87">
        <f t="shared" si="8"/>
        <v>720</v>
      </c>
      <c r="AN31" s="87">
        <f t="shared" si="8"/>
        <v>720</v>
      </c>
      <c r="AO31" s="87">
        <f t="shared" si="8"/>
        <v>720</v>
      </c>
      <c r="AP31" s="87">
        <f t="shared" si="8"/>
        <v>720</v>
      </c>
      <c r="AQ31" s="87">
        <f t="shared" si="8"/>
        <v>720</v>
      </c>
      <c r="AR31" s="87">
        <f t="shared" si="8"/>
        <v>720</v>
      </c>
      <c r="AS31" s="87">
        <f t="shared" si="8"/>
        <v>720</v>
      </c>
      <c r="AT31" s="87">
        <f t="shared" si="8"/>
        <v>720</v>
      </c>
      <c r="AU31" s="87">
        <f t="shared" si="8"/>
        <v>720</v>
      </c>
      <c r="AV31" s="87">
        <f t="shared" si="8"/>
        <v>720</v>
      </c>
      <c r="AW31" s="87">
        <f t="shared" si="8"/>
        <v>720</v>
      </c>
      <c r="AX31" s="87">
        <f t="shared" si="8"/>
        <v>720</v>
      </c>
      <c r="AY31" s="87">
        <f t="shared" si="8"/>
        <v>720</v>
      </c>
      <c r="AZ31" s="87">
        <f t="shared" si="8"/>
        <v>720</v>
      </c>
      <c r="BA31" s="87">
        <f t="shared" si="8"/>
        <v>720</v>
      </c>
      <c r="BB31" s="87">
        <f t="shared" si="8"/>
        <v>720</v>
      </c>
      <c r="BC31" s="87">
        <f t="shared" si="8"/>
        <v>720</v>
      </c>
      <c r="BD31" s="87">
        <f t="shared" si="8"/>
        <v>720</v>
      </c>
      <c r="BE31" s="87">
        <f t="shared" si="8"/>
        <v>720</v>
      </c>
      <c r="BF31" s="87">
        <f t="shared" si="8"/>
        <v>720</v>
      </c>
      <c r="BG31" s="87">
        <f t="shared" si="8"/>
        <v>720</v>
      </c>
      <c r="BH31" s="87">
        <f t="shared" si="8"/>
        <v>720</v>
      </c>
      <c r="BI31" s="87">
        <f t="shared" si="8"/>
        <v>720</v>
      </c>
      <c r="BJ31" s="87">
        <f t="shared" si="8"/>
        <v>720</v>
      </c>
      <c r="BK31" s="87">
        <f t="shared" si="8"/>
        <v>720</v>
      </c>
      <c r="BL31" s="87">
        <f t="shared" si="8"/>
        <v>720</v>
      </c>
      <c r="BM31" s="87">
        <f t="shared" si="8"/>
        <v>720</v>
      </c>
      <c r="BN31" s="87">
        <f t="shared" si="8"/>
        <v>720</v>
      </c>
      <c r="BO31" s="87">
        <f t="shared" si="8"/>
        <v>720</v>
      </c>
      <c r="BP31" s="87">
        <f t="shared" si="8"/>
        <v>720</v>
      </c>
      <c r="BQ31" s="87">
        <f t="shared" si="8"/>
        <v>720</v>
      </c>
      <c r="BR31" s="87">
        <f t="shared" ref="BR31:CA31" si="9" xml:space="preserve"> BR$13</f>
        <v>720</v>
      </c>
      <c r="BS31" s="87">
        <f t="shared" si="9"/>
        <v>720</v>
      </c>
      <c r="BT31" s="87">
        <f t="shared" si="9"/>
        <v>720</v>
      </c>
      <c r="BU31" s="87">
        <f t="shared" si="9"/>
        <v>720</v>
      </c>
      <c r="BV31" s="87">
        <f t="shared" si="9"/>
        <v>720</v>
      </c>
      <c r="BW31" s="87">
        <f t="shared" si="9"/>
        <v>0</v>
      </c>
      <c r="BX31" s="87">
        <f t="shared" si="9"/>
        <v>0</v>
      </c>
      <c r="BY31" s="87">
        <f t="shared" si="9"/>
        <v>0</v>
      </c>
      <c r="BZ31" s="87">
        <f t="shared" si="9"/>
        <v>0</v>
      </c>
      <c r="CA31" s="87">
        <f t="shared" si="9"/>
        <v>0</v>
      </c>
    </row>
    <row r="32" spans="1:79" x14ac:dyDescent="0.2">
      <c r="C32" s="83"/>
      <c r="E32" s="87" t="str">
        <f xml:space="preserve"> E$18</f>
        <v>Landings - domestic scheduled</v>
      </c>
      <c r="F32" s="87">
        <f t="shared" ref="F32:BQ32" si="10" xml:space="preserve"> F$18</f>
        <v>0</v>
      </c>
      <c r="G32" s="87" t="str">
        <f t="shared" si="10"/>
        <v>landings</v>
      </c>
      <c r="H32" s="87">
        <f t="shared" si="10"/>
        <v>315560</v>
      </c>
      <c r="I32" s="87">
        <f t="shared" si="10"/>
        <v>0</v>
      </c>
      <c r="J32" s="87">
        <f t="shared" si="10"/>
        <v>0</v>
      </c>
      <c r="K32" s="87">
        <f t="shared" si="10"/>
        <v>0</v>
      </c>
      <c r="L32" s="87">
        <f t="shared" si="10"/>
        <v>0</v>
      </c>
      <c r="M32" s="87">
        <f t="shared" si="10"/>
        <v>0</v>
      </c>
      <c r="N32" s="87">
        <f t="shared" si="10"/>
        <v>0</v>
      </c>
      <c r="O32" s="87">
        <f t="shared" si="10"/>
        <v>6480</v>
      </c>
      <c r="P32" s="87">
        <f t="shared" si="10"/>
        <v>6000</v>
      </c>
      <c r="Q32" s="87">
        <f t="shared" si="10"/>
        <v>6480</v>
      </c>
      <c r="R32" s="87">
        <f t="shared" si="10"/>
        <v>5000</v>
      </c>
      <c r="S32" s="87">
        <f t="shared" si="10"/>
        <v>5400</v>
      </c>
      <c r="T32" s="87">
        <f t="shared" si="10"/>
        <v>5000</v>
      </c>
      <c r="U32" s="87">
        <f t="shared" si="10"/>
        <v>5400</v>
      </c>
      <c r="V32" s="87">
        <f t="shared" si="10"/>
        <v>5000</v>
      </c>
      <c r="W32" s="87">
        <f t="shared" si="10"/>
        <v>5400</v>
      </c>
      <c r="X32" s="87">
        <f t="shared" si="10"/>
        <v>5000</v>
      </c>
      <c r="Y32" s="87">
        <f t="shared" si="10"/>
        <v>5400</v>
      </c>
      <c r="Z32" s="87">
        <f t="shared" si="10"/>
        <v>5000</v>
      </c>
      <c r="AA32" s="87">
        <f t="shared" si="10"/>
        <v>5400</v>
      </c>
      <c r="AB32" s="87">
        <f t="shared" si="10"/>
        <v>5000</v>
      </c>
      <c r="AC32" s="87">
        <f t="shared" si="10"/>
        <v>5400</v>
      </c>
      <c r="AD32" s="87">
        <f t="shared" si="10"/>
        <v>5000</v>
      </c>
      <c r="AE32" s="87">
        <f t="shared" si="10"/>
        <v>5400</v>
      </c>
      <c r="AF32" s="87">
        <f t="shared" si="10"/>
        <v>5000</v>
      </c>
      <c r="AG32" s="87">
        <f t="shared" si="10"/>
        <v>5400</v>
      </c>
      <c r="AH32" s="87">
        <f t="shared" si="10"/>
        <v>5000</v>
      </c>
      <c r="AI32" s="87">
        <f t="shared" si="10"/>
        <v>5400</v>
      </c>
      <c r="AJ32" s="87">
        <f t="shared" si="10"/>
        <v>5000</v>
      </c>
      <c r="AK32" s="87">
        <f t="shared" si="10"/>
        <v>5400</v>
      </c>
      <c r="AL32" s="87">
        <f t="shared" si="10"/>
        <v>5000</v>
      </c>
      <c r="AM32" s="87">
        <f t="shared" si="10"/>
        <v>5400</v>
      </c>
      <c r="AN32" s="87">
        <f t="shared" si="10"/>
        <v>5000</v>
      </c>
      <c r="AO32" s="87">
        <f t="shared" si="10"/>
        <v>5400</v>
      </c>
      <c r="AP32" s="87">
        <f t="shared" si="10"/>
        <v>5000</v>
      </c>
      <c r="AQ32" s="87">
        <f t="shared" si="10"/>
        <v>5400</v>
      </c>
      <c r="AR32" s="87">
        <f t="shared" si="10"/>
        <v>5000</v>
      </c>
      <c r="AS32" s="87">
        <f t="shared" si="10"/>
        <v>5400</v>
      </c>
      <c r="AT32" s="87">
        <f t="shared" si="10"/>
        <v>5000</v>
      </c>
      <c r="AU32" s="87">
        <f t="shared" si="10"/>
        <v>5400</v>
      </c>
      <c r="AV32" s="87">
        <f t="shared" si="10"/>
        <v>5000</v>
      </c>
      <c r="AW32" s="87">
        <f t="shared" si="10"/>
        <v>5400</v>
      </c>
      <c r="AX32" s="87">
        <f t="shared" si="10"/>
        <v>5000</v>
      </c>
      <c r="AY32" s="87">
        <f t="shared" si="10"/>
        <v>5400</v>
      </c>
      <c r="AZ32" s="87">
        <f t="shared" si="10"/>
        <v>5000</v>
      </c>
      <c r="BA32" s="87">
        <f t="shared" si="10"/>
        <v>5400</v>
      </c>
      <c r="BB32" s="87">
        <f t="shared" si="10"/>
        <v>5000</v>
      </c>
      <c r="BC32" s="87">
        <f t="shared" si="10"/>
        <v>5400</v>
      </c>
      <c r="BD32" s="87">
        <f t="shared" si="10"/>
        <v>5000</v>
      </c>
      <c r="BE32" s="87">
        <f t="shared" si="10"/>
        <v>5400</v>
      </c>
      <c r="BF32" s="87">
        <f t="shared" si="10"/>
        <v>5000</v>
      </c>
      <c r="BG32" s="87">
        <f t="shared" si="10"/>
        <v>5400</v>
      </c>
      <c r="BH32" s="87">
        <f t="shared" si="10"/>
        <v>5000</v>
      </c>
      <c r="BI32" s="87">
        <f t="shared" si="10"/>
        <v>5000</v>
      </c>
      <c r="BJ32" s="87">
        <f t="shared" si="10"/>
        <v>5400</v>
      </c>
      <c r="BK32" s="87">
        <f t="shared" si="10"/>
        <v>5000</v>
      </c>
      <c r="BL32" s="87">
        <f t="shared" si="10"/>
        <v>5400</v>
      </c>
      <c r="BM32" s="87">
        <f t="shared" si="10"/>
        <v>5000</v>
      </c>
      <c r="BN32" s="87">
        <f t="shared" si="10"/>
        <v>5400</v>
      </c>
      <c r="BO32" s="87">
        <f t="shared" si="10"/>
        <v>5000</v>
      </c>
      <c r="BP32" s="87">
        <f t="shared" si="10"/>
        <v>5400</v>
      </c>
      <c r="BQ32" s="87">
        <f t="shared" si="10"/>
        <v>5000</v>
      </c>
      <c r="BR32" s="87">
        <f t="shared" ref="BR32:CA32" si="11" xml:space="preserve"> BR$18</f>
        <v>5000</v>
      </c>
      <c r="BS32" s="87">
        <f t="shared" si="11"/>
        <v>5400</v>
      </c>
      <c r="BT32" s="87">
        <f t="shared" si="11"/>
        <v>5400</v>
      </c>
      <c r="BU32" s="87">
        <f t="shared" si="11"/>
        <v>5400</v>
      </c>
      <c r="BV32" s="87">
        <f t="shared" si="11"/>
        <v>5400</v>
      </c>
      <c r="BW32" s="87">
        <f t="shared" si="11"/>
        <v>0</v>
      </c>
      <c r="BX32" s="87">
        <f t="shared" si="11"/>
        <v>0</v>
      </c>
      <c r="BY32" s="87">
        <f t="shared" si="11"/>
        <v>0</v>
      </c>
      <c r="BZ32" s="87">
        <f t="shared" si="11"/>
        <v>0</v>
      </c>
      <c r="CA32" s="87">
        <f t="shared" si="11"/>
        <v>0</v>
      </c>
    </row>
    <row r="33" spans="1:79" x14ac:dyDescent="0.2">
      <c r="C33" s="83"/>
      <c r="E33" s="87" t="str">
        <f xml:space="preserve"> E$23</f>
        <v>Landings - international charter</v>
      </c>
      <c r="F33" s="87">
        <f t="shared" ref="F33:BQ33" si="12" xml:space="preserve"> F$23</f>
        <v>0</v>
      </c>
      <c r="G33" s="87" t="str">
        <f t="shared" si="12"/>
        <v>landings</v>
      </c>
      <c r="H33" s="87">
        <f t="shared" si="12"/>
        <v>122250</v>
      </c>
      <c r="I33" s="87">
        <f t="shared" si="12"/>
        <v>0</v>
      </c>
      <c r="J33" s="87">
        <f t="shared" si="12"/>
        <v>0</v>
      </c>
      <c r="K33" s="87">
        <f t="shared" si="12"/>
        <v>0</v>
      </c>
      <c r="L33" s="87">
        <f t="shared" si="12"/>
        <v>0</v>
      </c>
      <c r="M33" s="87">
        <f t="shared" si="12"/>
        <v>0</v>
      </c>
      <c r="N33" s="87">
        <f t="shared" si="12"/>
        <v>0</v>
      </c>
      <c r="O33" s="87">
        <f t="shared" si="12"/>
        <v>1350</v>
      </c>
      <c r="P33" s="87">
        <f t="shared" si="12"/>
        <v>1500</v>
      </c>
      <c r="Q33" s="87">
        <f t="shared" si="12"/>
        <v>1500</v>
      </c>
      <c r="R33" s="87">
        <f t="shared" si="12"/>
        <v>1650</v>
      </c>
      <c r="S33" s="87">
        <f t="shared" si="12"/>
        <v>1650</v>
      </c>
      <c r="T33" s="87">
        <f t="shared" si="12"/>
        <v>1800</v>
      </c>
      <c r="U33" s="87">
        <f t="shared" si="12"/>
        <v>1800</v>
      </c>
      <c r="V33" s="87">
        <f t="shared" si="12"/>
        <v>1950</v>
      </c>
      <c r="W33" s="87">
        <f t="shared" si="12"/>
        <v>1950</v>
      </c>
      <c r="X33" s="87">
        <f t="shared" si="12"/>
        <v>2100</v>
      </c>
      <c r="Y33" s="87">
        <f t="shared" si="12"/>
        <v>2100</v>
      </c>
      <c r="Z33" s="87">
        <f t="shared" si="12"/>
        <v>2100</v>
      </c>
      <c r="AA33" s="87">
        <f t="shared" si="12"/>
        <v>2100</v>
      </c>
      <c r="AB33" s="87">
        <f t="shared" si="12"/>
        <v>2100</v>
      </c>
      <c r="AC33" s="87">
        <f t="shared" si="12"/>
        <v>2100</v>
      </c>
      <c r="AD33" s="87">
        <f t="shared" si="12"/>
        <v>2100</v>
      </c>
      <c r="AE33" s="87">
        <f t="shared" si="12"/>
        <v>2100</v>
      </c>
      <c r="AF33" s="87">
        <f t="shared" si="12"/>
        <v>2100</v>
      </c>
      <c r="AG33" s="87">
        <f t="shared" si="12"/>
        <v>2100</v>
      </c>
      <c r="AH33" s="87">
        <f t="shared" si="12"/>
        <v>2100</v>
      </c>
      <c r="AI33" s="87">
        <f t="shared" si="12"/>
        <v>2100</v>
      </c>
      <c r="AJ33" s="87">
        <f t="shared" si="12"/>
        <v>2100</v>
      </c>
      <c r="AK33" s="87">
        <f t="shared" si="12"/>
        <v>2100</v>
      </c>
      <c r="AL33" s="87">
        <f t="shared" si="12"/>
        <v>2100</v>
      </c>
      <c r="AM33" s="87">
        <f t="shared" si="12"/>
        <v>2100</v>
      </c>
      <c r="AN33" s="87">
        <f t="shared" si="12"/>
        <v>2100</v>
      </c>
      <c r="AO33" s="87">
        <f t="shared" si="12"/>
        <v>2100</v>
      </c>
      <c r="AP33" s="87">
        <f t="shared" si="12"/>
        <v>2100</v>
      </c>
      <c r="AQ33" s="87">
        <f t="shared" si="12"/>
        <v>2100</v>
      </c>
      <c r="AR33" s="87">
        <f t="shared" si="12"/>
        <v>2100</v>
      </c>
      <c r="AS33" s="87">
        <f t="shared" si="12"/>
        <v>2100</v>
      </c>
      <c r="AT33" s="87">
        <f t="shared" si="12"/>
        <v>2100</v>
      </c>
      <c r="AU33" s="87">
        <f t="shared" si="12"/>
        <v>2100</v>
      </c>
      <c r="AV33" s="87">
        <f t="shared" si="12"/>
        <v>2100</v>
      </c>
      <c r="AW33" s="87">
        <f t="shared" si="12"/>
        <v>2100</v>
      </c>
      <c r="AX33" s="87">
        <f t="shared" si="12"/>
        <v>2100</v>
      </c>
      <c r="AY33" s="87">
        <f t="shared" si="12"/>
        <v>2100</v>
      </c>
      <c r="AZ33" s="87">
        <f t="shared" si="12"/>
        <v>2100</v>
      </c>
      <c r="BA33" s="87">
        <f t="shared" si="12"/>
        <v>2100</v>
      </c>
      <c r="BB33" s="87">
        <f t="shared" si="12"/>
        <v>2100</v>
      </c>
      <c r="BC33" s="87">
        <f t="shared" si="12"/>
        <v>2100</v>
      </c>
      <c r="BD33" s="87">
        <f t="shared" si="12"/>
        <v>2100</v>
      </c>
      <c r="BE33" s="87">
        <f t="shared" si="12"/>
        <v>2100</v>
      </c>
      <c r="BF33" s="87">
        <f t="shared" si="12"/>
        <v>2100</v>
      </c>
      <c r="BG33" s="87">
        <f t="shared" si="12"/>
        <v>2100</v>
      </c>
      <c r="BH33" s="87">
        <f t="shared" si="12"/>
        <v>2100</v>
      </c>
      <c r="BI33" s="87">
        <f t="shared" si="12"/>
        <v>2100</v>
      </c>
      <c r="BJ33" s="87">
        <f t="shared" si="12"/>
        <v>2100</v>
      </c>
      <c r="BK33" s="87">
        <f t="shared" si="12"/>
        <v>2100</v>
      </c>
      <c r="BL33" s="87">
        <f t="shared" si="12"/>
        <v>2100</v>
      </c>
      <c r="BM33" s="87">
        <f t="shared" si="12"/>
        <v>2100</v>
      </c>
      <c r="BN33" s="87">
        <f t="shared" si="12"/>
        <v>2100</v>
      </c>
      <c r="BO33" s="87">
        <f t="shared" si="12"/>
        <v>2100</v>
      </c>
      <c r="BP33" s="87">
        <f t="shared" si="12"/>
        <v>2100</v>
      </c>
      <c r="BQ33" s="87">
        <f t="shared" si="12"/>
        <v>2100</v>
      </c>
      <c r="BR33" s="87">
        <f t="shared" ref="BR33:CA33" si="13" xml:space="preserve"> BR$23</f>
        <v>2100</v>
      </c>
      <c r="BS33" s="87">
        <f t="shared" si="13"/>
        <v>2100</v>
      </c>
      <c r="BT33" s="87">
        <f t="shared" si="13"/>
        <v>2100</v>
      </c>
      <c r="BU33" s="87">
        <f t="shared" si="13"/>
        <v>2100</v>
      </c>
      <c r="BV33" s="87">
        <f t="shared" si="13"/>
        <v>2100</v>
      </c>
      <c r="BW33" s="87">
        <f t="shared" si="13"/>
        <v>0</v>
      </c>
      <c r="BX33" s="87">
        <f t="shared" si="13"/>
        <v>0</v>
      </c>
      <c r="BY33" s="87">
        <f t="shared" si="13"/>
        <v>0</v>
      </c>
      <c r="BZ33" s="87">
        <f t="shared" si="13"/>
        <v>0</v>
      </c>
      <c r="CA33" s="87">
        <f t="shared" si="13"/>
        <v>0</v>
      </c>
    </row>
    <row r="34" spans="1:79" x14ac:dyDescent="0.2">
      <c r="C34" s="83"/>
      <c r="E34" s="87" t="str">
        <f xml:space="preserve"> E$28</f>
        <v>Landings - international scheduled</v>
      </c>
      <c r="F34" s="87">
        <f t="shared" ref="F34:BQ34" si="14" xml:space="preserve"> F$28</f>
        <v>0</v>
      </c>
      <c r="G34" s="87" t="str">
        <f t="shared" si="14"/>
        <v>landings</v>
      </c>
      <c r="H34" s="87">
        <f t="shared" si="14"/>
        <v>52230</v>
      </c>
      <c r="I34" s="87">
        <f t="shared" si="14"/>
        <v>0</v>
      </c>
      <c r="J34" s="87">
        <f t="shared" si="14"/>
        <v>0</v>
      </c>
      <c r="K34" s="87">
        <f t="shared" si="14"/>
        <v>0</v>
      </c>
      <c r="L34" s="87">
        <f t="shared" si="14"/>
        <v>0</v>
      </c>
      <c r="M34" s="87">
        <f t="shared" si="14"/>
        <v>0</v>
      </c>
      <c r="N34" s="87">
        <f t="shared" si="14"/>
        <v>0</v>
      </c>
      <c r="O34" s="87">
        <f t="shared" si="14"/>
        <v>630</v>
      </c>
      <c r="P34" s="87">
        <f t="shared" si="14"/>
        <v>720</v>
      </c>
      <c r="Q34" s="87">
        <f t="shared" si="14"/>
        <v>720</v>
      </c>
      <c r="R34" s="87">
        <f t="shared" si="14"/>
        <v>880</v>
      </c>
      <c r="S34" s="87">
        <f t="shared" si="14"/>
        <v>880</v>
      </c>
      <c r="T34" s="87">
        <f t="shared" si="14"/>
        <v>880</v>
      </c>
      <c r="U34" s="87">
        <f t="shared" si="14"/>
        <v>880</v>
      </c>
      <c r="V34" s="87">
        <f t="shared" si="14"/>
        <v>880</v>
      </c>
      <c r="W34" s="87">
        <f t="shared" si="14"/>
        <v>880</v>
      </c>
      <c r="X34" s="87">
        <f t="shared" si="14"/>
        <v>880</v>
      </c>
      <c r="Y34" s="87">
        <f t="shared" si="14"/>
        <v>880</v>
      </c>
      <c r="Z34" s="87">
        <f t="shared" si="14"/>
        <v>880</v>
      </c>
      <c r="AA34" s="87">
        <f t="shared" si="14"/>
        <v>880</v>
      </c>
      <c r="AB34" s="87">
        <f t="shared" si="14"/>
        <v>880</v>
      </c>
      <c r="AC34" s="87">
        <f t="shared" si="14"/>
        <v>880</v>
      </c>
      <c r="AD34" s="87">
        <f t="shared" si="14"/>
        <v>880</v>
      </c>
      <c r="AE34" s="87">
        <f t="shared" si="14"/>
        <v>880</v>
      </c>
      <c r="AF34" s="87">
        <f t="shared" si="14"/>
        <v>880</v>
      </c>
      <c r="AG34" s="87">
        <f t="shared" si="14"/>
        <v>880</v>
      </c>
      <c r="AH34" s="87">
        <f t="shared" si="14"/>
        <v>880</v>
      </c>
      <c r="AI34" s="87">
        <f t="shared" si="14"/>
        <v>880</v>
      </c>
      <c r="AJ34" s="87">
        <f t="shared" si="14"/>
        <v>880</v>
      </c>
      <c r="AK34" s="87">
        <f t="shared" si="14"/>
        <v>880</v>
      </c>
      <c r="AL34" s="87">
        <f t="shared" si="14"/>
        <v>880</v>
      </c>
      <c r="AM34" s="87">
        <f t="shared" si="14"/>
        <v>880</v>
      </c>
      <c r="AN34" s="87">
        <f t="shared" si="14"/>
        <v>880</v>
      </c>
      <c r="AO34" s="87">
        <f t="shared" si="14"/>
        <v>880</v>
      </c>
      <c r="AP34" s="87">
        <f t="shared" si="14"/>
        <v>880</v>
      </c>
      <c r="AQ34" s="87">
        <f t="shared" si="14"/>
        <v>880</v>
      </c>
      <c r="AR34" s="87">
        <f t="shared" si="14"/>
        <v>880</v>
      </c>
      <c r="AS34" s="87">
        <f t="shared" si="14"/>
        <v>880</v>
      </c>
      <c r="AT34" s="87">
        <f t="shared" si="14"/>
        <v>880</v>
      </c>
      <c r="AU34" s="87">
        <f t="shared" si="14"/>
        <v>880</v>
      </c>
      <c r="AV34" s="87">
        <f t="shared" si="14"/>
        <v>880</v>
      </c>
      <c r="AW34" s="87">
        <f t="shared" si="14"/>
        <v>880</v>
      </c>
      <c r="AX34" s="87">
        <f t="shared" si="14"/>
        <v>880</v>
      </c>
      <c r="AY34" s="87">
        <f t="shared" si="14"/>
        <v>880</v>
      </c>
      <c r="AZ34" s="87">
        <f t="shared" si="14"/>
        <v>880</v>
      </c>
      <c r="BA34" s="87">
        <f t="shared" si="14"/>
        <v>880</v>
      </c>
      <c r="BB34" s="87">
        <f t="shared" si="14"/>
        <v>880</v>
      </c>
      <c r="BC34" s="87">
        <f t="shared" si="14"/>
        <v>880</v>
      </c>
      <c r="BD34" s="87">
        <f t="shared" si="14"/>
        <v>880</v>
      </c>
      <c r="BE34" s="87">
        <f t="shared" si="14"/>
        <v>880</v>
      </c>
      <c r="BF34" s="87">
        <f t="shared" si="14"/>
        <v>880</v>
      </c>
      <c r="BG34" s="87">
        <f t="shared" si="14"/>
        <v>880</v>
      </c>
      <c r="BH34" s="87">
        <f t="shared" si="14"/>
        <v>880</v>
      </c>
      <c r="BI34" s="87">
        <f t="shared" si="14"/>
        <v>880</v>
      </c>
      <c r="BJ34" s="87">
        <f t="shared" si="14"/>
        <v>880</v>
      </c>
      <c r="BK34" s="87">
        <f t="shared" si="14"/>
        <v>880</v>
      </c>
      <c r="BL34" s="87">
        <f t="shared" si="14"/>
        <v>880</v>
      </c>
      <c r="BM34" s="87">
        <f t="shared" si="14"/>
        <v>880</v>
      </c>
      <c r="BN34" s="87">
        <f t="shared" si="14"/>
        <v>880</v>
      </c>
      <c r="BO34" s="87">
        <f t="shared" si="14"/>
        <v>880</v>
      </c>
      <c r="BP34" s="87">
        <f t="shared" si="14"/>
        <v>880</v>
      </c>
      <c r="BQ34" s="87">
        <f t="shared" si="14"/>
        <v>880</v>
      </c>
      <c r="BR34" s="87">
        <f t="shared" ref="BR34:CA34" si="15" xml:space="preserve"> BR$28</f>
        <v>880</v>
      </c>
      <c r="BS34" s="87">
        <f t="shared" si="15"/>
        <v>880</v>
      </c>
      <c r="BT34" s="87">
        <f t="shared" si="15"/>
        <v>880</v>
      </c>
      <c r="BU34" s="87">
        <f t="shared" si="15"/>
        <v>880</v>
      </c>
      <c r="BV34" s="87">
        <f t="shared" si="15"/>
        <v>880</v>
      </c>
      <c r="BW34" s="87">
        <f t="shared" si="15"/>
        <v>0</v>
      </c>
      <c r="BX34" s="87">
        <f t="shared" si="15"/>
        <v>0</v>
      </c>
      <c r="BY34" s="87">
        <f t="shared" si="15"/>
        <v>0</v>
      </c>
      <c r="BZ34" s="87">
        <f t="shared" si="15"/>
        <v>0</v>
      </c>
      <c r="CA34" s="87">
        <f t="shared" si="15"/>
        <v>0</v>
      </c>
    </row>
    <row r="35" spans="1:79" s="140" customFormat="1" x14ac:dyDescent="0.2">
      <c r="A35" s="137"/>
      <c r="B35" s="145"/>
      <c r="C35" s="146"/>
      <c r="D35" s="139"/>
      <c r="E35" s="140" t="s">
        <v>92</v>
      </c>
      <c r="G35" s="140" t="s">
        <v>72</v>
      </c>
      <c r="H35" s="140">
        <f>SUM(J35:CA35)</f>
        <v>537250</v>
      </c>
      <c r="J35" s="147">
        <f>SUM(J31:J34)</f>
        <v>0</v>
      </c>
      <c r="K35" s="147">
        <f t="shared" ref="K35:BV35" si="16">SUM(K31:K34)</f>
        <v>0</v>
      </c>
      <c r="L35" s="147">
        <f t="shared" si="16"/>
        <v>0</v>
      </c>
      <c r="M35" s="147">
        <f t="shared" si="16"/>
        <v>0</v>
      </c>
      <c r="N35" s="147">
        <f t="shared" si="16"/>
        <v>0</v>
      </c>
      <c r="O35" s="147">
        <f t="shared" si="16"/>
        <v>9890</v>
      </c>
      <c r="P35" s="147">
        <f t="shared" si="16"/>
        <v>9650</v>
      </c>
      <c r="Q35" s="147">
        <f t="shared" si="16"/>
        <v>10130</v>
      </c>
      <c r="R35" s="147">
        <f t="shared" si="16"/>
        <v>8630</v>
      </c>
      <c r="S35" s="147">
        <f t="shared" si="16"/>
        <v>9030</v>
      </c>
      <c r="T35" s="147">
        <f t="shared" si="16"/>
        <v>8780</v>
      </c>
      <c r="U35" s="147">
        <f t="shared" si="16"/>
        <v>9180</v>
      </c>
      <c r="V35" s="147">
        <f t="shared" si="16"/>
        <v>8640</v>
      </c>
      <c r="W35" s="147">
        <f t="shared" si="16"/>
        <v>9040</v>
      </c>
      <c r="X35" s="147">
        <f t="shared" si="16"/>
        <v>8790</v>
      </c>
      <c r="Y35" s="147">
        <f t="shared" si="16"/>
        <v>9190</v>
      </c>
      <c r="Z35" s="147">
        <f t="shared" si="16"/>
        <v>8700</v>
      </c>
      <c r="AA35" s="147">
        <f t="shared" si="16"/>
        <v>9100</v>
      </c>
      <c r="AB35" s="147">
        <f t="shared" si="16"/>
        <v>8700</v>
      </c>
      <c r="AC35" s="147">
        <f t="shared" si="16"/>
        <v>9100</v>
      </c>
      <c r="AD35" s="147">
        <f t="shared" si="16"/>
        <v>8700</v>
      </c>
      <c r="AE35" s="147">
        <f t="shared" si="16"/>
        <v>9100</v>
      </c>
      <c r="AF35" s="147">
        <f t="shared" si="16"/>
        <v>8700</v>
      </c>
      <c r="AG35" s="147">
        <f t="shared" si="16"/>
        <v>9100</v>
      </c>
      <c r="AH35" s="147">
        <f t="shared" si="16"/>
        <v>8700</v>
      </c>
      <c r="AI35" s="147">
        <f t="shared" si="16"/>
        <v>9100</v>
      </c>
      <c r="AJ35" s="147">
        <f t="shared" si="16"/>
        <v>8700</v>
      </c>
      <c r="AK35" s="147">
        <f t="shared" si="16"/>
        <v>9100</v>
      </c>
      <c r="AL35" s="147">
        <f t="shared" si="16"/>
        <v>8700</v>
      </c>
      <c r="AM35" s="147">
        <f t="shared" si="16"/>
        <v>9100</v>
      </c>
      <c r="AN35" s="147">
        <f t="shared" si="16"/>
        <v>8700</v>
      </c>
      <c r="AO35" s="147">
        <f t="shared" si="16"/>
        <v>9100</v>
      </c>
      <c r="AP35" s="147">
        <f t="shared" si="16"/>
        <v>8700</v>
      </c>
      <c r="AQ35" s="147">
        <f t="shared" si="16"/>
        <v>9100</v>
      </c>
      <c r="AR35" s="147">
        <f t="shared" si="16"/>
        <v>8700</v>
      </c>
      <c r="AS35" s="147">
        <f t="shared" si="16"/>
        <v>9100</v>
      </c>
      <c r="AT35" s="147">
        <f t="shared" si="16"/>
        <v>8700</v>
      </c>
      <c r="AU35" s="147">
        <f t="shared" si="16"/>
        <v>9100</v>
      </c>
      <c r="AV35" s="147">
        <f t="shared" si="16"/>
        <v>8700</v>
      </c>
      <c r="AW35" s="147">
        <f t="shared" si="16"/>
        <v>9100</v>
      </c>
      <c r="AX35" s="147">
        <f t="shared" si="16"/>
        <v>8700</v>
      </c>
      <c r="AY35" s="147">
        <f t="shared" si="16"/>
        <v>9100</v>
      </c>
      <c r="AZ35" s="147">
        <f t="shared" si="16"/>
        <v>8700</v>
      </c>
      <c r="BA35" s="147">
        <f t="shared" si="16"/>
        <v>9100</v>
      </c>
      <c r="BB35" s="147">
        <f t="shared" si="16"/>
        <v>8700</v>
      </c>
      <c r="BC35" s="147">
        <f t="shared" si="16"/>
        <v>9100</v>
      </c>
      <c r="BD35" s="147">
        <f t="shared" si="16"/>
        <v>8700</v>
      </c>
      <c r="BE35" s="147">
        <f t="shared" si="16"/>
        <v>9100</v>
      </c>
      <c r="BF35" s="147">
        <f t="shared" si="16"/>
        <v>8700</v>
      </c>
      <c r="BG35" s="147">
        <f t="shared" si="16"/>
        <v>9100</v>
      </c>
      <c r="BH35" s="147">
        <f t="shared" si="16"/>
        <v>8700</v>
      </c>
      <c r="BI35" s="147">
        <f t="shared" si="16"/>
        <v>8700</v>
      </c>
      <c r="BJ35" s="147">
        <f t="shared" si="16"/>
        <v>9100</v>
      </c>
      <c r="BK35" s="147">
        <f t="shared" si="16"/>
        <v>8700</v>
      </c>
      <c r="BL35" s="147">
        <f t="shared" si="16"/>
        <v>9100</v>
      </c>
      <c r="BM35" s="147">
        <f t="shared" si="16"/>
        <v>8700</v>
      </c>
      <c r="BN35" s="147">
        <f t="shared" si="16"/>
        <v>9100</v>
      </c>
      <c r="BO35" s="147">
        <f t="shared" si="16"/>
        <v>8700</v>
      </c>
      <c r="BP35" s="147">
        <f t="shared" si="16"/>
        <v>9100</v>
      </c>
      <c r="BQ35" s="147">
        <f t="shared" si="16"/>
        <v>8700</v>
      </c>
      <c r="BR35" s="147">
        <f t="shared" si="16"/>
        <v>8700</v>
      </c>
      <c r="BS35" s="147">
        <f t="shared" si="16"/>
        <v>9100</v>
      </c>
      <c r="BT35" s="147">
        <f t="shared" si="16"/>
        <v>9100</v>
      </c>
      <c r="BU35" s="147">
        <f t="shared" si="16"/>
        <v>9100</v>
      </c>
      <c r="BV35" s="147">
        <f t="shared" si="16"/>
        <v>9100</v>
      </c>
      <c r="BW35" s="147">
        <f t="shared" ref="BW35:CA35" si="17">SUM(BW31:BW34)</f>
        <v>0</v>
      </c>
      <c r="BX35" s="147">
        <f t="shared" si="17"/>
        <v>0</v>
      </c>
      <c r="BY35" s="147">
        <f t="shared" si="17"/>
        <v>0</v>
      </c>
      <c r="BZ35" s="147">
        <f t="shared" si="17"/>
        <v>0</v>
      </c>
      <c r="CA35" s="147">
        <f t="shared" si="17"/>
        <v>0</v>
      </c>
    </row>
    <row r="36" spans="1:79" x14ac:dyDescent="0.2">
      <c r="C36" s="83"/>
    </row>
    <row r="37" spans="1:79" x14ac:dyDescent="0.2">
      <c r="C37" s="83"/>
    </row>
    <row r="38" spans="1:79" x14ac:dyDescent="0.2">
      <c r="C38" s="83" t="s">
        <v>38</v>
      </c>
    </row>
    <row r="39" spans="1:79" x14ac:dyDescent="0.2">
      <c r="C39" s="83"/>
    </row>
    <row r="40" spans="1:79" s="96" customFormat="1" x14ac:dyDescent="0.2">
      <c r="A40" s="92"/>
      <c r="B40" s="93"/>
      <c r="C40" s="94"/>
      <c r="D40" s="95"/>
      <c r="E40" s="96" t="str">
        <f>InpC!E$23</f>
        <v>Aircraft capacity - domestic charter</v>
      </c>
      <c r="F40" s="96">
        <f>InpC!F$23</f>
        <v>110</v>
      </c>
      <c r="G40" s="96" t="str">
        <f>InpC!G$23</f>
        <v>seats</v>
      </c>
    </row>
    <row r="41" spans="1:79" s="144" customFormat="1" x14ac:dyDescent="0.2">
      <c r="A41" s="93"/>
      <c r="B41" s="93"/>
      <c r="C41" s="94"/>
      <c r="D41" s="143"/>
      <c r="E41" s="144" t="str">
        <f>InpS!E$18</f>
        <v>Load factor - domestic charter</v>
      </c>
      <c r="F41" s="144">
        <f>InpS!F$18</f>
        <v>0</v>
      </c>
      <c r="G41" s="144" t="str">
        <f>InpS!G$18</f>
        <v>%</v>
      </c>
      <c r="H41" s="144">
        <f>InpS!H$18</f>
        <v>0</v>
      </c>
      <c r="I41" s="144">
        <f>InpS!I$18</f>
        <v>0</v>
      </c>
      <c r="J41" s="212">
        <f>InpS!J$18</f>
        <v>0</v>
      </c>
      <c r="K41" s="212">
        <f>InpS!K$18</f>
        <v>0</v>
      </c>
      <c r="L41" s="212">
        <f>InpS!L$18</f>
        <v>0.6</v>
      </c>
      <c r="M41" s="212">
        <f>InpS!M$18</f>
        <v>0.6</v>
      </c>
      <c r="N41" s="212">
        <f>InpS!N$18</f>
        <v>0.7</v>
      </c>
      <c r="O41" s="212">
        <f>InpS!O$18</f>
        <v>0.7</v>
      </c>
      <c r="P41" s="212">
        <f>InpS!P$18</f>
        <v>0.7</v>
      </c>
      <c r="Q41" s="212">
        <f>InpS!Q$18</f>
        <v>0.7</v>
      </c>
      <c r="R41" s="212">
        <f>InpS!R$18</f>
        <v>0.7</v>
      </c>
      <c r="S41" s="212">
        <f>InpS!S$18</f>
        <v>0.7</v>
      </c>
      <c r="T41" s="212">
        <f>InpS!T$18</f>
        <v>0.7</v>
      </c>
      <c r="U41" s="212">
        <f>InpS!U$18</f>
        <v>0.7</v>
      </c>
      <c r="V41" s="212">
        <f>InpS!V$18</f>
        <v>0.7</v>
      </c>
      <c r="W41" s="212">
        <f>InpS!W$18</f>
        <v>0.7</v>
      </c>
      <c r="X41" s="212">
        <f>InpS!X$18</f>
        <v>0.7</v>
      </c>
      <c r="Y41" s="212">
        <f>InpS!Y$18</f>
        <v>0.7</v>
      </c>
      <c r="Z41" s="212">
        <f>InpS!Z$18</f>
        <v>0.7</v>
      </c>
      <c r="AA41" s="212">
        <f>InpS!AA$18</f>
        <v>0.7</v>
      </c>
      <c r="AB41" s="212">
        <f>InpS!AB$18</f>
        <v>0.7</v>
      </c>
      <c r="AC41" s="212">
        <f>InpS!AC$18</f>
        <v>0.7</v>
      </c>
      <c r="AD41" s="212">
        <f>InpS!AD$18</f>
        <v>0.79</v>
      </c>
      <c r="AE41" s="212">
        <f>InpS!AE$18</f>
        <v>0.79</v>
      </c>
      <c r="AF41" s="212">
        <f>InpS!AF$18</f>
        <v>0.79</v>
      </c>
      <c r="AG41" s="212">
        <f>InpS!AG$18</f>
        <v>0.79</v>
      </c>
      <c r="AH41" s="212">
        <f>InpS!AH$18</f>
        <v>0.79</v>
      </c>
      <c r="AI41" s="212">
        <f>InpS!AI$18</f>
        <v>0.79</v>
      </c>
      <c r="AJ41" s="212">
        <f>InpS!AJ$18</f>
        <v>0.79</v>
      </c>
      <c r="AK41" s="212">
        <f>InpS!AK$18</f>
        <v>0.79</v>
      </c>
      <c r="AL41" s="212">
        <f>InpS!AL$18</f>
        <v>0.79</v>
      </c>
      <c r="AM41" s="212">
        <f>InpS!AM$18</f>
        <v>0.79</v>
      </c>
      <c r="AN41" s="212">
        <f>InpS!AN$18</f>
        <v>0.79</v>
      </c>
      <c r="AO41" s="212">
        <f>InpS!AO$18</f>
        <v>0.79</v>
      </c>
      <c r="AP41" s="212">
        <f>InpS!AP$18</f>
        <v>0.79</v>
      </c>
      <c r="AQ41" s="212">
        <f>InpS!AQ$18</f>
        <v>0.79</v>
      </c>
      <c r="AR41" s="212">
        <f>InpS!AR$18</f>
        <v>0.79</v>
      </c>
      <c r="AS41" s="212">
        <f>InpS!AS$18</f>
        <v>0.79</v>
      </c>
      <c r="AT41" s="212">
        <f>InpS!AT$18</f>
        <v>0.79</v>
      </c>
      <c r="AU41" s="212">
        <f>InpS!AU$18</f>
        <v>0.79</v>
      </c>
      <c r="AV41" s="212">
        <f>InpS!AV$18</f>
        <v>0.79</v>
      </c>
      <c r="AW41" s="212">
        <f>InpS!AW$18</f>
        <v>0.79</v>
      </c>
      <c r="AX41" s="212">
        <f>InpS!AX$18</f>
        <v>0.7</v>
      </c>
      <c r="AY41" s="212">
        <f>InpS!AY$18</f>
        <v>0.7</v>
      </c>
      <c r="AZ41" s="212">
        <f>InpS!AZ$18</f>
        <v>0.7</v>
      </c>
      <c r="BA41" s="212">
        <f>InpS!BA$18</f>
        <v>0.7</v>
      </c>
      <c r="BB41" s="212">
        <f>InpS!BB$18</f>
        <v>0.7</v>
      </c>
      <c r="BC41" s="212">
        <f>InpS!BC$18</f>
        <v>0.7</v>
      </c>
      <c r="BD41" s="212">
        <f>InpS!BD$18</f>
        <v>0.7</v>
      </c>
      <c r="BE41" s="212">
        <f>InpS!BE$18</f>
        <v>0.7</v>
      </c>
      <c r="BF41" s="212">
        <f>InpS!BF$18</f>
        <v>0.65</v>
      </c>
      <c r="BG41" s="212">
        <f>InpS!BG$18</f>
        <v>0.65</v>
      </c>
      <c r="BH41" s="212">
        <f>InpS!BH$18</f>
        <v>0.65</v>
      </c>
      <c r="BI41" s="212">
        <f>InpS!BI$18</f>
        <v>0.65</v>
      </c>
      <c r="BJ41" s="212">
        <f>InpS!BJ$18</f>
        <v>0.6</v>
      </c>
      <c r="BK41" s="212">
        <f>InpS!BK$18</f>
        <v>0.6</v>
      </c>
      <c r="BL41" s="212">
        <f>InpS!BL$18</f>
        <v>0.6</v>
      </c>
      <c r="BM41" s="212">
        <f>InpS!BM$18</f>
        <v>0.6</v>
      </c>
      <c r="BN41" s="212">
        <f>InpS!BN$18</f>
        <v>0.6</v>
      </c>
      <c r="BO41" s="212">
        <f>InpS!BO$18</f>
        <v>0.6</v>
      </c>
      <c r="BP41" s="212">
        <f>InpS!BP$18</f>
        <v>0.6</v>
      </c>
      <c r="BQ41" s="212">
        <f>InpS!BQ$18</f>
        <v>0.6</v>
      </c>
      <c r="BR41" s="212">
        <f>InpS!BR$18</f>
        <v>0.6</v>
      </c>
      <c r="BS41" s="212">
        <f>InpS!BS$18</f>
        <v>0.6</v>
      </c>
      <c r="BT41" s="212">
        <f>InpS!BT$18</f>
        <v>0.6</v>
      </c>
      <c r="BU41" s="212">
        <f>InpS!BU$18</f>
        <v>0.6</v>
      </c>
      <c r="BV41" s="212">
        <f>InpS!BV$18</f>
        <v>0.6</v>
      </c>
      <c r="BW41" s="212">
        <f>InpS!BW$18</f>
        <v>0</v>
      </c>
      <c r="BX41" s="212">
        <f>InpS!BX$18</f>
        <v>0</v>
      </c>
      <c r="BY41" s="212">
        <f>InpS!BY$18</f>
        <v>0</v>
      </c>
      <c r="BZ41" s="212">
        <f>InpS!BZ$18</f>
        <v>0</v>
      </c>
      <c r="CA41" s="212">
        <f>InpS!CA$18</f>
        <v>0</v>
      </c>
    </row>
    <row r="42" spans="1:79" s="197" customFormat="1" x14ac:dyDescent="0.2">
      <c r="A42" s="264"/>
      <c r="B42" s="264"/>
      <c r="C42" s="265"/>
      <c r="D42" s="266"/>
      <c r="E42" s="197" t="str">
        <f>'T&amp;E'!E$24</f>
        <v>Operating period flag</v>
      </c>
      <c r="F42" s="197">
        <f>'T&amp;E'!F$24</f>
        <v>0</v>
      </c>
      <c r="G42" s="197" t="str">
        <f>'T&amp;E'!G$24</f>
        <v>flag</v>
      </c>
      <c r="H42" s="197">
        <f>'T&amp;E'!H$24</f>
        <v>60</v>
      </c>
      <c r="I42" s="197">
        <f>'T&amp;E'!I$24</f>
        <v>0</v>
      </c>
      <c r="J42" s="197">
        <f>'T&amp;E'!J$24</f>
        <v>0</v>
      </c>
      <c r="K42" s="197">
        <f>'T&amp;E'!K$24</f>
        <v>0</v>
      </c>
      <c r="L42" s="197">
        <f>'T&amp;E'!L$24</f>
        <v>0</v>
      </c>
      <c r="M42" s="197">
        <f>'T&amp;E'!M$24</f>
        <v>0</v>
      </c>
      <c r="N42" s="197">
        <f>'T&amp;E'!N$24</f>
        <v>0</v>
      </c>
      <c r="O42" s="197">
        <f>'T&amp;E'!O$24</f>
        <v>1</v>
      </c>
      <c r="P42" s="197">
        <f>'T&amp;E'!P$24</f>
        <v>1</v>
      </c>
      <c r="Q42" s="197">
        <f>'T&amp;E'!Q$24</f>
        <v>1</v>
      </c>
      <c r="R42" s="197">
        <f>'T&amp;E'!R$24</f>
        <v>1</v>
      </c>
      <c r="S42" s="197">
        <f>'T&amp;E'!S$24</f>
        <v>1</v>
      </c>
      <c r="T42" s="197">
        <f>'T&amp;E'!T$24</f>
        <v>1</v>
      </c>
      <c r="U42" s="197">
        <f>'T&amp;E'!U$24</f>
        <v>1</v>
      </c>
      <c r="V42" s="197">
        <f>'T&amp;E'!V$24</f>
        <v>1</v>
      </c>
      <c r="W42" s="197">
        <f>'T&amp;E'!W$24</f>
        <v>1</v>
      </c>
      <c r="X42" s="197">
        <f>'T&amp;E'!X$24</f>
        <v>1</v>
      </c>
      <c r="Y42" s="197">
        <f>'T&amp;E'!Y$24</f>
        <v>1</v>
      </c>
      <c r="Z42" s="197">
        <f>'T&amp;E'!Z$24</f>
        <v>1</v>
      </c>
      <c r="AA42" s="197">
        <f>'T&amp;E'!AA$24</f>
        <v>1</v>
      </c>
      <c r="AB42" s="197">
        <f>'T&amp;E'!AB$24</f>
        <v>1</v>
      </c>
      <c r="AC42" s="197">
        <f>'T&amp;E'!AC$24</f>
        <v>1</v>
      </c>
      <c r="AD42" s="197">
        <f>'T&amp;E'!AD$24</f>
        <v>1</v>
      </c>
      <c r="AE42" s="197">
        <f>'T&amp;E'!AE$24</f>
        <v>1</v>
      </c>
      <c r="AF42" s="197">
        <f>'T&amp;E'!AF$24</f>
        <v>1</v>
      </c>
      <c r="AG42" s="197">
        <f>'T&amp;E'!AG$24</f>
        <v>1</v>
      </c>
      <c r="AH42" s="197">
        <f>'T&amp;E'!AH$24</f>
        <v>1</v>
      </c>
      <c r="AI42" s="197">
        <f>'T&amp;E'!AI$24</f>
        <v>1</v>
      </c>
      <c r="AJ42" s="197">
        <f>'T&amp;E'!AJ$24</f>
        <v>1</v>
      </c>
      <c r="AK42" s="197">
        <f>'T&amp;E'!AK$24</f>
        <v>1</v>
      </c>
      <c r="AL42" s="197">
        <f>'T&amp;E'!AL$24</f>
        <v>1</v>
      </c>
      <c r="AM42" s="197">
        <f>'T&amp;E'!AM$24</f>
        <v>1</v>
      </c>
      <c r="AN42" s="197">
        <f>'T&amp;E'!AN$24</f>
        <v>1</v>
      </c>
      <c r="AO42" s="197">
        <f>'T&amp;E'!AO$24</f>
        <v>1</v>
      </c>
      <c r="AP42" s="197">
        <f>'T&amp;E'!AP$24</f>
        <v>1</v>
      </c>
      <c r="AQ42" s="197">
        <f>'T&amp;E'!AQ$24</f>
        <v>1</v>
      </c>
      <c r="AR42" s="197">
        <f>'T&amp;E'!AR$24</f>
        <v>1</v>
      </c>
      <c r="AS42" s="197">
        <f>'T&amp;E'!AS$24</f>
        <v>1</v>
      </c>
      <c r="AT42" s="197">
        <f>'T&amp;E'!AT$24</f>
        <v>1</v>
      </c>
      <c r="AU42" s="197">
        <f>'T&amp;E'!AU$24</f>
        <v>1</v>
      </c>
      <c r="AV42" s="197">
        <f>'T&amp;E'!AV$24</f>
        <v>1</v>
      </c>
      <c r="AW42" s="197">
        <f>'T&amp;E'!AW$24</f>
        <v>1</v>
      </c>
      <c r="AX42" s="197">
        <f>'T&amp;E'!AX$24</f>
        <v>1</v>
      </c>
      <c r="AY42" s="197">
        <f>'T&amp;E'!AY$24</f>
        <v>1</v>
      </c>
      <c r="AZ42" s="197">
        <f>'T&amp;E'!AZ$24</f>
        <v>1</v>
      </c>
      <c r="BA42" s="197">
        <f>'T&amp;E'!BA$24</f>
        <v>1</v>
      </c>
      <c r="BB42" s="197">
        <f>'T&amp;E'!BB$24</f>
        <v>1</v>
      </c>
      <c r="BC42" s="197">
        <f>'T&amp;E'!BC$24</f>
        <v>1</v>
      </c>
      <c r="BD42" s="197">
        <f>'T&amp;E'!BD$24</f>
        <v>1</v>
      </c>
      <c r="BE42" s="197">
        <f>'T&amp;E'!BE$24</f>
        <v>1</v>
      </c>
      <c r="BF42" s="197">
        <f>'T&amp;E'!BF$24</f>
        <v>1</v>
      </c>
      <c r="BG42" s="197">
        <f>'T&amp;E'!BG$24</f>
        <v>1</v>
      </c>
      <c r="BH42" s="197">
        <f>'T&amp;E'!BH$24</f>
        <v>1</v>
      </c>
      <c r="BI42" s="197">
        <f>'T&amp;E'!BI$24</f>
        <v>1</v>
      </c>
      <c r="BJ42" s="197">
        <f>'T&amp;E'!BJ$24</f>
        <v>1</v>
      </c>
      <c r="BK42" s="197">
        <f>'T&amp;E'!BK$24</f>
        <v>1</v>
      </c>
      <c r="BL42" s="197">
        <f>'T&amp;E'!BL$24</f>
        <v>1</v>
      </c>
      <c r="BM42" s="197">
        <f>'T&amp;E'!BM$24</f>
        <v>1</v>
      </c>
      <c r="BN42" s="197">
        <f>'T&amp;E'!BN$24</f>
        <v>1</v>
      </c>
      <c r="BO42" s="197">
        <f>'T&amp;E'!BO$24</f>
        <v>1</v>
      </c>
      <c r="BP42" s="197">
        <f>'T&amp;E'!BP$24</f>
        <v>1</v>
      </c>
      <c r="BQ42" s="197">
        <f>'T&amp;E'!BQ$24</f>
        <v>1</v>
      </c>
      <c r="BR42" s="197">
        <f>'T&amp;E'!BR$24</f>
        <v>1</v>
      </c>
      <c r="BS42" s="197">
        <f>'T&amp;E'!BS$24</f>
        <v>1</v>
      </c>
      <c r="BT42" s="197">
        <f>'T&amp;E'!BT$24</f>
        <v>1</v>
      </c>
      <c r="BU42" s="197">
        <f>'T&amp;E'!BU$24</f>
        <v>1</v>
      </c>
      <c r="BV42" s="197">
        <f>'T&amp;E'!BV$24</f>
        <v>1</v>
      </c>
      <c r="BW42" s="197">
        <f>'T&amp;E'!BW$24</f>
        <v>0</v>
      </c>
      <c r="BX42" s="197">
        <f>'T&amp;E'!BX$24</f>
        <v>0</v>
      </c>
      <c r="BY42" s="197">
        <f>'T&amp;E'!BY$24</f>
        <v>0</v>
      </c>
      <c r="BZ42" s="197">
        <f>'T&amp;E'!BZ$24</f>
        <v>0</v>
      </c>
      <c r="CA42" s="197">
        <f>'T&amp;E'!CA$24</f>
        <v>0</v>
      </c>
    </row>
    <row r="43" spans="1:79" s="90" customFormat="1" x14ac:dyDescent="0.2">
      <c r="A43" s="82"/>
      <c r="B43" s="82"/>
      <c r="C43" s="83"/>
      <c r="D43" s="89"/>
      <c r="E43" s="90" t="s">
        <v>71</v>
      </c>
      <c r="G43" s="90" t="s">
        <v>76</v>
      </c>
      <c r="J43" s="90">
        <f xml:space="preserve"> $F40 * J41 * J42</f>
        <v>0</v>
      </c>
      <c r="K43" s="90">
        <f t="shared" ref="K43:BV43" si="18" xml:space="preserve"> $F40 * K41 * K42</f>
        <v>0</v>
      </c>
      <c r="L43" s="90">
        <f t="shared" si="18"/>
        <v>0</v>
      </c>
      <c r="M43" s="90">
        <f t="shared" si="18"/>
        <v>0</v>
      </c>
      <c r="N43" s="90">
        <f t="shared" si="18"/>
        <v>0</v>
      </c>
      <c r="O43" s="90">
        <f t="shared" si="18"/>
        <v>77</v>
      </c>
      <c r="P43" s="90">
        <f t="shared" si="18"/>
        <v>77</v>
      </c>
      <c r="Q43" s="90">
        <f t="shared" si="18"/>
        <v>77</v>
      </c>
      <c r="R43" s="90">
        <f t="shared" si="18"/>
        <v>77</v>
      </c>
      <c r="S43" s="90">
        <f t="shared" si="18"/>
        <v>77</v>
      </c>
      <c r="T43" s="90">
        <f t="shared" si="18"/>
        <v>77</v>
      </c>
      <c r="U43" s="90">
        <f t="shared" si="18"/>
        <v>77</v>
      </c>
      <c r="V43" s="90">
        <f t="shared" si="18"/>
        <v>77</v>
      </c>
      <c r="W43" s="90">
        <f t="shared" si="18"/>
        <v>77</v>
      </c>
      <c r="X43" s="90">
        <f t="shared" si="18"/>
        <v>77</v>
      </c>
      <c r="Y43" s="90">
        <f t="shared" si="18"/>
        <v>77</v>
      </c>
      <c r="Z43" s="90">
        <f t="shared" si="18"/>
        <v>77</v>
      </c>
      <c r="AA43" s="90">
        <f t="shared" si="18"/>
        <v>77</v>
      </c>
      <c r="AB43" s="90">
        <f t="shared" si="18"/>
        <v>77</v>
      </c>
      <c r="AC43" s="90">
        <f t="shared" si="18"/>
        <v>77</v>
      </c>
      <c r="AD43" s="90">
        <f t="shared" si="18"/>
        <v>86.9</v>
      </c>
      <c r="AE43" s="90">
        <f t="shared" si="18"/>
        <v>86.9</v>
      </c>
      <c r="AF43" s="90">
        <f t="shared" si="18"/>
        <v>86.9</v>
      </c>
      <c r="AG43" s="90">
        <f t="shared" si="18"/>
        <v>86.9</v>
      </c>
      <c r="AH43" s="90">
        <f t="shared" si="18"/>
        <v>86.9</v>
      </c>
      <c r="AI43" s="90">
        <f t="shared" si="18"/>
        <v>86.9</v>
      </c>
      <c r="AJ43" s="90">
        <f t="shared" si="18"/>
        <v>86.9</v>
      </c>
      <c r="AK43" s="90">
        <f t="shared" si="18"/>
        <v>86.9</v>
      </c>
      <c r="AL43" s="90">
        <f t="shared" si="18"/>
        <v>86.9</v>
      </c>
      <c r="AM43" s="90">
        <f t="shared" si="18"/>
        <v>86.9</v>
      </c>
      <c r="AN43" s="90">
        <f t="shared" si="18"/>
        <v>86.9</v>
      </c>
      <c r="AO43" s="90">
        <f t="shared" si="18"/>
        <v>86.9</v>
      </c>
      <c r="AP43" s="90">
        <f t="shared" si="18"/>
        <v>86.9</v>
      </c>
      <c r="AQ43" s="90">
        <f t="shared" si="18"/>
        <v>86.9</v>
      </c>
      <c r="AR43" s="90">
        <f t="shared" si="18"/>
        <v>86.9</v>
      </c>
      <c r="AS43" s="90">
        <f t="shared" si="18"/>
        <v>86.9</v>
      </c>
      <c r="AT43" s="90">
        <f t="shared" si="18"/>
        <v>86.9</v>
      </c>
      <c r="AU43" s="90">
        <f t="shared" si="18"/>
        <v>86.9</v>
      </c>
      <c r="AV43" s="90">
        <f t="shared" si="18"/>
        <v>86.9</v>
      </c>
      <c r="AW43" s="90">
        <f t="shared" si="18"/>
        <v>86.9</v>
      </c>
      <c r="AX43" s="90">
        <f t="shared" si="18"/>
        <v>77</v>
      </c>
      <c r="AY43" s="90">
        <f t="shared" si="18"/>
        <v>77</v>
      </c>
      <c r="AZ43" s="90">
        <f t="shared" si="18"/>
        <v>77</v>
      </c>
      <c r="BA43" s="90">
        <f t="shared" si="18"/>
        <v>77</v>
      </c>
      <c r="BB43" s="90">
        <f t="shared" si="18"/>
        <v>77</v>
      </c>
      <c r="BC43" s="90">
        <f t="shared" si="18"/>
        <v>77</v>
      </c>
      <c r="BD43" s="90">
        <f t="shared" si="18"/>
        <v>77</v>
      </c>
      <c r="BE43" s="90">
        <f t="shared" si="18"/>
        <v>77</v>
      </c>
      <c r="BF43" s="90">
        <f t="shared" si="18"/>
        <v>71.5</v>
      </c>
      <c r="BG43" s="90">
        <f t="shared" si="18"/>
        <v>71.5</v>
      </c>
      <c r="BH43" s="90">
        <f t="shared" si="18"/>
        <v>71.5</v>
      </c>
      <c r="BI43" s="90">
        <f t="shared" si="18"/>
        <v>71.5</v>
      </c>
      <c r="BJ43" s="90">
        <f t="shared" si="18"/>
        <v>66</v>
      </c>
      <c r="BK43" s="90">
        <f t="shared" si="18"/>
        <v>66</v>
      </c>
      <c r="BL43" s="90">
        <f t="shared" si="18"/>
        <v>66</v>
      </c>
      <c r="BM43" s="90">
        <f t="shared" si="18"/>
        <v>66</v>
      </c>
      <c r="BN43" s="90">
        <f t="shared" si="18"/>
        <v>66</v>
      </c>
      <c r="BO43" s="90">
        <f t="shared" si="18"/>
        <v>66</v>
      </c>
      <c r="BP43" s="90">
        <f t="shared" si="18"/>
        <v>66</v>
      </c>
      <c r="BQ43" s="90">
        <f t="shared" si="18"/>
        <v>66</v>
      </c>
      <c r="BR43" s="90">
        <f t="shared" si="18"/>
        <v>66</v>
      </c>
      <c r="BS43" s="90">
        <f t="shared" si="18"/>
        <v>66</v>
      </c>
      <c r="BT43" s="90">
        <f t="shared" si="18"/>
        <v>66</v>
      </c>
      <c r="BU43" s="90">
        <f t="shared" si="18"/>
        <v>66</v>
      </c>
      <c r="BV43" s="90">
        <f t="shared" si="18"/>
        <v>66</v>
      </c>
      <c r="BW43" s="90">
        <f t="shared" ref="BW43:CA43" si="19" xml:space="preserve"> $F40 * BW41 * BW42</f>
        <v>0</v>
      </c>
      <c r="BX43" s="90">
        <f t="shared" si="19"/>
        <v>0</v>
      </c>
      <c r="BY43" s="90">
        <f t="shared" si="19"/>
        <v>0</v>
      </c>
      <c r="BZ43" s="90">
        <f t="shared" si="19"/>
        <v>0</v>
      </c>
      <c r="CA43" s="90">
        <f t="shared" si="19"/>
        <v>0</v>
      </c>
    </row>
    <row r="44" spans="1:79" x14ac:dyDescent="0.2">
      <c r="C44" s="83"/>
    </row>
    <row r="45" spans="1:79" s="96" customFormat="1" x14ac:dyDescent="0.2">
      <c r="A45" s="92"/>
      <c r="B45" s="93"/>
      <c r="C45" s="94"/>
      <c r="D45" s="95"/>
      <c r="E45" s="96" t="str">
        <f>InpC!E$24</f>
        <v>Aircraft capacity - domestic scheduled</v>
      </c>
      <c r="F45" s="96">
        <f>InpC!F$24</f>
        <v>140</v>
      </c>
      <c r="G45" s="96" t="str">
        <f>InpC!G$24</f>
        <v>seats</v>
      </c>
    </row>
    <row r="46" spans="1:79" s="144" customFormat="1" x14ac:dyDescent="0.2">
      <c r="A46" s="93"/>
      <c r="B46" s="93"/>
      <c r="C46" s="94"/>
      <c r="D46" s="143"/>
      <c r="E46" s="144" t="str">
        <f>InpS!E$19</f>
        <v>Load factor - domestic scheduled</v>
      </c>
      <c r="F46" s="144">
        <f>InpS!F$19</f>
        <v>0</v>
      </c>
      <c r="G46" s="144" t="str">
        <f>InpS!G$19</f>
        <v>%</v>
      </c>
      <c r="H46" s="144">
        <f>InpS!H$19</f>
        <v>0</v>
      </c>
      <c r="I46" s="144">
        <f>InpS!I$19</f>
        <v>0</v>
      </c>
      <c r="J46" s="212">
        <f>InpS!J$19</f>
        <v>0</v>
      </c>
      <c r="K46" s="212">
        <f>InpS!K$19</f>
        <v>0</v>
      </c>
      <c r="L46" s="212">
        <f>InpS!L$19</f>
        <v>0.7</v>
      </c>
      <c r="M46" s="212">
        <f>InpS!M$19</f>
        <v>0.7</v>
      </c>
      <c r="N46" s="212">
        <f>InpS!N$19</f>
        <v>0.7</v>
      </c>
      <c r="O46" s="212">
        <f>InpS!O$19</f>
        <v>0.7</v>
      </c>
      <c r="P46" s="212">
        <f>InpS!P$19</f>
        <v>0.7</v>
      </c>
      <c r="Q46" s="212">
        <f>InpS!Q$19</f>
        <v>0.7</v>
      </c>
      <c r="R46" s="212">
        <f>InpS!R$19</f>
        <v>0.7</v>
      </c>
      <c r="S46" s="212">
        <f>InpS!S$19</f>
        <v>0.7</v>
      </c>
      <c r="T46" s="212">
        <f>InpS!T$19</f>
        <v>0.66</v>
      </c>
      <c r="U46" s="212">
        <f>InpS!U$19</f>
        <v>0.66</v>
      </c>
      <c r="V46" s="212">
        <f>InpS!V$19</f>
        <v>0.66</v>
      </c>
      <c r="W46" s="212">
        <f>InpS!W$19</f>
        <v>0.66</v>
      </c>
      <c r="X46" s="212">
        <f>InpS!X$19</f>
        <v>0.66</v>
      </c>
      <c r="Y46" s="212">
        <f>InpS!Y$19</f>
        <v>0.66</v>
      </c>
      <c r="Z46" s="212">
        <f>InpS!Z$19</f>
        <v>0.66</v>
      </c>
      <c r="AA46" s="212">
        <f>InpS!AA$19</f>
        <v>0.66</v>
      </c>
      <c r="AB46" s="212">
        <f>InpS!AB$19</f>
        <v>0.66</v>
      </c>
      <c r="AC46" s="212">
        <f>InpS!AC$19</f>
        <v>0.66</v>
      </c>
      <c r="AD46" s="212">
        <f>InpS!AD$19</f>
        <v>0.68</v>
      </c>
      <c r="AE46" s="212">
        <f>InpS!AE$19</f>
        <v>0.68</v>
      </c>
      <c r="AF46" s="212">
        <f>InpS!AF$19</f>
        <v>0.68</v>
      </c>
      <c r="AG46" s="212">
        <f>InpS!AG$19</f>
        <v>0.68</v>
      </c>
      <c r="AH46" s="212">
        <f>InpS!AH$19</f>
        <v>0.68</v>
      </c>
      <c r="AI46" s="212">
        <f>InpS!AI$19</f>
        <v>0.68</v>
      </c>
      <c r="AJ46" s="212">
        <f>InpS!AJ$19</f>
        <v>0.68</v>
      </c>
      <c r="AK46" s="212">
        <f>InpS!AK$19</f>
        <v>0.68</v>
      </c>
      <c r="AL46" s="212">
        <f>InpS!AL$19</f>
        <v>0.68</v>
      </c>
      <c r="AM46" s="212">
        <f>InpS!AM$19</f>
        <v>0.68</v>
      </c>
      <c r="AN46" s="212">
        <f>InpS!AN$19</f>
        <v>0.7</v>
      </c>
      <c r="AO46" s="212">
        <f>InpS!AO$19</f>
        <v>0.7</v>
      </c>
      <c r="AP46" s="212">
        <f>InpS!AP$19</f>
        <v>0.7</v>
      </c>
      <c r="AQ46" s="212">
        <f>InpS!AQ$19</f>
        <v>0.7</v>
      </c>
      <c r="AR46" s="212">
        <f>InpS!AR$19</f>
        <v>0.7</v>
      </c>
      <c r="AS46" s="212">
        <f>InpS!AS$19</f>
        <v>0.7</v>
      </c>
      <c r="AT46" s="212">
        <f>InpS!AT$19</f>
        <v>0.7</v>
      </c>
      <c r="AU46" s="212">
        <f>InpS!AU$19</f>
        <v>0.7</v>
      </c>
      <c r="AV46" s="212">
        <f>InpS!AV$19</f>
        <v>0.7</v>
      </c>
      <c r="AW46" s="212">
        <f>InpS!AW$19</f>
        <v>0.7</v>
      </c>
      <c r="AX46" s="212">
        <f>InpS!AX$19</f>
        <v>0.72</v>
      </c>
      <c r="AY46" s="212">
        <f>InpS!AY$19</f>
        <v>0.72</v>
      </c>
      <c r="AZ46" s="212">
        <f>InpS!AZ$19</f>
        <v>0.72</v>
      </c>
      <c r="BA46" s="212">
        <f>InpS!BA$19</f>
        <v>0.72</v>
      </c>
      <c r="BB46" s="212">
        <f>InpS!BB$19</f>
        <v>0.72</v>
      </c>
      <c r="BC46" s="212">
        <f>InpS!BC$19</f>
        <v>0.72</v>
      </c>
      <c r="BD46" s="212">
        <f>InpS!BD$19</f>
        <v>0.72</v>
      </c>
      <c r="BE46" s="212">
        <f>InpS!BE$19</f>
        <v>0.72</v>
      </c>
      <c r="BF46" s="212">
        <f>InpS!BF$19</f>
        <v>0.72</v>
      </c>
      <c r="BG46" s="212">
        <f>InpS!BG$19</f>
        <v>0.72</v>
      </c>
      <c r="BH46" s="212">
        <f>InpS!BH$19</f>
        <v>0.72</v>
      </c>
      <c r="BI46" s="212">
        <f>InpS!BI$19</f>
        <v>0.72</v>
      </c>
      <c r="BJ46" s="212">
        <f>InpS!BJ$19</f>
        <v>0.72</v>
      </c>
      <c r="BK46" s="212">
        <f>InpS!BK$19</f>
        <v>0.72</v>
      </c>
      <c r="BL46" s="212">
        <f>InpS!BL$19</f>
        <v>0.72</v>
      </c>
      <c r="BM46" s="212">
        <f>InpS!BM$19</f>
        <v>0.72</v>
      </c>
      <c r="BN46" s="212">
        <f>InpS!BN$19</f>
        <v>0.72</v>
      </c>
      <c r="BO46" s="212">
        <f>InpS!BO$19</f>
        <v>0.72</v>
      </c>
      <c r="BP46" s="212">
        <f>InpS!BP$19</f>
        <v>0.72</v>
      </c>
      <c r="BQ46" s="212">
        <f>InpS!BQ$19</f>
        <v>0.72</v>
      </c>
      <c r="BR46" s="212">
        <f>InpS!BR$19</f>
        <v>0.72</v>
      </c>
      <c r="BS46" s="212">
        <f>InpS!BS$19</f>
        <v>0.72</v>
      </c>
      <c r="BT46" s="212">
        <f>InpS!BT$19</f>
        <v>0.72</v>
      </c>
      <c r="BU46" s="212">
        <f>InpS!BU$19</f>
        <v>0.72</v>
      </c>
      <c r="BV46" s="212">
        <f>InpS!BV$19</f>
        <v>0.72</v>
      </c>
      <c r="BW46" s="212">
        <f>InpS!BW$19</f>
        <v>0</v>
      </c>
      <c r="BX46" s="212">
        <f>InpS!BX$19</f>
        <v>0</v>
      </c>
      <c r="BY46" s="212">
        <f>InpS!BY$19</f>
        <v>0</v>
      </c>
      <c r="BZ46" s="212">
        <f>InpS!BZ$19</f>
        <v>0</v>
      </c>
      <c r="CA46" s="212">
        <f>InpS!CA$19</f>
        <v>0</v>
      </c>
    </row>
    <row r="47" spans="1:79" s="197" customFormat="1" x14ac:dyDescent="0.2">
      <c r="A47" s="264"/>
      <c r="B47" s="264"/>
      <c r="C47" s="265"/>
      <c r="D47" s="266"/>
      <c r="E47" s="197" t="str">
        <f>'T&amp;E'!E$24</f>
        <v>Operating period flag</v>
      </c>
      <c r="F47" s="197">
        <f>'T&amp;E'!F$24</f>
        <v>0</v>
      </c>
      <c r="G47" s="197" t="str">
        <f>'T&amp;E'!G$24</f>
        <v>flag</v>
      </c>
      <c r="H47" s="197">
        <f>'T&amp;E'!H$24</f>
        <v>60</v>
      </c>
      <c r="I47" s="197">
        <f>'T&amp;E'!I$24</f>
        <v>0</v>
      </c>
      <c r="J47" s="197">
        <f>'T&amp;E'!J$24</f>
        <v>0</v>
      </c>
      <c r="K47" s="197">
        <f>'T&amp;E'!K$24</f>
        <v>0</v>
      </c>
      <c r="L47" s="197">
        <f>'T&amp;E'!L$24</f>
        <v>0</v>
      </c>
      <c r="M47" s="197">
        <f>'T&amp;E'!M$24</f>
        <v>0</v>
      </c>
      <c r="N47" s="197">
        <f>'T&amp;E'!N$24</f>
        <v>0</v>
      </c>
      <c r="O47" s="197">
        <f>'T&amp;E'!O$24</f>
        <v>1</v>
      </c>
      <c r="P47" s="197">
        <f>'T&amp;E'!P$24</f>
        <v>1</v>
      </c>
      <c r="Q47" s="197">
        <f>'T&amp;E'!Q$24</f>
        <v>1</v>
      </c>
      <c r="R47" s="197">
        <f>'T&amp;E'!R$24</f>
        <v>1</v>
      </c>
      <c r="S47" s="197">
        <f>'T&amp;E'!S$24</f>
        <v>1</v>
      </c>
      <c r="T47" s="197">
        <f>'T&amp;E'!T$24</f>
        <v>1</v>
      </c>
      <c r="U47" s="197">
        <f>'T&amp;E'!U$24</f>
        <v>1</v>
      </c>
      <c r="V47" s="197">
        <f>'T&amp;E'!V$24</f>
        <v>1</v>
      </c>
      <c r="W47" s="197">
        <f>'T&amp;E'!W$24</f>
        <v>1</v>
      </c>
      <c r="X47" s="197">
        <f>'T&amp;E'!X$24</f>
        <v>1</v>
      </c>
      <c r="Y47" s="197">
        <f>'T&amp;E'!Y$24</f>
        <v>1</v>
      </c>
      <c r="Z47" s="197">
        <f>'T&amp;E'!Z$24</f>
        <v>1</v>
      </c>
      <c r="AA47" s="197">
        <f>'T&amp;E'!AA$24</f>
        <v>1</v>
      </c>
      <c r="AB47" s="197">
        <f>'T&amp;E'!AB$24</f>
        <v>1</v>
      </c>
      <c r="AC47" s="197">
        <f>'T&amp;E'!AC$24</f>
        <v>1</v>
      </c>
      <c r="AD47" s="197">
        <f>'T&amp;E'!AD$24</f>
        <v>1</v>
      </c>
      <c r="AE47" s="197">
        <f>'T&amp;E'!AE$24</f>
        <v>1</v>
      </c>
      <c r="AF47" s="197">
        <f>'T&amp;E'!AF$24</f>
        <v>1</v>
      </c>
      <c r="AG47" s="197">
        <f>'T&amp;E'!AG$24</f>
        <v>1</v>
      </c>
      <c r="AH47" s="197">
        <f>'T&amp;E'!AH$24</f>
        <v>1</v>
      </c>
      <c r="AI47" s="197">
        <f>'T&amp;E'!AI$24</f>
        <v>1</v>
      </c>
      <c r="AJ47" s="197">
        <f>'T&amp;E'!AJ$24</f>
        <v>1</v>
      </c>
      <c r="AK47" s="197">
        <f>'T&amp;E'!AK$24</f>
        <v>1</v>
      </c>
      <c r="AL47" s="197">
        <f>'T&amp;E'!AL$24</f>
        <v>1</v>
      </c>
      <c r="AM47" s="197">
        <f>'T&amp;E'!AM$24</f>
        <v>1</v>
      </c>
      <c r="AN47" s="197">
        <f>'T&amp;E'!AN$24</f>
        <v>1</v>
      </c>
      <c r="AO47" s="197">
        <f>'T&amp;E'!AO$24</f>
        <v>1</v>
      </c>
      <c r="AP47" s="197">
        <f>'T&amp;E'!AP$24</f>
        <v>1</v>
      </c>
      <c r="AQ47" s="197">
        <f>'T&amp;E'!AQ$24</f>
        <v>1</v>
      </c>
      <c r="AR47" s="197">
        <f>'T&amp;E'!AR$24</f>
        <v>1</v>
      </c>
      <c r="AS47" s="197">
        <f>'T&amp;E'!AS$24</f>
        <v>1</v>
      </c>
      <c r="AT47" s="197">
        <f>'T&amp;E'!AT$24</f>
        <v>1</v>
      </c>
      <c r="AU47" s="197">
        <f>'T&amp;E'!AU$24</f>
        <v>1</v>
      </c>
      <c r="AV47" s="197">
        <f>'T&amp;E'!AV$24</f>
        <v>1</v>
      </c>
      <c r="AW47" s="197">
        <f>'T&amp;E'!AW$24</f>
        <v>1</v>
      </c>
      <c r="AX47" s="197">
        <f>'T&amp;E'!AX$24</f>
        <v>1</v>
      </c>
      <c r="AY47" s="197">
        <f>'T&amp;E'!AY$24</f>
        <v>1</v>
      </c>
      <c r="AZ47" s="197">
        <f>'T&amp;E'!AZ$24</f>
        <v>1</v>
      </c>
      <c r="BA47" s="197">
        <f>'T&amp;E'!BA$24</f>
        <v>1</v>
      </c>
      <c r="BB47" s="197">
        <f>'T&amp;E'!BB$24</f>
        <v>1</v>
      </c>
      <c r="BC47" s="197">
        <f>'T&amp;E'!BC$24</f>
        <v>1</v>
      </c>
      <c r="BD47" s="197">
        <f>'T&amp;E'!BD$24</f>
        <v>1</v>
      </c>
      <c r="BE47" s="197">
        <f>'T&amp;E'!BE$24</f>
        <v>1</v>
      </c>
      <c r="BF47" s="197">
        <f>'T&amp;E'!BF$24</f>
        <v>1</v>
      </c>
      <c r="BG47" s="197">
        <f>'T&amp;E'!BG$24</f>
        <v>1</v>
      </c>
      <c r="BH47" s="197">
        <f>'T&amp;E'!BH$24</f>
        <v>1</v>
      </c>
      <c r="BI47" s="197">
        <f>'T&amp;E'!BI$24</f>
        <v>1</v>
      </c>
      <c r="BJ47" s="197">
        <f>'T&amp;E'!BJ$24</f>
        <v>1</v>
      </c>
      <c r="BK47" s="197">
        <f>'T&amp;E'!BK$24</f>
        <v>1</v>
      </c>
      <c r="BL47" s="197">
        <f>'T&amp;E'!BL$24</f>
        <v>1</v>
      </c>
      <c r="BM47" s="197">
        <f>'T&amp;E'!BM$24</f>
        <v>1</v>
      </c>
      <c r="BN47" s="197">
        <f>'T&amp;E'!BN$24</f>
        <v>1</v>
      </c>
      <c r="BO47" s="197">
        <f>'T&amp;E'!BO$24</f>
        <v>1</v>
      </c>
      <c r="BP47" s="197">
        <f>'T&amp;E'!BP$24</f>
        <v>1</v>
      </c>
      <c r="BQ47" s="197">
        <f>'T&amp;E'!BQ$24</f>
        <v>1</v>
      </c>
      <c r="BR47" s="197">
        <f>'T&amp;E'!BR$24</f>
        <v>1</v>
      </c>
      <c r="BS47" s="197">
        <f>'T&amp;E'!BS$24</f>
        <v>1</v>
      </c>
      <c r="BT47" s="197">
        <f>'T&amp;E'!BT$24</f>
        <v>1</v>
      </c>
      <c r="BU47" s="197">
        <f>'T&amp;E'!BU$24</f>
        <v>1</v>
      </c>
      <c r="BV47" s="197">
        <f>'T&amp;E'!BV$24</f>
        <v>1</v>
      </c>
      <c r="BW47" s="197">
        <f>'T&amp;E'!BW$24</f>
        <v>0</v>
      </c>
      <c r="BX47" s="197">
        <f>'T&amp;E'!BX$24</f>
        <v>0</v>
      </c>
      <c r="BY47" s="197">
        <f>'T&amp;E'!BY$24</f>
        <v>0</v>
      </c>
      <c r="BZ47" s="197">
        <f>'T&amp;E'!BZ$24</f>
        <v>0</v>
      </c>
      <c r="CA47" s="197">
        <f>'T&amp;E'!CA$24</f>
        <v>0</v>
      </c>
    </row>
    <row r="48" spans="1:79" s="90" customFormat="1" x14ac:dyDescent="0.2">
      <c r="A48" s="82"/>
      <c r="B48" s="82"/>
      <c r="C48" s="83"/>
      <c r="D48" s="89"/>
      <c r="E48" s="90" t="s">
        <v>65</v>
      </c>
      <c r="G48" s="90" t="s">
        <v>76</v>
      </c>
      <c r="J48" s="90">
        <f xml:space="preserve"> $F45 * J46 * J47</f>
        <v>0</v>
      </c>
      <c r="K48" s="90">
        <f t="shared" ref="K48:BV48" si="20" xml:space="preserve"> $F45 * K46 * K47</f>
        <v>0</v>
      </c>
      <c r="L48" s="90">
        <f t="shared" si="20"/>
        <v>0</v>
      </c>
      <c r="M48" s="90">
        <f t="shared" si="20"/>
        <v>0</v>
      </c>
      <c r="N48" s="90">
        <f t="shared" si="20"/>
        <v>0</v>
      </c>
      <c r="O48" s="90">
        <f t="shared" si="20"/>
        <v>98</v>
      </c>
      <c r="P48" s="90">
        <f t="shared" si="20"/>
        <v>98</v>
      </c>
      <c r="Q48" s="90">
        <f t="shared" si="20"/>
        <v>98</v>
      </c>
      <c r="R48" s="90">
        <f t="shared" si="20"/>
        <v>98</v>
      </c>
      <c r="S48" s="90">
        <f t="shared" si="20"/>
        <v>98</v>
      </c>
      <c r="T48" s="90">
        <f t="shared" si="20"/>
        <v>92.4</v>
      </c>
      <c r="U48" s="90">
        <f t="shared" si="20"/>
        <v>92.4</v>
      </c>
      <c r="V48" s="90">
        <f t="shared" si="20"/>
        <v>92.4</v>
      </c>
      <c r="W48" s="90">
        <f t="shared" si="20"/>
        <v>92.4</v>
      </c>
      <c r="X48" s="90">
        <f t="shared" si="20"/>
        <v>92.4</v>
      </c>
      <c r="Y48" s="90">
        <f t="shared" si="20"/>
        <v>92.4</v>
      </c>
      <c r="Z48" s="90">
        <f t="shared" si="20"/>
        <v>92.4</v>
      </c>
      <c r="AA48" s="90">
        <f t="shared" si="20"/>
        <v>92.4</v>
      </c>
      <c r="AB48" s="90">
        <f t="shared" si="20"/>
        <v>92.4</v>
      </c>
      <c r="AC48" s="90">
        <f t="shared" si="20"/>
        <v>92.4</v>
      </c>
      <c r="AD48" s="90">
        <f t="shared" si="20"/>
        <v>95.2</v>
      </c>
      <c r="AE48" s="90">
        <f t="shared" si="20"/>
        <v>95.2</v>
      </c>
      <c r="AF48" s="90">
        <f t="shared" si="20"/>
        <v>95.2</v>
      </c>
      <c r="AG48" s="90">
        <f t="shared" si="20"/>
        <v>95.2</v>
      </c>
      <c r="AH48" s="90">
        <f t="shared" si="20"/>
        <v>95.2</v>
      </c>
      <c r="AI48" s="90">
        <f t="shared" si="20"/>
        <v>95.2</v>
      </c>
      <c r="AJ48" s="90">
        <f t="shared" si="20"/>
        <v>95.2</v>
      </c>
      <c r="AK48" s="90">
        <f t="shared" si="20"/>
        <v>95.2</v>
      </c>
      <c r="AL48" s="90">
        <f t="shared" si="20"/>
        <v>95.2</v>
      </c>
      <c r="AM48" s="90">
        <f t="shared" si="20"/>
        <v>95.2</v>
      </c>
      <c r="AN48" s="90">
        <f t="shared" si="20"/>
        <v>98</v>
      </c>
      <c r="AO48" s="90">
        <f t="shared" si="20"/>
        <v>98</v>
      </c>
      <c r="AP48" s="90">
        <f t="shared" si="20"/>
        <v>98</v>
      </c>
      <c r="AQ48" s="90">
        <f t="shared" si="20"/>
        <v>98</v>
      </c>
      <c r="AR48" s="90">
        <f t="shared" si="20"/>
        <v>98</v>
      </c>
      <c r="AS48" s="90">
        <f t="shared" si="20"/>
        <v>98</v>
      </c>
      <c r="AT48" s="90">
        <f t="shared" si="20"/>
        <v>98</v>
      </c>
      <c r="AU48" s="90">
        <f t="shared" si="20"/>
        <v>98</v>
      </c>
      <c r="AV48" s="90">
        <f t="shared" si="20"/>
        <v>98</v>
      </c>
      <c r="AW48" s="90">
        <f t="shared" si="20"/>
        <v>98</v>
      </c>
      <c r="AX48" s="90">
        <f t="shared" si="20"/>
        <v>100.8</v>
      </c>
      <c r="AY48" s="90">
        <f t="shared" si="20"/>
        <v>100.8</v>
      </c>
      <c r="AZ48" s="90">
        <f t="shared" si="20"/>
        <v>100.8</v>
      </c>
      <c r="BA48" s="90">
        <f t="shared" si="20"/>
        <v>100.8</v>
      </c>
      <c r="BB48" s="90">
        <f t="shared" si="20"/>
        <v>100.8</v>
      </c>
      <c r="BC48" s="90">
        <f t="shared" si="20"/>
        <v>100.8</v>
      </c>
      <c r="BD48" s="90">
        <f t="shared" si="20"/>
        <v>100.8</v>
      </c>
      <c r="BE48" s="90">
        <f t="shared" si="20"/>
        <v>100.8</v>
      </c>
      <c r="BF48" s="90">
        <f t="shared" si="20"/>
        <v>100.8</v>
      </c>
      <c r="BG48" s="90">
        <f t="shared" si="20"/>
        <v>100.8</v>
      </c>
      <c r="BH48" s="90">
        <f t="shared" si="20"/>
        <v>100.8</v>
      </c>
      <c r="BI48" s="90">
        <f t="shared" si="20"/>
        <v>100.8</v>
      </c>
      <c r="BJ48" s="90">
        <f t="shared" si="20"/>
        <v>100.8</v>
      </c>
      <c r="BK48" s="90">
        <f t="shared" si="20"/>
        <v>100.8</v>
      </c>
      <c r="BL48" s="90">
        <f t="shared" si="20"/>
        <v>100.8</v>
      </c>
      <c r="BM48" s="90">
        <f t="shared" si="20"/>
        <v>100.8</v>
      </c>
      <c r="BN48" s="90">
        <f t="shared" si="20"/>
        <v>100.8</v>
      </c>
      <c r="BO48" s="90">
        <f t="shared" si="20"/>
        <v>100.8</v>
      </c>
      <c r="BP48" s="90">
        <f t="shared" si="20"/>
        <v>100.8</v>
      </c>
      <c r="BQ48" s="90">
        <f t="shared" si="20"/>
        <v>100.8</v>
      </c>
      <c r="BR48" s="90">
        <f t="shared" si="20"/>
        <v>100.8</v>
      </c>
      <c r="BS48" s="90">
        <f t="shared" si="20"/>
        <v>100.8</v>
      </c>
      <c r="BT48" s="90">
        <f t="shared" si="20"/>
        <v>100.8</v>
      </c>
      <c r="BU48" s="90">
        <f t="shared" si="20"/>
        <v>100.8</v>
      </c>
      <c r="BV48" s="90">
        <f t="shared" si="20"/>
        <v>100.8</v>
      </c>
      <c r="BW48" s="90">
        <f t="shared" ref="BW48:CA48" si="21" xml:space="preserve"> $F45 * BW46 * BW47</f>
        <v>0</v>
      </c>
      <c r="BX48" s="90">
        <f t="shared" si="21"/>
        <v>0</v>
      </c>
      <c r="BY48" s="90">
        <f t="shared" si="21"/>
        <v>0</v>
      </c>
      <c r="BZ48" s="90">
        <f t="shared" si="21"/>
        <v>0</v>
      </c>
      <c r="CA48" s="90">
        <f t="shared" si="21"/>
        <v>0</v>
      </c>
    </row>
    <row r="49" spans="1:93" x14ac:dyDescent="0.2">
      <c r="C49" s="83"/>
    </row>
    <row r="50" spans="1:93" s="96" customFormat="1" x14ac:dyDescent="0.2">
      <c r="A50" s="92"/>
      <c r="B50" s="93"/>
      <c r="C50" s="94"/>
      <c r="D50" s="95"/>
      <c r="E50" s="96" t="str">
        <f>InpC!E$25</f>
        <v>Aircraft capacity - international chartered</v>
      </c>
      <c r="F50" s="96">
        <f>InpC!F$25</f>
        <v>250</v>
      </c>
      <c r="G50" s="96" t="str">
        <f>InpC!G$25</f>
        <v>seats</v>
      </c>
    </row>
    <row r="51" spans="1:93" s="144" customFormat="1" x14ac:dyDescent="0.2">
      <c r="A51" s="93"/>
      <c r="B51" s="93"/>
      <c r="C51" s="94"/>
      <c r="D51" s="143"/>
      <c r="E51" s="144" t="str">
        <f>InpS!E$20</f>
        <v>Load factor - international charter</v>
      </c>
      <c r="F51" s="144">
        <f>InpS!F$20</f>
        <v>0</v>
      </c>
      <c r="G51" s="144" t="str">
        <f>InpS!G$20</f>
        <v>%</v>
      </c>
      <c r="H51" s="144">
        <f>InpS!H$20</f>
        <v>0</v>
      </c>
      <c r="I51" s="144">
        <f>InpS!I$20</f>
        <v>0</v>
      </c>
      <c r="J51" s="212">
        <f>InpS!J$20</f>
        <v>0</v>
      </c>
      <c r="K51" s="212">
        <f>InpS!K$20</f>
        <v>0</v>
      </c>
      <c r="L51" s="212">
        <f>InpS!L$20</f>
        <v>0.65</v>
      </c>
      <c r="M51" s="212">
        <f>InpS!M$20</f>
        <v>0.6</v>
      </c>
      <c r="N51" s="212">
        <f>InpS!N$20</f>
        <v>0.65</v>
      </c>
      <c r="O51" s="212">
        <f>InpS!O$20</f>
        <v>0.6</v>
      </c>
      <c r="P51" s="212">
        <f>InpS!P$20</f>
        <v>0.65</v>
      </c>
      <c r="Q51" s="212">
        <f>InpS!Q$20</f>
        <v>0.6</v>
      </c>
      <c r="R51" s="212">
        <f>InpS!R$20</f>
        <v>0.65</v>
      </c>
      <c r="S51" s="212">
        <f>InpS!S$20</f>
        <v>0.6</v>
      </c>
      <c r="T51" s="212">
        <f>InpS!T$20</f>
        <v>0.65</v>
      </c>
      <c r="U51" s="212">
        <f>InpS!U$20</f>
        <v>0.6</v>
      </c>
      <c r="V51" s="212">
        <f>InpS!V$20</f>
        <v>0.65</v>
      </c>
      <c r="W51" s="212">
        <f>InpS!W$20</f>
        <v>0.6</v>
      </c>
      <c r="X51" s="212">
        <f>InpS!X$20</f>
        <v>0.65</v>
      </c>
      <c r="Y51" s="212">
        <f>InpS!Y$20</f>
        <v>0.6</v>
      </c>
      <c r="Z51" s="212">
        <f>InpS!Z$20</f>
        <v>0.65</v>
      </c>
      <c r="AA51" s="212">
        <f>InpS!AA$20</f>
        <v>0.6</v>
      </c>
      <c r="AB51" s="212">
        <f>InpS!AB$20</f>
        <v>0.65</v>
      </c>
      <c r="AC51" s="212">
        <f>InpS!AC$20</f>
        <v>0.6</v>
      </c>
      <c r="AD51" s="212">
        <f>InpS!AD$20</f>
        <v>0.65</v>
      </c>
      <c r="AE51" s="212">
        <f>InpS!AE$20</f>
        <v>0.6</v>
      </c>
      <c r="AF51" s="212">
        <f>InpS!AF$20</f>
        <v>0.65</v>
      </c>
      <c r="AG51" s="212">
        <f>InpS!AG$20</f>
        <v>0.6</v>
      </c>
      <c r="AH51" s="212">
        <f>InpS!AH$20</f>
        <v>0.65</v>
      </c>
      <c r="AI51" s="212">
        <f>InpS!AI$20</f>
        <v>0.6</v>
      </c>
      <c r="AJ51" s="212">
        <f>InpS!AJ$20</f>
        <v>0.65</v>
      </c>
      <c r="AK51" s="212">
        <f>InpS!AK$20</f>
        <v>0.6</v>
      </c>
      <c r="AL51" s="212">
        <f>InpS!AL$20</f>
        <v>0.65</v>
      </c>
      <c r="AM51" s="212">
        <f>InpS!AM$20</f>
        <v>0.6</v>
      </c>
      <c r="AN51" s="212">
        <f>InpS!AN$20</f>
        <v>0.65</v>
      </c>
      <c r="AO51" s="212">
        <f>InpS!AO$20</f>
        <v>0.6</v>
      </c>
      <c r="AP51" s="212">
        <f>InpS!AP$20</f>
        <v>0.65</v>
      </c>
      <c r="AQ51" s="212">
        <f>InpS!AQ$20</f>
        <v>0.6</v>
      </c>
      <c r="AR51" s="212">
        <f>InpS!AR$20</f>
        <v>0.65</v>
      </c>
      <c r="AS51" s="212">
        <f>InpS!AS$20</f>
        <v>0.6</v>
      </c>
      <c r="AT51" s="212">
        <f>InpS!AT$20</f>
        <v>0.65</v>
      </c>
      <c r="AU51" s="212">
        <f>InpS!AU$20</f>
        <v>0.6</v>
      </c>
      <c r="AV51" s="212">
        <f>InpS!AV$20</f>
        <v>0.65</v>
      </c>
      <c r="AW51" s="212">
        <f>InpS!AW$20</f>
        <v>0.6</v>
      </c>
      <c r="AX51" s="212">
        <f>InpS!AX$20</f>
        <v>0.65</v>
      </c>
      <c r="AY51" s="212">
        <f>InpS!AY$20</f>
        <v>0.6</v>
      </c>
      <c r="AZ51" s="212">
        <f>InpS!AZ$20</f>
        <v>0.65</v>
      </c>
      <c r="BA51" s="212">
        <f>InpS!BA$20</f>
        <v>0.6</v>
      </c>
      <c r="BB51" s="212">
        <f>InpS!BB$20</f>
        <v>0.65</v>
      </c>
      <c r="BC51" s="212">
        <f>InpS!BC$20</f>
        <v>0.6</v>
      </c>
      <c r="BD51" s="212">
        <f>InpS!BD$20</f>
        <v>0.65</v>
      </c>
      <c r="BE51" s="212">
        <f>InpS!BE$20</f>
        <v>0.6</v>
      </c>
      <c r="BF51" s="212">
        <f>InpS!BF$20</f>
        <v>0.65</v>
      </c>
      <c r="BG51" s="212">
        <f>InpS!BG$20</f>
        <v>0.6</v>
      </c>
      <c r="BH51" s="212">
        <f>InpS!BH$20</f>
        <v>0.65</v>
      </c>
      <c r="BI51" s="212">
        <f>InpS!BI$20</f>
        <v>0.6</v>
      </c>
      <c r="BJ51" s="212">
        <f>InpS!BJ$20</f>
        <v>0.65</v>
      </c>
      <c r="BK51" s="212">
        <f>InpS!BK$20</f>
        <v>0.6</v>
      </c>
      <c r="BL51" s="212">
        <f>InpS!BL$20</f>
        <v>0.65</v>
      </c>
      <c r="BM51" s="212">
        <f>InpS!BM$20</f>
        <v>0.6</v>
      </c>
      <c r="BN51" s="212">
        <f>InpS!BN$20</f>
        <v>0.65</v>
      </c>
      <c r="BO51" s="212">
        <f>InpS!BO$20</f>
        <v>0.6</v>
      </c>
      <c r="BP51" s="212">
        <f>InpS!BP$20</f>
        <v>0.65</v>
      </c>
      <c r="BQ51" s="212">
        <f>InpS!BQ$20</f>
        <v>0.6</v>
      </c>
      <c r="BR51" s="212">
        <f>InpS!BR$20</f>
        <v>0.65</v>
      </c>
      <c r="BS51" s="212">
        <f>InpS!BS$20</f>
        <v>0.6</v>
      </c>
      <c r="BT51" s="212">
        <f>InpS!BT$20</f>
        <v>0.6</v>
      </c>
      <c r="BU51" s="212">
        <f>InpS!BU$20</f>
        <v>0.6</v>
      </c>
      <c r="BV51" s="212">
        <f>InpS!BV$20</f>
        <v>0.6</v>
      </c>
      <c r="BW51" s="212">
        <f>InpS!BW$20</f>
        <v>0</v>
      </c>
      <c r="BX51" s="212">
        <f>InpS!BX$20</f>
        <v>0</v>
      </c>
      <c r="BY51" s="212">
        <f>InpS!BY$20</f>
        <v>0</v>
      </c>
      <c r="BZ51" s="212">
        <f>InpS!BZ$20</f>
        <v>0</v>
      </c>
      <c r="CA51" s="212">
        <f>InpS!CA$20</f>
        <v>0</v>
      </c>
      <c r="CB51" s="212">
        <v>0.55000000000000004</v>
      </c>
      <c r="CC51" s="212">
        <v>0.5</v>
      </c>
      <c r="CD51" s="212">
        <v>0.55000000000000004</v>
      </c>
      <c r="CE51" s="212">
        <v>0.5</v>
      </c>
      <c r="CF51" s="212">
        <v>0.55000000000000004</v>
      </c>
      <c r="CG51" s="212">
        <v>0.5</v>
      </c>
      <c r="CH51" s="212">
        <v>0.55000000000000004</v>
      </c>
      <c r="CI51" s="212">
        <v>0.5</v>
      </c>
      <c r="CJ51" s="212">
        <v>0.55000000000000004</v>
      </c>
      <c r="CK51" s="212">
        <v>0.5</v>
      </c>
      <c r="CL51" s="212">
        <v>0.55000000000000004</v>
      </c>
      <c r="CM51" s="212">
        <v>0.5</v>
      </c>
      <c r="CN51" s="212">
        <v>0.55000000000000004</v>
      </c>
      <c r="CO51" s="212">
        <v>0.5</v>
      </c>
    </row>
    <row r="52" spans="1:93" s="197" customFormat="1" x14ac:dyDescent="0.2">
      <c r="A52" s="264"/>
      <c r="B52" s="264"/>
      <c r="C52" s="265"/>
      <c r="D52" s="266"/>
      <c r="E52" s="197" t="str">
        <f>'T&amp;E'!E$24</f>
        <v>Operating period flag</v>
      </c>
      <c r="F52" s="197">
        <f>'T&amp;E'!F$24</f>
        <v>0</v>
      </c>
      <c r="G52" s="197" t="str">
        <f>'T&amp;E'!G$24</f>
        <v>flag</v>
      </c>
      <c r="H52" s="197">
        <f>'T&amp;E'!H$24</f>
        <v>60</v>
      </c>
      <c r="I52" s="197">
        <f>'T&amp;E'!I$24</f>
        <v>0</v>
      </c>
      <c r="J52" s="197">
        <f>'T&amp;E'!J$24</f>
        <v>0</v>
      </c>
      <c r="K52" s="197">
        <f>'T&amp;E'!K$24</f>
        <v>0</v>
      </c>
      <c r="L52" s="197">
        <f>'T&amp;E'!L$24</f>
        <v>0</v>
      </c>
      <c r="M52" s="197">
        <f>'T&amp;E'!M$24</f>
        <v>0</v>
      </c>
      <c r="N52" s="197">
        <f>'T&amp;E'!N$24</f>
        <v>0</v>
      </c>
      <c r="O52" s="197">
        <f>'T&amp;E'!O$24</f>
        <v>1</v>
      </c>
      <c r="P52" s="197">
        <f>'T&amp;E'!P$24</f>
        <v>1</v>
      </c>
      <c r="Q52" s="197">
        <f>'T&amp;E'!Q$24</f>
        <v>1</v>
      </c>
      <c r="R52" s="197">
        <f>'T&amp;E'!R$24</f>
        <v>1</v>
      </c>
      <c r="S52" s="197">
        <f>'T&amp;E'!S$24</f>
        <v>1</v>
      </c>
      <c r="T52" s="197">
        <f>'T&amp;E'!T$24</f>
        <v>1</v>
      </c>
      <c r="U52" s="197">
        <f>'T&amp;E'!U$24</f>
        <v>1</v>
      </c>
      <c r="V52" s="197">
        <f>'T&amp;E'!V$24</f>
        <v>1</v>
      </c>
      <c r="W52" s="197">
        <f>'T&amp;E'!W$24</f>
        <v>1</v>
      </c>
      <c r="X52" s="197">
        <f>'T&amp;E'!X$24</f>
        <v>1</v>
      </c>
      <c r="Y52" s="197">
        <f>'T&amp;E'!Y$24</f>
        <v>1</v>
      </c>
      <c r="Z52" s="197">
        <f>'T&amp;E'!Z$24</f>
        <v>1</v>
      </c>
      <c r="AA52" s="197">
        <f>'T&amp;E'!AA$24</f>
        <v>1</v>
      </c>
      <c r="AB52" s="197">
        <f>'T&amp;E'!AB$24</f>
        <v>1</v>
      </c>
      <c r="AC52" s="197">
        <f>'T&amp;E'!AC$24</f>
        <v>1</v>
      </c>
      <c r="AD52" s="197">
        <f>'T&amp;E'!AD$24</f>
        <v>1</v>
      </c>
      <c r="AE52" s="197">
        <f>'T&amp;E'!AE$24</f>
        <v>1</v>
      </c>
      <c r="AF52" s="197">
        <f>'T&amp;E'!AF$24</f>
        <v>1</v>
      </c>
      <c r="AG52" s="197">
        <f>'T&amp;E'!AG$24</f>
        <v>1</v>
      </c>
      <c r="AH52" s="197">
        <f>'T&amp;E'!AH$24</f>
        <v>1</v>
      </c>
      <c r="AI52" s="197">
        <f>'T&amp;E'!AI$24</f>
        <v>1</v>
      </c>
      <c r="AJ52" s="197">
        <f>'T&amp;E'!AJ$24</f>
        <v>1</v>
      </c>
      <c r="AK52" s="197">
        <f>'T&amp;E'!AK$24</f>
        <v>1</v>
      </c>
      <c r="AL52" s="197">
        <f>'T&amp;E'!AL$24</f>
        <v>1</v>
      </c>
      <c r="AM52" s="197">
        <f>'T&amp;E'!AM$24</f>
        <v>1</v>
      </c>
      <c r="AN52" s="197">
        <f>'T&amp;E'!AN$24</f>
        <v>1</v>
      </c>
      <c r="AO52" s="197">
        <f>'T&amp;E'!AO$24</f>
        <v>1</v>
      </c>
      <c r="AP52" s="197">
        <f>'T&amp;E'!AP$24</f>
        <v>1</v>
      </c>
      <c r="AQ52" s="197">
        <f>'T&amp;E'!AQ$24</f>
        <v>1</v>
      </c>
      <c r="AR52" s="197">
        <f>'T&amp;E'!AR$24</f>
        <v>1</v>
      </c>
      <c r="AS52" s="197">
        <f>'T&amp;E'!AS$24</f>
        <v>1</v>
      </c>
      <c r="AT52" s="197">
        <f>'T&amp;E'!AT$24</f>
        <v>1</v>
      </c>
      <c r="AU52" s="197">
        <f>'T&amp;E'!AU$24</f>
        <v>1</v>
      </c>
      <c r="AV52" s="197">
        <f>'T&amp;E'!AV$24</f>
        <v>1</v>
      </c>
      <c r="AW52" s="197">
        <f>'T&amp;E'!AW$24</f>
        <v>1</v>
      </c>
      <c r="AX52" s="197">
        <f>'T&amp;E'!AX$24</f>
        <v>1</v>
      </c>
      <c r="AY52" s="197">
        <f>'T&amp;E'!AY$24</f>
        <v>1</v>
      </c>
      <c r="AZ52" s="197">
        <f>'T&amp;E'!AZ$24</f>
        <v>1</v>
      </c>
      <c r="BA52" s="197">
        <f>'T&amp;E'!BA$24</f>
        <v>1</v>
      </c>
      <c r="BB52" s="197">
        <f>'T&amp;E'!BB$24</f>
        <v>1</v>
      </c>
      <c r="BC52" s="197">
        <f>'T&amp;E'!BC$24</f>
        <v>1</v>
      </c>
      <c r="BD52" s="197">
        <f>'T&amp;E'!BD$24</f>
        <v>1</v>
      </c>
      <c r="BE52" s="197">
        <f>'T&amp;E'!BE$24</f>
        <v>1</v>
      </c>
      <c r="BF52" s="197">
        <f>'T&amp;E'!BF$24</f>
        <v>1</v>
      </c>
      <c r="BG52" s="197">
        <f>'T&amp;E'!BG$24</f>
        <v>1</v>
      </c>
      <c r="BH52" s="197">
        <f>'T&amp;E'!BH$24</f>
        <v>1</v>
      </c>
      <c r="BI52" s="197">
        <f>'T&amp;E'!BI$24</f>
        <v>1</v>
      </c>
      <c r="BJ52" s="197">
        <f>'T&amp;E'!BJ$24</f>
        <v>1</v>
      </c>
      <c r="BK52" s="197">
        <f>'T&amp;E'!BK$24</f>
        <v>1</v>
      </c>
      <c r="BL52" s="197">
        <f>'T&amp;E'!BL$24</f>
        <v>1</v>
      </c>
      <c r="BM52" s="197">
        <f>'T&amp;E'!BM$24</f>
        <v>1</v>
      </c>
      <c r="BN52" s="197">
        <f>'T&amp;E'!BN$24</f>
        <v>1</v>
      </c>
      <c r="BO52" s="197">
        <f>'T&amp;E'!BO$24</f>
        <v>1</v>
      </c>
      <c r="BP52" s="197">
        <f>'T&amp;E'!BP$24</f>
        <v>1</v>
      </c>
      <c r="BQ52" s="197">
        <f>'T&amp;E'!BQ$24</f>
        <v>1</v>
      </c>
      <c r="BR52" s="197">
        <f>'T&amp;E'!BR$24</f>
        <v>1</v>
      </c>
      <c r="BS52" s="197">
        <f>'T&amp;E'!BS$24</f>
        <v>1</v>
      </c>
      <c r="BT52" s="197">
        <f>'T&amp;E'!BT$24</f>
        <v>1</v>
      </c>
      <c r="BU52" s="197">
        <f>'T&amp;E'!BU$24</f>
        <v>1</v>
      </c>
      <c r="BV52" s="197">
        <f>'T&amp;E'!BV$24</f>
        <v>1</v>
      </c>
      <c r="BW52" s="197">
        <f>'T&amp;E'!BW$24</f>
        <v>0</v>
      </c>
      <c r="BX52" s="197">
        <f>'T&amp;E'!BX$24</f>
        <v>0</v>
      </c>
      <c r="BY52" s="197">
        <f>'T&amp;E'!BY$24</f>
        <v>0</v>
      </c>
      <c r="BZ52" s="197">
        <f>'T&amp;E'!BZ$24</f>
        <v>0</v>
      </c>
      <c r="CA52" s="197">
        <f>'T&amp;E'!CA$24</f>
        <v>0</v>
      </c>
    </row>
    <row r="53" spans="1:93" s="90" customFormat="1" x14ac:dyDescent="0.2">
      <c r="A53" s="82"/>
      <c r="B53" s="82"/>
      <c r="C53" s="83"/>
      <c r="D53" s="89"/>
      <c r="E53" s="90" t="s">
        <v>64</v>
      </c>
      <c r="G53" s="90" t="s">
        <v>76</v>
      </c>
      <c r="J53" s="90">
        <f xml:space="preserve"> $F50 * J51 * J52</f>
        <v>0</v>
      </c>
      <c r="K53" s="90">
        <f t="shared" ref="K53:BV53" si="22" xml:space="preserve"> $F50 * K51 * K52</f>
        <v>0</v>
      </c>
      <c r="L53" s="90">
        <f t="shared" si="22"/>
        <v>0</v>
      </c>
      <c r="M53" s="90">
        <f t="shared" si="22"/>
        <v>0</v>
      </c>
      <c r="N53" s="90">
        <f t="shared" si="22"/>
        <v>0</v>
      </c>
      <c r="O53" s="90">
        <f t="shared" si="22"/>
        <v>150</v>
      </c>
      <c r="P53" s="90">
        <f t="shared" si="22"/>
        <v>162.5</v>
      </c>
      <c r="Q53" s="90">
        <f t="shared" si="22"/>
        <v>150</v>
      </c>
      <c r="R53" s="90">
        <f t="shared" si="22"/>
        <v>162.5</v>
      </c>
      <c r="S53" s="90">
        <f t="shared" si="22"/>
        <v>150</v>
      </c>
      <c r="T53" s="90">
        <f t="shared" si="22"/>
        <v>162.5</v>
      </c>
      <c r="U53" s="90">
        <f t="shared" si="22"/>
        <v>150</v>
      </c>
      <c r="V53" s="90">
        <f t="shared" si="22"/>
        <v>162.5</v>
      </c>
      <c r="W53" s="90">
        <f t="shared" si="22"/>
        <v>150</v>
      </c>
      <c r="X53" s="90">
        <f t="shared" si="22"/>
        <v>162.5</v>
      </c>
      <c r="Y53" s="90">
        <f t="shared" si="22"/>
        <v>150</v>
      </c>
      <c r="Z53" s="90">
        <f t="shared" si="22"/>
        <v>162.5</v>
      </c>
      <c r="AA53" s="90">
        <f t="shared" si="22"/>
        <v>150</v>
      </c>
      <c r="AB53" s="90">
        <f t="shared" si="22"/>
        <v>162.5</v>
      </c>
      <c r="AC53" s="90">
        <f t="shared" si="22"/>
        <v>150</v>
      </c>
      <c r="AD53" s="90">
        <f t="shared" si="22"/>
        <v>162.5</v>
      </c>
      <c r="AE53" s="90">
        <f t="shared" si="22"/>
        <v>150</v>
      </c>
      <c r="AF53" s="90">
        <f t="shared" si="22"/>
        <v>162.5</v>
      </c>
      <c r="AG53" s="90">
        <f t="shared" si="22"/>
        <v>150</v>
      </c>
      <c r="AH53" s="90">
        <f t="shared" si="22"/>
        <v>162.5</v>
      </c>
      <c r="AI53" s="90">
        <f t="shared" si="22"/>
        <v>150</v>
      </c>
      <c r="AJ53" s="90">
        <f t="shared" si="22"/>
        <v>162.5</v>
      </c>
      <c r="AK53" s="90">
        <f t="shared" si="22"/>
        <v>150</v>
      </c>
      <c r="AL53" s="90">
        <f t="shared" si="22"/>
        <v>162.5</v>
      </c>
      <c r="AM53" s="90">
        <f t="shared" si="22"/>
        <v>150</v>
      </c>
      <c r="AN53" s="90">
        <f t="shared" si="22"/>
        <v>162.5</v>
      </c>
      <c r="AO53" s="90">
        <f t="shared" si="22"/>
        <v>150</v>
      </c>
      <c r="AP53" s="90">
        <f t="shared" si="22"/>
        <v>162.5</v>
      </c>
      <c r="AQ53" s="90">
        <f t="shared" si="22"/>
        <v>150</v>
      </c>
      <c r="AR53" s="90">
        <f t="shared" si="22"/>
        <v>162.5</v>
      </c>
      <c r="AS53" s="90">
        <f t="shared" si="22"/>
        <v>150</v>
      </c>
      <c r="AT53" s="90">
        <f t="shared" si="22"/>
        <v>162.5</v>
      </c>
      <c r="AU53" s="90">
        <f t="shared" si="22"/>
        <v>150</v>
      </c>
      <c r="AV53" s="90">
        <f t="shared" si="22"/>
        <v>162.5</v>
      </c>
      <c r="AW53" s="90">
        <f t="shared" si="22"/>
        <v>150</v>
      </c>
      <c r="AX53" s="90">
        <f t="shared" si="22"/>
        <v>162.5</v>
      </c>
      <c r="AY53" s="90">
        <f t="shared" si="22"/>
        <v>150</v>
      </c>
      <c r="AZ53" s="90">
        <f t="shared" si="22"/>
        <v>162.5</v>
      </c>
      <c r="BA53" s="90">
        <f t="shared" si="22"/>
        <v>150</v>
      </c>
      <c r="BB53" s="90">
        <f t="shared" si="22"/>
        <v>162.5</v>
      </c>
      <c r="BC53" s="90">
        <f t="shared" si="22"/>
        <v>150</v>
      </c>
      <c r="BD53" s="90">
        <f t="shared" si="22"/>
        <v>162.5</v>
      </c>
      <c r="BE53" s="90">
        <f t="shared" si="22"/>
        <v>150</v>
      </c>
      <c r="BF53" s="90">
        <f t="shared" si="22"/>
        <v>162.5</v>
      </c>
      <c r="BG53" s="90">
        <f t="shared" si="22"/>
        <v>150</v>
      </c>
      <c r="BH53" s="90">
        <f t="shared" si="22"/>
        <v>162.5</v>
      </c>
      <c r="BI53" s="90">
        <f t="shared" si="22"/>
        <v>150</v>
      </c>
      <c r="BJ53" s="90">
        <f t="shared" si="22"/>
        <v>162.5</v>
      </c>
      <c r="BK53" s="90">
        <f t="shared" si="22"/>
        <v>150</v>
      </c>
      <c r="BL53" s="90">
        <f t="shared" si="22"/>
        <v>162.5</v>
      </c>
      <c r="BM53" s="90">
        <f t="shared" si="22"/>
        <v>150</v>
      </c>
      <c r="BN53" s="90">
        <f t="shared" si="22"/>
        <v>162.5</v>
      </c>
      <c r="BO53" s="90">
        <f t="shared" si="22"/>
        <v>150</v>
      </c>
      <c r="BP53" s="90">
        <f t="shared" si="22"/>
        <v>162.5</v>
      </c>
      <c r="BQ53" s="90">
        <f t="shared" si="22"/>
        <v>150</v>
      </c>
      <c r="BR53" s="90">
        <f t="shared" si="22"/>
        <v>162.5</v>
      </c>
      <c r="BS53" s="90">
        <f t="shared" si="22"/>
        <v>150</v>
      </c>
      <c r="BT53" s="90">
        <f t="shared" si="22"/>
        <v>150</v>
      </c>
      <c r="BU53" s="90">
        <f t="shared" si="22"/>
        <v>150</v>
      </c>
      <c r="BV53" s="90">
        <f t="shared" si="22"/>
        <v>150</v>
      </c>
      <c r="BW53" s="90">
        <f t="shared" ref="BW53:CA53" si="23" xml:space="preserve"> $F50 * BW51 * BW52</f>
        <v>0</v>
      </c>
      <c r="BX53" s="90">
        <f t="shared" si="23"/>
        <v>0</v>
      </c>
      <c r="BY53" s="90">
        <f t="shared" si="23"/>
        <v>0</v>
      </c>
      <c r="BZ53" s="90">
        <f t="shared" si="23"/>
        <v>0</v>
      </c>
      <c r="CA53" s="90">
        <f t="shared" si="23"/>
        <v>0</v>
      </c>
    </row>
    <row r="54" spans="1:93" x14ac:dyDescent="0.2">
      <c r="C54" s="83"/>
    </row>
    <row r="55" spans="1:93" s="96" customFormat="1" x14ac:dyDescent="0.2">
      <c r="A55" s="92"/>
      <c r="B55" s="93"/>
      <c r="C55" s="94"/>
      <c r="D55" s="95"/>
      <c r="E55" s="96" t="str">
        <f>InpC!E$26</f>
        <v>Aircraft capacity - international scheduled</v>
      </c>
      <c r="F55" s="96">
        <f>InpC!F$26</f>
        <v>280</v>
      </c>
      <c r="G55" s="96" t="str">
        <f>InpC!G$26</f>
        <v>seats</v>
      </c>
    </row>
    <row r="56" spans="1:93" s="144" customFormat="1" x14ac:dyDescent="0.2">
      <c r="A56" s="93"/>
      <c r="B56" s="93"/>
      <c r="C56" s="94"/>
      <c r="D56" s="143"/>
      <c r="E56" s="144" t="str">
        <f>InpS!E$21</f>
        <v>Load factor - international scheduled</v>
      </c>
      <c r="F56" s="144">
        <f>InpS!F$21</f>
        <v>0</v>
      </c>
      <c r="G56" s="144" t="str">
        <f>InpS!G$21</f>
        <v>%</v>
      </c>
      <c r="H56" s="144">
        <f>InpS!H$21</f>
        <v>0</v>
      </c>
      <c r="I56" s="144">
        <f>InpS!I$21</f>
        <v>0</v>
      </c>
      <c r="J56" s="212">
        <f>InpS!J$21</f>
        <v>0</v>
      </c>
      <c r="K56" s="212">
        <f>InpS!K$21</f>
        <v>0</v>
      </c>
      <c r="L56" s="212">
        <f>InpS!L$21</f>
        <v>0.65</v>
      </c>
      <c r="M56" s="212">
        <f>InpS!M$21</f>
        <v>0.65</v>
      </c>
      <c r="N56" s="212">
        <f>InpS!N$21</f>
        <v>0.65</v>
      </c>
      <c r="O56" s="212">
        <f>InpS!O$21</f>
        <v>0.65</v>
      </c>
      <c r="P56" s="212">
        <f>InpS!P$21</f>
        <v>0.65</v>
      </c>
      <c r="Q56" s="212">
        <f>InpS!Q$21</f>
        <v>0.65</v>
      </c>
      <c r="R56" s="212">
        <f>InpS!R$21</f>
        <v>0.65</v>
      </c>
      <c r="S56" s="212">
        <f>InpS!S$21</f>
        <v>0.65</v>
      </c>
      <c r="T56" s="212">
        <f>InpS!T$21</f>
        <v>0.65</v>
      </c>
      <c r="U56" s="212">
        <f>InpS!U$21</f>
        <v>0.65</v>
      </c>
      <c r="V56" s="212">
        <f>InpS!V$21</f>
        <v>0.65</v>
      </c>
      <c r="W56" s="212">
        <f>InpS!W$21</f>
        <v>0.65</v>
      </c>
      <c r="X56" s="212">
        <f>InpS!X$21</f>
        <v>0.65</v>
      </c>
      <c r="Y56" s="212">
        <f>InpS!Y$21</f>
        <v>0.65</v>
      </c>
      <c r="Z56" s="212">
        <f>InpS!Z$21</f>
        <v>0.65</v>
      </c>
      <c r="AA56" s="212">
        <f>InpS!AA$21</f>
        <v>0.65</v>
      </c>
      <c r="AB56" s="212">
        <f>InpS!AB$21</f>
        <v>0.65</v>
      </c>
      <c r="AC56" s="212">
        <f>InpS!AC$21</f>
        <v>0.65</v>
      </c>
      <c r="AD56" s="212">
        <f>InpS!AD$21</f>
        <v>0.65</v>
      </c>
      <c r="AE56" s="212">
        <f>InpS!AE$21</f>
        <v>0.65</v>
      </c>
      <c r="AF56" s="212">
        <f>InpS!AF$21</f>
        <v>0.65</v>
      </c>
      <c r="AG56" s="212">
        <f>InpS!AG$21</f>
        <v>0.65</v>
      </c>
      <c r="AH56" s="212">
        <f>InpS!AH$21</f>
        <v>0.65</v>
      </c>
      <c r="AI56" s="212">
        <f>InpS!AI$21</f>
        <v>0.65</v>
      </c>
      <c r="AJ56" s="212">
        <f>InpS!AJ$21</f>
        <v>0.65</v>
      </c>
      <c r="AK56" s="212">
        <f>InpS!AK$21</f>
        <v>0.65</v>
      </c>
      <c r="AL56" s="212">
        <f>InpS!AL$21</f>
        <v>0.65</v>
      </c>
      <c r="AM56" s="212">
        <f>InpS!AM$21</f>
        <v>0.65</v>
      </c>
      <c r="AN56" s="212">
        <f>InpS!AN$21</f>
        <v>0.65</v>
      </c>
      <c r="AO56" s="212">
        <f>InpS!AO$21</f>
        <v>0.65</v>
      </c>
      <c r="AP56" s="212">
        <f>InpS!AP$21</f>
        <v>0.65</v>
      </c>
      <c r="AQ56" s="212">
        <f>InpS!AQ$21</f>
        <v>0.65</v>
      </c>
      <c r="AR56" s="212">
        <f>InpS!AR$21</f>
        <v>0.65</v>
      </c>
      <c r="AS56" s="212">
        <f>InpS!AS$21</f>
        <v>0.65</v>
      </c>
      <c r="AT56" s="212">
        <f>InpS!AT$21</f>
        <v>0.65</v>
      </c>
      <c r="AU56" s="212">
        <f>InpS!AU$21</f>
        <v>0.65</v>
      </c>
      <c r="AV56" s="212">
        <f>InpS!AV$21</f>
        <v>0.65</v>
      </c>
      <c r="AW56" s="212">
        <f>InpS!AW$21</f>
        <v>0.65</v>
      </c>
      <c r="AX56" s="212">
        <f>InpS!AX$21</f>
        <v>0.7</v>
      </c>
      <c r="AY56" s="212">
        <f>InpS!AY$21</f>
        <v>0.7</v>
      </c>
      <c r="AZ56" s="212">
        <f>InpS!AZ$21</f>
        <v>0.7</v>
      </c>
      <c r="BA56" s="212">
        <f>InpS!BA$21</f>
        <v>0.7</v>
      </c>
      <c r="BB56" s="212">
        <f>InpS!BB$21</f>
        <v>0.7</v>
      </c>
      <c r="BC56" s="212">
        <f>InpS!BC$21</f>
        <v>0.7</v>
      </c>
      <c r="BD56" s="212">
        <f>InpS!BD$21</f>
        <v>0.7</v>
      </c>
      <c r="BE56" s="212">
        <f>InpS!BE$21</f>
        <v>0.7</v>
      </c>
      <c r="BF56" s="212">
        <f>InpS!BF$21</f>
        <v>0.7</v>
      </c>
      <c r="BG56" s="212">
        <f>InpS!BG$21</f>
        <v>0.7</v>
      </c>
      <c r="BH56" s="212">
        <f>InpS!BH$21</f>
        <v>0.7</v>
      </c>
      <c r="BI56" s="212">
        <f>InpS!BI$21</f>
        <v>0.7</v>
      </c>
      <c r="BJ56" s="212">
        <f>InpS!BJ$21</f>
        <v>0.7</v>
      </c>
      <c r="BK56" s="212">
        <f>InpS!BK$21</f>
        <v>0.7</v>
      </c>
      <c r="BL56" s="212">
        <f>InpS!BL$21</f>
        <v>0.7</v>
      </c>
      <c r="BM56" s="212">
        <f>InpS!BM$21</f>
        <v>0.7</v>
      </c>
      <c r="BN56" s="212">
        <f>InpS!BN$21</f>
        <v>0.7</v>
      </c>
      <c r="BO56" s="212">
        <f>InpS!BO$21</f>
        <v>0.7</v>
      </c>
      <c r="BP56" s="212">
        <f>InpS!BP$21</f>
        <v>0.7</v>
      </c>
      <c r="BQ56" s="212">
        <f>InpS!BQ$21</f>
        <v>0.7</v>
      </c>
      <c r="BR56" s="212">
        <f>InpS!BR$21</f>
        <v>0.7</v>
      </c>
      <c r="BS56" s="212">
        <f>InpS!BS$21</f>
        <v>0.7</v>
      </c>
      <c r="BT56" s="212">
        <f>InpS!BT$21</f>
        <v>0.7</v>
      </c>
      <c r="BU56" s="212">
        <f>InpS!BU$21</f>
        <v>0.7</v>
      </c>
      <c r="BV56" s="212">
        <f>InpS!BV$21</f>
        <v>0.7</v>
      </c>
      <c r="BW56" s="212">
        <f>InpS!BW$21</f>
        <v>0</v>
      </c>
      <c r="BX56" s="212">
        <f>InpS!BX$21</f>
        <v>0</v>
      </c>
      <c r="BY56" s="212">
        <f>InpS!BY$21</f>
        <v>0</v>
      </c>
      <c r="BZ56" s="212">
        <f>InpS!BZ$21</f>
        <v>0</v>
      </c>
      <c r="CA56" s="212">
        <f>InpS!CA$21</f>
        <v>0</v>
      </c>
    </row>
    <row r="57" spans="1:93" s="197" customFormat="1" x14ac:dyDescent="0.2">
      <c r="A57" s="264"/>
      <c r="B57" s="264"/>
      <c r="C57" s="265"/>
      <c r="D57" s="266"/>
      <c r="E57" s="197" t="str">
        <f>'T&amp;E'!E$24</f>
        <v>Operating period flag</v>
      </c>
      <c r="F57" s="197">
        <f>'T&amp;E'!F$24</f>
        <v>0</v>
      </c>
      <c r="G57" s="197" t="str">
        <f>'T&amp;E'!G$24</f>
        <v>flag</v>
      </c>
      <c r="H57" s="197">
        <f>'T&amp;E'!H$24</f>
        <v>60</v>
      </c>
      <c r="I57" s="197">
        <f>'T&amp;E'!I$24</f>
        <v>0</v>
      </c>
      <c r="J57" s="197">
        <f>'T&amp;E'!J$24</f>
        <v>0</v>
      </c>
      <c r="K57" s="197">
        <f>'T&amp;E'!K$24</f>
        <v>0</v>
      </c>
      <c r="L57" s="197">
        <f>'T&amp;E'!L$24</f>
        <v>0</v>
      </c>
      <c r="M57" s="197">
        <f>'T&amp;E'!M$24</f>
        <v>0</v>
      </c>
      <c r="N57" s="197">
        <f>'T&amp;E'!N$24</f>
        <v>0</v>
      </c>
      <c r="O57" s="197">
        <f>'T&amp;E'!O$24</f>
        <v>1</v>
      </c>
      <c r="P57" s="197">
        <f>'T&amp;E'!P$24</f>
        <v>1</v>
      </c>
      <c r="Q57" s="197">
        <f>'T&amp;E'!Q$24</f>
        <v>1</v>
      </c>
      <c r="R57" s="197">
        <f>'T&amp;E'!R$24</f>
        <v>1</v>
      </c>
      <c r="S57" s="197">
        <f>'T&amp;E'!S$24</f>
        <v>1</v>
      </c>
      <c r="T57" s="197">
        <f>'T&amp;E'!T$24</f>
        <v>1</v>
      </c>
      <c r="U57" s="197">
        <f>'T&amp;E'!U$24</f>
        <v>1</v>
      </c>
      <c r="V57" s="197">
        <f>'T&amp;E'!V$24</f>
        <v>1</v>
      </c>
      <c r="W57" s="197">
        <f>'T&amp;E'!W$24</f>
        <v>1</v>
      </c>
      <c r="X57" s="197">
        <f>'T&amp;E'!X$24</f>
        <v>1</v>
      </c>
      <c r="Y57" s="197">
        <f>'T&amp;E'!Y$24</f>
        <v>1</v>
      </c>
      <c r="Z57" s="197">
        <f>'T&amp;E'!Z$24</f>
        <v>1</v>
      </c>
      <c r="AA57" s="197">
        <f>'T&amp;E'!AA$24</f>
        <v>1</v>
      </c>
      <c r="AB57" s="197">
        <f>'T&amp;E'!AB$24</f>
        <v>1</v>
      </c>
      <c r="AC57" s="197">
        <f>'T&amp;E'!AC$24</f>
        <v>1</v>
      </c>
      <c r="AD57" s="197">
        <f>'T&amp;E'!AD$24</f>
        <v>1</v>
      </c>
      <c r="AE57" s="197">
        <f>'T&amp;E'!AE$24</f>
        <v>1</v>
      </c>
      <c r="AF57" s="197">
        <f>'T&amp;E'!AF$24</f>
        <v>1</v>
      </c>
      <c r="AG57" s="197">
        <f>'T&amp;E'!AG$24</f>
        <v>1</v>
      </c>
      <c r="AH57" s="197">
        <f>'T&amp;E'!AH$24</f>
        <v>1</v>
      </c>
      <c r="AI57" s="197">
        <f>'T&amp;E'!AI$24</f>
        <v>1</v>
      </c>
      <c r="AJ57" s="197">
        <f>'T&amp;E'!AJ$24</f>
        <v>1</v>
      </c>
      <c r="AK57" s="197">
        <f>'T&amp;E'!AK$24</f>
        <v>1</v>
      </c>
      <c r="AL57" s="197">
        <f>'T&amp;E'!AL$24</f>
        <v>1</v>
      </c>
      <c r="AM57" s="197">
        <f>'T&amp;E'!AM$24</f>
        <v>1</v>
      </c>
      <c r="AN57" s="197">
        <f>'T&amp;E'!AN$24</f>
        <v>1</v>
      </c>
      <c r="AO57" s="197">
        <f>'T&amp;E'!AO$24</f>
        <v>1</v>
      </c>
      <c r="AP57" s="197">
        <f>'T&amp;E'!AP$24</f>
        <v>1</v>
      </c>
      <c r="AQ57" s="197">
        <f>'T&amp;E'!AQ$24</f>
        <v>1</v>
      </c>
      <c r="AR57" s="197">
        <f>'T&amp;E'!AR$24</f>
        <v>1</v>
      </c>
      <c r="AS57" s="197">
        <f>'T&amp;E'!AS$24</f>
        <v>1</v>
      </c>
      <c r="AT57" s="197">
        <f>'T&amp;E'!AT$24</f>
        <v>1</v>
      </c>
      <c r="AU57" s="197">
        <f>'T&amp;E'!AU$24</f>
        <v>1</v>
      </c>
      <c r="AV57" s="197">
        <f>'T&amp;E'!AV$24</f>
        <v>1</v>
      </c>
      <c r="AW57" s="197">
        <f>'T&amp;E'!AW$24</f>
        <v>1</v>
      </c>
      <c r="AX57" s="197">
        <f>'T&amp;E'!AX$24</f>
        <v>1</v>
      </c>
      <c r="AY57" s="197">
        <f>'T&amp;E'!AY$24</f>
        <v>1</v>
      </c>
      <c r="AZ57" s="197">
        <f>'T&amp;E'!AZ$24</f>
        <v>1</v>
      </c>
      <c r="BA57" s="197">
        <f>'T&amp;E'!BA$24</f>
        <v>1</v>
      </c>
      <c r="BB57" s="197">
        <f>'T&amp;E'!BB$24</f>
        <v>1</v>
      </c>
      <c r="BC57" s="197">
        <f>'T&amp;E'!BC$24</f>
        <v>1</v>
      </c>
      <c r="BD57" s="197">
        <f>'T&amp;E'!BD$24</f>
        <v>1</v>
      </c>
      <c r="BE57" s="197">
        <f>'T&amp;E'!BE$24</f>
        <v>1</v>
      </c>
      <c r="BF57" s="197">
        <f>'T&amp;E'!BF$24</f>
        <v>1</v>
      </c>
      <c r="BG57" s="197">
        <f>'T&amp;E'!BG$24</f>
        <v>1</v>
      </c>
      <c r="BH57" s="197">
        <f>'T&amp;E'!BH$24</f>
        <v>1</v>
      </c>
      <c r="BI57" s="197">
        <f>'T&amp;E'!BI$24</f>
        <v>1</v>
      </c>
      <c r="BJ57" s="197">
        <f>'T&amp;E'!BJ$24</f>
        <v>1</v>
      </c>
      <c r="BK57" s="197">
        <f>'T&amp;E'!BK$24</f>
        <v>1</v>
      </c>
      <c r="BL57" s="197">
        <f>'T&amp;E'!BL$24</f>
        <v>1</v>
      </c>
      <c r="BM57" s="197">
        <f>'T&amp;E'!BM$24</f>
        <v>1</v>
      </c>
      <c r="BN57" s="197">
        <f>'T&amp;E'!BN$24</f>
        <v>1</v>
      </c>
      <c r="BO57" s="197">
        <f>'T&amp;E'!BO$24</f>
        <v>1</v>
      </c>
      <c r="BP57" s="197">
        <f>'T&amp;E'!BP$24</f>
        <v>1</v>
      </c>
      <c r="BQ57" s="197">
        <f>'T&amp;E'!BQ$24</f>
        <v>1</v>
      </c>
      <c r="BR57" s="197">
        <f>'T&amp;E'!BR$24</f>
        <v>1</v>
      </c>
      <c r="BS57" s="197">
        <f>'T&amp;E'!BS$24</f>
        <v>1</v>
      </c>
      <c r="BT57" s="197">
        <f>'T&amp;E'!BT$24</f>
        <v>1</v>
      </c>
      <c r="BU57" s="197">
        <f>'T&amp;E'!BU$24</f>
        <v>1</v>
      </c>
      <c r="BV57" s="197">
        <f>'T&amp;E'!BV$24</f>
        <v>1</v>
      </c>
      <c r="BW57" s="197">
        <f>'T&amp;E'!BW$24</f>
        <v>0</v>
      </c>
      <c r="BX57" s="197">
        <f>'T&amp;E'!BX$24</f>
        <v>0</v>
      </c>
      <c r="BY57" s="197">
        <f>'T&amp;E'!BY$24</f>
        <v>0</v>
      </c>
      <c r="BZ57" s="197">
        <f>'T&amp;E'!BZ$24</f>
        <v>0</v>
      </c>
      <c r="CA57" s="197">
        <f>'T&amp;E'!CA$24</f>
        <v>0</v>
      </c>
    </row>
    <row r="58" spans="1:93" s="90" customFormat="1" x14ac:dyDescent="0.2">
      <c r="A58" s="82"/>
      <c r="B58" s="82"/>
      <c r="C58" s="83"/>
      <c r="D58" s="89"/>
      <c r="E58" s="90" t="s">
        <v>63</v>
      </c>
      <c r="G58" s="90" t="s">
        <v>76</v>
      </c>
      <c r="J58" s="90">
        <f xml:space="preserve"> $F55 * J56 * J57</f>
        <v>0</v>
      </c>
      <c r="K58" s="90">
        <f t="shared" ref="K58:BV58" si="24" xml:space="preserve"> $F55 * K56 * K57</f>
        <v>0</v>
      </c>
      <c r="L58" s="90">
        <f t="shared" si="24"/>
        <v>0</v>
      </c>
      <c r="M58" s="90">
        <f t="shared" si="24"/>
        <v>0</v>
      </c>
      <c r="N58" s="90">
        <f t="shared" si="24"/>
        <v>0</v>
      </c>
      <c r="O58" s="90">
        <f t="shared" si="24"/>
        <v>182</v>
      </c>
      <c r="P58" s="90">
        <f t="shared" si="24"/>
        <v>182</v>
      </c>
      <c r="Q58" s="90">
        <f t="shared" si="24"/>
        <v>182</v>
      </c>
      <c r="R58" s="90">
        <f t="shared" si="24"/>
        <v>182</v>
      </c>
      <c r="S58" s="90">
        <f t="shared" si="24"/>
        <v>182</v>
      </c>
      <c r="T58" s="90">
        <f t="shared" si="24"/>
        <v>182</v>
      </c>
      <c r="U58" s="90">
        <f t="shared" si="24"/>
        <v>182</v>
      </c>
      <c r="V58" s="90">
        <f t="shared" si="24"/>
        <v>182</v>
      </c>
      <c r="W58" s="90">
        <f t="shared" si="24"/>
        <v>182</v>
      </c>
      <c r="X58" s="90">
        <f t="shared" si="24"/>
        <v>182</v>
      </c>
      <c r="Y58" s="90">
        <f t="shared" si="24"/>
        <v>182</v>
      </c>
      <c r="Z58" s="90">
        <f t="shared" si="24"/>
        <v>182</v>
      </c>
      <c r="AA58" s="90">
        <f t="shared" si="24"/>
        <v>182</v>
      </c>
      <c r="AB58" s="90">
        <f t="shared" si="24"/>
        <v>182</v>
      </c>
      <c r="AC58" s="90">
        <f t="shared" si="24"/>
        <v>182</v>
      </c>
      <c r="AD58" s="90">
        <f t="shared" si="24"/>
        <v>182</v>
      </c>
      <c r="AE58" s="90">
        <f t="shared" si="24"/>
        <v>182</v>
      </c>
      <c r="AF58" s="90">
        <f t="shared" si="24"/>
        <v>182</v>
      </c>
      <c r="AG58" s="90">
        <f t="shared" si="24"/>
        <v>182</v>
      </c>
      <c r="AH58" s="90">
        <f t="shared" si="24"/>
        <v>182</v>
      </c>
      <c r="AI58" s="90">
        <f t="shared" si="24"/>
        <v>182</v>
      </c>
      <c r="AJ58" s="90">
        <f t="shared" si="24"/>
        <v>182</v>
      </c>
      <c r="AK58" s="90">
        <f t="shared" si="24"/>
        <v>182</v>
      </c>
      <c r="AL58" s="90">
        <f t="shared" si="24"/>
        <v>182</v>
      </c>
      <c r="AM58" s="90">
        <f t="shared" si="24"/>
        <v>182</v>
      </c>
      <c r="AN58" s="90">
        <f t="shared" si="24"/>
        <v>182</v>
      </c>
      <c r="AO58" s="90">
        <f t="shared" si="24"/>
        <v>182</v>
      </c>
      <c r="AP58" s="90">
        <f t="shared" si="24"/>
        <v>182</v>
      </c>
      <c r="AQ58" s="90">
        <f t="shared" si="24"/>
        <v>182</v>
      </c>
      <c r="AR58" s="90">
        <f t="shared" si="24"/>
        <v>182</v>
      </c>
      <c r="AS58" s="90">
        <f t="shared" si="24"/>
        <v>182</v>
      </c>
      <c r="AT58" s="90">
        <f t="shared" si="24"/>
        <v>182</v>
      </c>
      <c r="AU58" s="90">
        <f t="shared" si="24"/>
        <v>182</v>
      </c>
      <c r="AV58" s="90">
        <f t="shared" si="24"/>
        <v>182</v>
      </c>
      <c r="AW58" s="90">
        <f t="shared" si="24"/>
        <v>182</v>
      </c>
      <c r="AX58" s="90">
        <f t="shared" si="24"/>
        <v>196</v>
      </c>
      <c r="AY58" s="90">
        <f t="shared" si="24"/>
        <v>196</v>
      </c>
      <c r="AZ58" s="90">
        <f t="shared" si="24"/>
        <v>196</v>
      </c>
      <c r="BA58" s="90">
        <f t="shared" si="24"/>
        <v>196</v>
      </c>
      <c r="BB58" s="90">
        <f t="shared" si="24"/>
        <v>196</v>
      </c>
      <c r="BC58" s="90">
        <f t="shared" si="24"/>
        <v>196</v>
      </c>
      <c r="BD58" s="90">
        <f t="shared" si="24"/>
        <v>196</v>
      </c>
      <c r="BE58" s="90">
        <f t="shared" si="24"/>
        <v>196</v>
      </c>
      <c r="BF58" s="90">
        <f t="shared" si="24"/>
        <v>196</v>
      </c>
      <c r="BG58" s="90">
        <f t="shared" si="24"/>
        <v>196</v>
      </c>
      <c r="BH58" s="90">
        <f t="shared" si="24"/>
        <v>196</v>
      </c>
      <c r="BI58" s="90">
        <f t="shared" si="24"/>
        <v>196</v>
      </c>
      <c r="BJ58" s="90">
        <f t="shared" si="24"/>
        <v>196</v>
      </c>
      <c r="BK58" s="90">
        <f t="shared" si="24"/>
        <v>196</v>
      </c>
      <c r="BL58" s="90">
        <f t="shared" si="24"/>
        <v>196</v>
      </c>
      <c r="BM58" s="90">
        <f t="shared" si="24"/>
        <v>196</v>
      </c>
      <c r="BN58" s="90">
        <f t="shared" si="24"/>
        <v>196</v>
      </c>
      <c r="BO58" s="90">
        <f t="shared" si="24"/>
        <v>196</v>
      </c>
      <c r="BP58" s="90">
        <f t="shared" si="24"/>
        <v>196</v>
      </c>
      <c r="BQ58" s="90">
        <f t="shared" si="24"/>
        <v>196</v>
      </c>
      <c r="BR58" s="90">
        <f t="shared" si="24"/>
        <v>196</v>
      </c>
      <c r="BS58" s="90">
        <f t="shared" si="24"/>
        <v>196</v>
      </c>
      <c r="BT58" s="90">
        <f t="shared" si="24"/>
        <v>196</v>
      </c>
      <c r="BU58" s="90">
        <f t="shared" si="24"/>
        <v>196</v>
      </c>
      <c r="BV58" s="90">
        <f t="shared" si="24"/>
        <v>196</v>
      </c>
      <c r="BW58" s="90">
        <f t="shared" ref="BW58:CA58" si="25" xml:space="preserve"> $F55 * BW56 * BW57</f>
        <v>0</v>
      </c>
      <c r="BX58" s="90">
        <f t="shared" si="25"/>
        <v>0</v>
      </c>
      <c r="BY58" s="90">
        <f t="shared" si="25"/>
        <v>0</v>
      </c>
      <c r="BZ58" s="90">
        <f t="shared" si="25"/>
        <v>0</v>
      </c>
      <c r="CA58" s="90">
        <f t="shared" si="25"/>
        <v>0</v>
      </c>
    </row>
    <row r="59" spans="1:93" x14ac:dyDescent="0.2">
      <c r="C59" s="83"/>
    </row>
    <row r="60" spans="1:93" x14ac:dyDescent="0.2">
      <c r="C60" s="83"/>
    </row>
    <row r="61" spans="1:93" x14ac:dyDescent="0.2">
      <c r="C61" s="151" t="s">
        <v>73</v>
      </c>
    </row>
    <row r="63" spans="1:93" x14ac:dyDescent="0.2">
      <c r="E63" s="87" t="str">
        <f xml:space="preserve"> E$13</f>
        <v>Landings - domestic charter</v>
      </c>
      <c r="F63" s="87">
        <f t="shared" ref="F63:BQ63" si="26" xml:space="preserve"> F$13</f>
        <v>0</v>
      </c>
      <c r="G63" s="87" t="str">
        <f t="shared" si="26"/>
        <v>landings</v>
      </c>
      <c r="H63" s="87">
        <f t="shared" si="26"/>
        <v>47210</v>
      </c>
      <c r="I63" s="87">
        <f t="shared" si="26"/>
        <v>0</v>
      </c>
      <c r="J63" s="87">
        <f t="shared" si="26"/>
        <v>0</v>
      </c>
      <c r="K63" s="87">
        <f t="shared" si="26"/>
        <v>0</v>
      </c>
      <c r="L63" s="87">
        <f t="shared" si="26"/>
        <v>0</v>
      </c>
      <c r="M63" s="87">
        <f t="shared" si="26"/>
        <v>0</v>
      </c>
      <c r="N63" s="87">
        <f t="shared" si="26"/>
        <v>0</v>
      </c>
      <c r="O63" s="87">
        <f t="shared" si="26"/>
        <v>1430</v>
      </c>
      <c r="P63" s="87">
        <f t="shared" si="26"/>
        <v>1430</v>
      </c>
      <c r="Q63" s="87">
        <f t="shared" si="26"/>
        <v>1430</v>
      </c>
      <c r="R63" s="87">
        <f t="shared" si="26"/>
        <v>1100</v>
      </c>
      <c r="S63" s="87">
        <f t="shared" si="26"/>
        <v>1100</v>
      </c>
      <c r="T63" s="87">
        <f t="shared" si="26"/>
        <v>1100</v>
      </c>
      <c r="U63" s="87">
        <f t="shared" si="26"/>
        <v>1100</v>
      </c>
      <c r="V63" s="87">
        <f t="shared" si="26"/>
        <v>810</v>
      </c>
      <c r="W63" s="87">
        <f t="shared" si="26"/>
        <v>810</v>
      </c>
      <c r="X63" s="87">
        <f t="shared" si="26"/>
        <v>810</v>
      </c>
      <c r="Y63" s="87">
        <f t="shared" si="26"/>
        <v>810</v>
      </c>
      <c r="Z63" s="87">
        <f t="shared" si="26"/>
        <v>720</v>
      </c>
      <c r="AA63" s="87">
        <f t="shared" si="26"/>
        <v>720</v>
      </c>
      <c r="AB63" s="87">
        <f t="shared" si="26"/>
        <v>720</v>
      </c>
      <c r="AC63" s="87">
        <f t="shared" si="26"/>
        <v>720</v>
      </c>
      <c r="AD63" s="87">
        <f t="shared" si="26"/>
        <v>720</v>
      </c>
      <c r="AE63" s="87">
        <f t="shared" si="26"/>
        <v>720</v>
      </c>
      <c r="AF63" s="87">
        <f t="shared" si="26"/>
        <v>720</v>
      </c>
      <c r="AG63" s="87">
        <f t="shared" si="26"/>
        <v>720</v>
      </c>
      <c r="AH63" s="87">
        <f t="shared" si="26"/>
        <v>720</v>
      </c>
      <c r="AI63" s="87">
        <f t="shared" si="26"/>
        <v>720</v>
      </c>
      <c r="AJ63" s="87">
        <f t="shared" si="26"/>
        <v>720</v>
      </c>
      <c r="AK63" s="87">
        <f t="shared" si="26"/>
        <v>720</v>
      </c>
      <c r="AL63" s="87">
        <f t="shared" si="26"/>
        <v>720</v>
      </c>
      <c r="AM63" s="87">
        <f t="shared" si="26"/>
        <v>720</v>
      </c>
      <c r="AN63" s="87">
        <f t="shared" si="26"/>
        <v>720</v>
      </c>
      <c r="AO63" s="87">
        <f t="shared" si="26"/>
        <v>720</v>
      </c>
      <c r="AP63" s="87">
        <f t="shared" si="26"/>
        <v>720</v>
      </c>
      <c r="AQ63" s="87">
        <f t="shared" si="26"/>
        <v>720</v>
      </c>
      <c r="AR63" s="87">
        <f t="shared" si="26"/>
        <v>720</v>
      </c>
      <c r="AS63" s="87">
        <f t="shared" si="26"/>
        <v>720</v>
      </c>
      <c r="AT63" s="87">
        <f t="shared" si="26"/>
        <v>720</v>
      </c>
      <c r="AU63" s="87">
        <f t="shared" si="26"/>
        <v>720</v>
      </c>
      <c r="AV63" s="87">
        <f t="shared" si="26"/>
        <v>720</v>
      </c>
      <c r="AW63" s="87">
        <f t="shared" si="26"/>
        <v>720</v>
      </c>
      <c r="AX63" s="87">
        <f t="shared" si="26"/>
        <v>720</v>
      </c>
      <c r="AY63" s="87">
        <f t="shared" si="26"/>
        <v>720</v>
      </c>
      <c r="AZ63" s="87">
        <f t="shared" si="26"/>
        <v>720</v>
      </c>
      <c r="BA63" s="87">
        <f t="shared" si="26"/>
        <v>720</v>
      </c>
      <c r="BB63" s="87">
        <f t="shared" si="26"/>
        <v>720</v>
      </c>
      <c r="BC63" s="87">
        <f t="shared" si="26"/>
        <v>720</v>
      </c>
      <c r="BD63" s="87">
        <f t="shared" si="26"/>
        <v>720</v>
      </c>
      <c r="BE63" s="87">
        <f t="shared" si="26"/>
        <v>720</v>
      </c>
      <c r="BF63" s="87">
        <f t="shared" si="26"/>
        <v>720</v>
      </c>
      <c r="BG63" s="87">
        <f t="shared" si="26"/>
        <v>720</v>
      </c>
      <c r="BH63" s="87">
        <f t="shared" si="26"/>
        <v>720</v>
      </c>
      <c r="BI63" s="87">
        <f t="shared" si="26"/>
        <v>720</v>
      </c>
      <c r="BJ63" s="87">
        <f t="shared" si="26"/>
        <v>720</v>
      </c>
      <c r="BK63" s="87">
        <f t="shared" si="26"/>
        <v>720</v>
      </c>
      <c r="BL63" s="87">
        <f t="shared" si="26"/>
        <v>720</v>
      </c>
      <c r="BM63" s="87">
        <f t="shared" si="26"/>
        <v>720</v>
      </c>
      <c r="BN63" s="87">
        <f t="shared" si="26"/>
        <v>720</v>
      </c>
      <c r="BO63" s="87">
        <f t="shared" si="26"/>
        <v>720</v>
      </c>
      <c r="BP63" s="87">
        <f t="shared" si="26"/>
        <v>720</v>
      </c>
      <c r="BQ63" s="87">
        <f t="shared" si="26"/>
        <v>720</v>
      </c>
      <c r="BR63" s="87">
        <f t="shared" ref="BR63:CA63" si="27" xml:space="preserve"> BR$13</f>
        <v>720</v>
      </c>
      <c r="BS63" s="87">
        <f t="shared" si="27"/>
        <v>720</v>
      </c>
      <c r="BT63" s="87">
        <f t="shared" si="27"/>
        <v>720</v>
      </c>
      <c r="BU63" s="87">
        <f t="shared" si="27"/>
        <v>720</v>
      </c>
      <c r="BV63" s="87">
        <f t="shared" si="27"/>
        <v>720</v>
      </c>
      <c r="BW63" s="87">
        <f t="shared" si="27"/>
        <v>0</v>
      </c>
      <c r="BX63" s="87">
        <f t="shared" si="27"/>
        <v>0</v>
      </c>
      <c r="BY63" s="87">
        <f t="shared" si="27"/>
        <v>0</v>
      </c>
      <c r="BZ63" s="87">
        <f t="shared" si="27"/>
        <v>0</v>
      </c>
      <c r="CA63" s="87">
        <f t="shared" si="27"/>
        <v>0</v>
      </c>
    </row>
    <row r="64" spans="1:93" x14ac:dyDescent="0.2">
      <c r="E64" s="87" t="str">
        <f xml:space="preserve"> E$43</f>
        <v>PAx per landing - domestic charter</v>
      </c>
      <c r="F64" s="87">
        <f t="shared" ref="F64:BQ64" si="28" xml:space="preserve"> F$43</f>
        <v>0</v>
      </c>
      <c r="G64" s="87" t="str">
        <f t="shared" si="28"/>
        <v>PAx / land</v>
      </c>
      <c r="H64" s="87">
        <f t="shared" si="28"/>
        <v>0</v>
      </c>
      <c r="I64" s="87">
        <f t="shared" si="28"/>
        <v>0</v>
      </c>
      <c r="J64" s="87">
        <f t="shared" si="28"/>
        <v>0</v>
      </c>
      <c r="K64" s="87">
        <f t="shared" si="28"/>
        <v>0</v>
      </c>
      <c r="L64" s="87">
        <f t="shared" si="28"/>
        <v>0</v>
      </c>
      <c r="M64" s="87">
        <f t="shared" si="28"/>
        <v>0</v>
      </c>
      <c r="N64" s="87">
        <f t="shared" si="28"/>
        <v>0</v>
      </c>
      <c r="O64" s="87">
        <f t="shared" si="28"/>
        <v>77</v>
      </c>
      <c r="P64" s="87">
        <f t="shared" si="28"/>
        <v>77</v>
      </c>
      <c r="Q64" s="87">
        <f t="shared" si="28"/>
        <v>77</v>
      </c>
      <c r="R64" s="87">
        <f t="shared" si="28"/>
        <v>77</v>
      </c>
      <c r="S64" s="87">
        <f t="shared" si="28"/>
        <v>77</v>
      </c>
      <c r="T64" s="87">
        <f t="shared" si="28"/>
        <v>77</v>
      </c>
      <c r="U64" s="87">
        <f t="shared" si="28"/>
        <v>77</v>
      </c>
      <c r="V64" s="87">
        <f t="shared" si="28"/>
        <v>77</v>
      </c>
      <c r="W64" s="87">
        <f t="shared" si="28"/>
        <v>77</v>
      </c>
      <c r="X64" s="87">
        <f t="shared" si="28"/>
        <v>77</v>
      </c>
      <c r="Y64" s="87">
        <f t="shared" si="28"/>
        <v>77</v>
      </c>
      <c r="Z64" s="87">
        <f t="shared" si="28"/>
        <v>77</v>
      </c>
      <c r="AA64" s="87">
        <f t="shared" si="28"/>
        <v>77</v>
      </c>
      <c r="AB64" s="87">
        <f t="shared" si="28"/>
        <v>77</v>
      </c>
      <c r="AC64" s="87">
        <f t="shared" si="28"/>
        <v>77</v>
      </c>
      <c r="AD64" s="87">
        <f t="shared" si="28"/>
        <v>86.9</v>
      </c>
      <c r="AE64" s="87">
        <f t="shared" si="28"/>
        <v>86.9</v>
      </c>
      <c r="AF64" s="87">
        <f t="shared" si="28"/>
        <v>86.9</v>
      </c>
      <c r="AG64" s="87">
        <f t="shared" si="28"/>
        <v>86.9</v>
      </c>
      <c r="AH64" s="87">
        <f t="shared" si="28"/>
        <v>86.9</v>
      </c>
      <c r="AI64" s="87">
        <f t="shared" si="28"/>
        <v>86.9</v>
      </c>
      <c r="AJ64" s="87">
        <f t="shared" si="28"/>
        <v>86.9</v>
      </c>
      <c r="AK64" s="87">
        <f t="shared" si="28"/>
        <v>86.9</v>
      </c>
      <c r="AL64" s="87">
        <f t="shared" si="28"/>
        <v>86.9</v>
      </c>
      <c r="AM64" s="87">
        <f t="shared" si="28"/>
        <v>86.9</v>
      </c>
      <c r="AN64" s="87">
        <f t="shared" si="28"/>
        <v>86.9</v>
      </c>
      <c r="AO64" s="87">
        <f t="shared" si="28"/>
        <v>86.9</v>
      </c>
      <c r="AP64" s="87">
        <f t="shared" si="28"/>
        <v>86.9</v>
      </c>
      <c r="AQ64" s="87">
        <f t="shared" si="28"/>
        <v>86.9</v>
      </c>
      <c r="AR64" s="87">
        <f t="shared" si="28"/>
        <v>86.9</v>
      </c>
      <c r="AS64" s="87">
        <f t="shared" si="28"/>
        <v>86.9</v>
      </c>
      <c r="AT64" s="87">
        <f t="shared" si="28"/>
        <v>86.9</v>
      </c>
      <c r="AU64" s="87">
        <f t="shared" si="28"/>
        <v>86.9</v>
      </c>
      <c r="AV64" s="87">
        <f t="shared" si="28"/>
        <v>86.9</v>
      </c>
      <c r="AW64" s="87">
        <f t="shared" si="28"/>
        <v>86.9</v>
      </c>
      <c r="AX64" s="87">
        <f t="shared" si="28"/>
        <v>77</v>
      </c>
      <c r="AY64" s="87">
        <f t="shared" si="28"/>
        <v>77</v>
      </c>
      <c r="AZ64" s="87">
        <f t="shared" si="28"/>
        <v>77</v>
      </c>
      <c r="BA64" s="87">
        <f t="shared" si="28"/>
        <v>77</v>
      </c>
      <c r="BB64" s="87">
        <f t="shared" si="28"/>
        <v>77</v>
      </c>
      <c r="BC64" s="87">
        <f t="shared" si="28"/>
        <v>77</v>
      </c>
      <c r="BD64" s="87">
        <f t="shared" si="28"/>
        <v>77</v>
      </c>
      <c r="BE64" s="87">
        <f t="shared" si="28"/>
        <v>77</v>
      </c>
      <c r="BF64" s="87">
        <f t="shared" si="28"/>
        <v>71.5</v>
      </c>
      <c r="BG64" s="87">
        <f t="shared" si="28"/>
        <v>71.5</v>
      </c>
      <c r="BH64" s="87">
        <f t="shared" si="28"/>
        <v>71.5</v>
      </c>
      <c r="BI64" s="87">
        <f t="shared" si="28"/>
        <v>71.5</v>
      </c>
      <c r="BJ64" s="87">
        <f t="shared" si="28"/>
        <v>66</v>
      </c>
      <c r="BK64" s="87">
        <f t="shared" si="28"/>
        <v>66</v>
      </c>
      <c r="BL64" s="87">
        <f t="shared" si="28"/>
        <v>66</v>
      </c>
      <c r="BM64" s="87">
        <f t="shared" si="28"/>
        <v>66</v>
      </c>
      <c r="BN64" s="87">
        <f t="shared" si="28"/>
        <v>66</v>
      </c>
      <c r="BO64" s="87">
        <f t="shared" si="28"/>
        <v>66</v>
      </c>
      <c r="BP64" s="87">
        <f t="shared" si="28"/>
        <v>66</v>
      </c>
      <c r="BQ64" s="87">
        <f t="shared" si="28"/>
        <v>66</v>
      </c>
      <c r="BR64" s="87">
        <f t="shared" ref="BR64:CA64" si="29" xml:space="preserve"> BR$43</f>
        <v>66</v>
      </c>
      <c r="BS64" s="87">
        <f t="shared" si="29"/>
        <v>66</v>
      </c>
      <c r="BT64" s="87">
        <f t="shared" si="29"/>
        <v>66</v>
      </c>
      <c r="BU64" s="87">
        <f t="shared" si="29"/>
        <v>66</v>
      </c>
      <c r="BV64" s="87">
        <f t="shared" si="29"/>
        <v>66</v>
      </c>
      <c r="BW64" s="87">
        <f t="shared" si="29"/>
        <v>0</v>
      </c>
      <c r="BX64" s="87">
        <f t="shared" si="29"/>
        <v>0</v>
      </c>
      <c r="BY64" s="87">
        <f t="shared" si="29"/>
        <v>0</v>
      </c>
      <c r="BZ64" s="87">
        <f t="shared" si="29"/>
        <v>0</v>
      </c>
      <c r="CA64" s="87">
        <f t="shared" si="29"/>
        <v>0</v>
      </c>
    </row>
    <row r="65" spans="1:79" x14ac:dyDescent="0.2">
      <c r="E65" s="87" t="s">
        <v>74</v>
      </c>
      <c r="G65" s="87" t="s">
        <v>77</v>
      </c>
      <c r="H65" s="87">
        <f>SUM(J65:CA65)</f>
        <v>3658930</v>
      </c>
      <c r="J65" s="87">
        <f xml:space="preserve"> J63 * J64</f>
        <v>0</v>
      </c>
      <c r="K65" s="87">
        <f t="shared" ref="K65:BV65" si="30" xml:space="preserve"> K63 * K64</f>
        <v>0</v>
      </c>
      <c r="L65" s="87">
        <f t="shared" si="30"/>
        <v>0</v>
      </c>
      <c r="M65" s="87">
        <f t="shared" si="30"/>
        <v>0</v>
      </c>
      <c r="N65" s="87">
        <f t="shared" si="30"/>
        <v>0</v>
      </c>
      <c r="O65" s="87">
        <f t="shared" si="30"/>
        <v>110110</v>
      </c>
      <c r="P65" s="87">
        <f t="shared" si="30"/>
        <v>110110</v>
      </c>
      <c r="Q65" s="87">
        <f t="shared" si="30"/>
        <v>110110</v>
      </c>
      <c r="R65" s="87">
        <f t="shared" si="30"/>
        <v>84700</v>
      </c>
      <c r="S65" s="87">
        <f t="shared" si="30"/>
        <v>84700</v>
      </c>
      <c r="T65" s="87">
        <f t="shared" si="30"/>
        <v>84700</v>
      </c>
      <c r="U65" s="87">
        <f t="shared" si="30"/>
        <v>84700</v>
      </c>
      <c r="V65" s="87">
        <f t="shared" si="30"/>
        <v>62370</v>
      </c>
      <c r="W65" s="87">
        <f t="shared" si="30"/>
        <v>62370</v>
      </c>
      <c r="X65" s="87">
        <f t="shared" si="30"/>
        <v>62370</v>
      </c>
      <c r="Y65" s="87">
        <f t="shared" si="30"/>
        <v>62370</v>
      </c>
      <c r="Z65" s="87">
        <f t="shared" si="30"/>
        <v>55440</v>
      </c>
      <c r="AA65" s="87">
        <f t="shared" si="30"/>
        <v>55440</v>
      </c>
      <c r="AB65" s="87">
        <f t="shared" si="30"/>
        <v>55440</v>
      </c>
      <c r="AC65" s="87">
        <f t="shared" si="30"/>
        <v>55440</v>
      </c>
      <c r="AD65" s="87">
        <f t="shared" si="30"/>
        <v>62568.000000000007</v>
      </c>
      <c r="AE65" s="87">
        <f t="shared" si="30"/>
        <v>62568.000000000007</v>
      </c>
      <c r="AF65" s="87">
        <f t="shared" si="30"/>
        <v>62568.000000000007</v>
      </c>
      <c r="AG65" s="87">
        <f t="shared" si="30"/>
        <v>62568.000000000007</v>
      </c>
      <c r="AH65" s="87">
        <f t="shared" si="30"/>
        <v>62568.000000000007</v>
      </c>
      <c r="AI65" s="87">
        <f t="shared" si="30"/>
        <v>62568.000000000007</v>
      </c>
      <c r="AJ65" s="87">
        <f t="shared" si="30"/>
        <v>62568.000000000007</v>
      </c>
      <c r="AK65" s="87">
        <f t="shared" si="30"/>
        <v>62568.000000000007</v>
      </c>
      <c r="AL65" s="87">
        <f t="shared" si="30"/>
        <v>62568.000000000007</v>
      </c>
      <c r="AM65" s="87">
        <f t="shared" si="30"/>
        <v>62568.000000000007</v>
      </c>
      <c r="AN65" s="87">
        <f t="shared" si="30"/>
        <v>62568.000000000007</v>
      </c>
      <c r="AO65" s="87">
        <f t="shared" si="30"/>
        <v>62568.000000000007</v>
      </c>
      <c r="AP65" s="87">
        <f t="shared" si="30"/>
        <v>62568.000000000007</v>
      </c>
      <c r="AQ65" s="87">
        <f t="shared" si="30"/>
        <v>62568.000000000007</v>
      </c>
      <c r="AR65" s="87">
        <f t="shared" si="30"/>
        <v>62568.000000000007</v>
      </c>
      <c r="AS65" s="87">
        <f t="shared" si="30"/>
        <v>62568.000000000007</v>
      </c>
      <c r="AT65" s="87">
        <f t="shared" si="30"/>
        <v>62568.000000000007</v>
      </c>
      <c r="AU65" s="87">
        <f t="shared" si="30"/>
        <v>62568.000000000007</v>
      </c>
      <c r="AV65" s="87">
        <f t="shared" si="30"/>
        <v>62568.000000000007</v>
      </c>
      <c r="AW65" s="87">
        <f t="shared" si="30"/>
        <v>62568.000000000007</v>
      </c>
      <c r="AX65" s="87">
        <f t="shared" si="30"/>
        <v>55440</v>
      </c>
      <c r="AY65" s="87">
        <f t="shared" si="30"/>
        <v>55440</v>
      </c>
      <c r="AZ65" s="87">
        <f t="shared" si="30"/>
        <v>55440</v>
      </c>
      <c r="BA65" s="87">
        <f t="shared" si="30"/>
        <v>55440</v>
      </c>
      <c r="BB65" s="87">
        <f t="shared" si="30"/>
        <v>55440</v>
      </c>
      <c r="BC65" s="87">
        <f t="shared" si="30"/>
        <v>55440</v>
      </c>
      <c r="BD65" s="87">
        <f t="shared" si="30"/>
        <v>55440</v>
      </c>
      <c r="BE65" s="87">
        <f t="shared" si="30"/>
        <v>55440</v>
      </c>
      <c r="BF65" s="87">
        <f t="shared" si="30"/>
        <v>51480</v>
      </c>
      <c r="BG65" s="87">
        <f t="shared" si="30"/>
        <v>51480</v>
      </c>
      <c r="BH65" s="87">
        <f t="shared" si="30"/>
        <v>51480</v>
      </c>
      <c r="BI65" s="87">
        <f t="shared" si="30"/>
        <v>51480</v>
      </c>
      <c r="BJ65" s="87">
        <f t="shared" si="30"/>
        <v>47520</v>
      </c>
      <c r="BK65" s="87">
        <f t="shared" si="30"/>
        <v>47520</v>
      </c>
      <c r="BL65" s="87">
        <f t="shared" si="30"/>
        <v>47520</v>
      </c>
      <c r="BM65" s="87">
        <f t="shared" si="30"/>
        <v>47520</v>
      </c>
      <c r="BN65" s="87">
        <f t="shared" si="30"/>
        <v>47520</v>
      </c>
      <c r="BO65" s="87">
        <f t="shared" si="30"/>
        <v>47520</v>
      </c>
      <c r="BP65" s="87">
        <f t="shared" si="30"/>
        <v>47520</v>
      </c>
      <c r="BQ65" s="87">
        <f t="shared" si="30"/>
        <v>47520</v>
      </c>
      <c r="BR65" s="87">
        <f t="shared" si="30"/>
        <v>47520</v>
      </c>
      <c r="BS65" s="87">
        <f t="shared" si="30"/>
        <v>47520</v>
      </c>
      <c r="BT65" s="87">
        <f t="shared" si="30"/>
        <v>47520</v>
      </c>
      <c r="BU65" s="87">
        <f t="shared" si="30"/>
        <v>47520</v>
      </c>
      <c r="BV65" s="87">
        <f t="shared" si="30"/>
        <v>47520</v>
      </c>
      <c r="BW65" s="87">
        <f t="shared" ref="BW65:CA65" si="31" xml:space="preserve"> BW63 * BW64</f>
        <v>0</v>
      </c>
      <c r="BX65" s="87">
        <f t="shared" si="31"/>
        <v>0</v>
      </c>
      <c r="BY65" s="87">
        <f t="shared" si="31"/>
        <v>0</v>
      </c>
      <c r="BZ65" s="87">
        <f t="shared" si="31"/>
        <v>0</v>
      </c>
      <c r="CA65" s="87">
        <f t="shared" si="31"/>
        <v>0</v>
      </c>
    </row>
    <row r="67" spans="1:79" x14ac:dyDescent="0.2">
      <c r="E67" s="87" t="str">
        <f xml:space="preserve"> E$18</f>
        <v>Landings - domestic scheduled</v>
      </c>
      <c r="F67" s="87">
        <f t="shared" ref="F67:BQ67" si="32" xml:space="preserve"> F$18</f>
        <v>0</v>
      </c>
      <c r="G67" s="87" t="str">
        <f t="shared" si="32"/>
        <v>landings</v>
      </c>
      <c r="H67" s="87">
        <f t="shared" si="32"/>
        <v>315560</v>
      </c>
      <c r="I67" s="87">
        <f t="shared" si="32"/>
        <v>0</v>
      </c>
      <c r="J67" s="87">
        <f t="shared" si="32"/>
        <v>0</v>
      </c>
      <c r="K67" s="87">
        <f t="shared" si="32"/>
        <v>0</v>
      </c>
      <c r="L67" s="87">
        <f t="shared" si="32"/>
        <v>0</v>
      </c>
      <c r="M67" s="87">
        <f t="shared" si="32"/>
        <v>0</v>
      </c>
      <c r="N67" s="87">
        <f t="shared" si="32"/>
        <v>0</v>
      </c>
      <c r="O67" s="87">
        <f t="shared" si="32"/>
        <v>6480</v>
      </c>
      <c r="P67" s="87">
        <f t="shared" si="32"/>
        <v>6000</v>
      </c>
      <c r="Q67" s="87">
        <f t="shared" si="32"/>
        <v>6480</v>
      </c>
      <c r="R67" s="87">
        <f t="shared" si="32"/>
        <v>5000</v>
      </c>
      <c r="S67" s="87">
        <f t="shared" si="32"/>
        <v>5400</v>
      </c>
      <c r="T67" s="87">
        <f t="shared" si="32"/>
        <v>5000</v>
      </c>
      <c r="U67" s="87">
        <f t="shared" si="32"/>
        <v>5400</v>
      </c>
      <c r="V67" s="87">
        <f t="shared" si="32"/>
        <v>5000</v>
      </c>
      <c r="W67" s="87">
        <f t="shared" si="32"/>
        <v>5400</v>
      </c>
      <c r="X67" s="87">
        <f t="shared" si="32"/>
        <v>5000</v>
      </c>
      <c r="Y67" s="87">
        <f t="shared" si="32"/>
        <v>5400</v>
      </c>
      <c r="Z67" s="87">
        <f t="shared" si="32"/>
        <v>5000</v>
      </c>
      <c r="AA67" s="87">
        <f t="shared" si="32"/>
        <v>5400</v>
      </c>
      <c r="AB67" s="87">
        <f t="shared" si="32"/>
        <v>5000</v>
      </c>
      <c r="AC67" s="87">
        <f t="shared" si="32"/>
        <v>5400</v>
      </c>
      <c r="AD67" s="87">
        <f t="shared" si="32"/>
        <v>5000</v>
      </c>
      <c r="AE67" s="87">
        <f t="shared" si="32"/>
        <v>5400</v>
      </c>
      <c r="AF67" s="87">
        <f t="shared" si="32"/>
        <v>5000</v>
      </c>
      <c r="AG67" s="87">
        <f t="shared" si="32"/>
        <v>5400</v>
      </c>
      <c r="AH67" s="87">
        <f t="shared" si="32"/>
        <v>5000</v>
      </c>
      <c r="AI67" s="87">
        <f t="shared" si="32"/>
        <v>5400</v>
      </c>
      <c r="AJ67" s="87">
        <f t="shared" si="32"/>
        <v>5000</v>
      </c>
      <c r="AK67" s="87">
        <f t="shared" si="32"/>
        <v>5400</v>
      </c>
      <c r="AL67" s="87">
        <f t="shared" si="32"/>
        <v>5000</v>
      </c>
      <c r="AM67" s="87">
        <f t="shared" si="32"/>
        <v>5400</v>
      </c>
      <c r="AN67" s="87">
        <f t="shared" si="32"/>
        <v>5000</v>
      </c>
      <c r="AO67" s="87">
        <f t="shared" si="32"/>
        <v>5400</v>
      </c>
      <c r="AP67" s="87">
        <f t="shared" si="32"/>
        <v>5000</v>
      </c>
      <c r="AQ67" s="87">
        <f t="shared" si="32"/>
        <v>5400</v>
      </c>
      <c r="AR67" s="87">
        <f t="shared" si="32"/>
        <v>5000</v>
      </c>
      <c r="AS67" s="87">
        <f t="shared" si="32"/>
        <v>5400</v>
      </c>
      <c r="AT67" s="87">
        <f t="shared" si="32"/>
        <v>5000</v>
      </c>
      <c r="AU67" s="87">
        <f t="shared" si="32"/>
        <v>5400</v>
      </c>
      <c r="AV67" s="87">
        <f t="shared" si="32"/>
        <v>5000</v>
      </c>
      <c r="AW67" s="87">
        <f t="shared" si="32"/>
        <v>5400</v>
      </c>
      <c r="AX67" s="87">
        <f t="shared" si="32"/>
        <v>5000</v>
      </c>
      <c r="AY67" s="87">
        <f t="shared" si="32"/>
        <v>5400</v>
      </c>
      <c r="AZ67" s="87">
        <f t="shared" si="32"/>
        <v>5000</v>
      </c>
      <c r="BA67" s="87">
        <f t="shared" si="32"/>
        <v>5400</v>
      </c>
      <c r="BB67" s="87">
        <f t="shared" si="32"/>
        <v>5000</v>
      </c>
      <c r="BC67" s="87">
        <f t="shared" si="32"/>
        <v>5400</v>
      </c>
      <c r="BD67" s="87">
        <f t="shared" si="32"/>
        <v>5000</v>
      </c>
      <c r="BE67" s="87">
        <f t="shared" si="32"/>
        <v>5400</v>
      </c>
      <c r="BF67" s="87">
        <f t="shared" si="32"/>
        <v>5000</v>
      </c>
      <c r="BG67" s="87">
        <f t="shared" si="32"/>
        <v>5400</v>
      </c>
      <c r="BH67" s="87">
        <f t="shared" si="32"/>
        <v>5000</v>
      </c>
      <c r="BI67" s="87">
        <f t="shared" si="32"/>
        <v>5000</v>
      </c>
      <c r="BJ67" s="87">
        <f t="shared" si="32"/>
        <v>5400</v>
      </c>
      <c r="BK67" s="87">
        <f t="shared" si="32"/>
        <v>5000</v>
      </c>
      <c r="BL67" s="87">
        <f t="shared" si="32"/>
        <v>5400</v>
      </c>
      <c r="BM67" s="87">
        <f t="shared" si="32"/>
        <v>5000</v>
      </c>
      <c r="BN67" s="87">
        <f t="shared" si="32"/>
        <v>5400</v>
      </c>
      <c r="BO67" s="87">
        <f t="shared" si="32"/>
        <v>5000</v>
      </c>
      <c r="BP67" s="87">
        <f t="shared" si="32"/>
        <v>5400</v>
      </c>
      <c r="BQ67" s="87">
        <f t="shared" si="32"/>
        <v>5000</v>
      </c>
      <c r="BR67" s="87">
        <f t="shared" ref="BR67:CA67" si="33" xml:space="preserve"> BR$18</f>
        <v>5000</v>
      </c>
      <c r="BS67" s="87">
        <f t="shared" si="33"/>
        <v>5400</v>
      </c>
      <c r="BT67" s="87">
        <f t="shared" si="33"/>
        <v>5400</v>
      </c>
      <c r="BU67" s="87">
        <f t="shared" si="33"/>
        <v>5400</v>
      </c>
      <c r="BV67" s="87">
        <f t="shared" si="33"/>
        <v>5400</v>
      </c>
      <c r="BW67" s="87">
        <f t="shared" si="33"/>
        <v>0</v>
      </c>
      <c r="BX67" s="87">
        <f t="shared" si="33"/>
        <v>0</v>
      </c>
      <c r="BY67" s="87">
        <f t="shared" si="33"/>
        <v>0</v>
      </c>
      <c r="BZ67" s="87">
        <f t="shared" si="33"/>
        <v>0</v>
      </c>
      <c r="CA67" s="87">
        <f t="shared" si="33"/>
        <v>0</v>
      </c>
    </row>
    <row r="68" spans="1:79" x14ac:dyDescent="0.2">
      <c r="E68" s="87" t="str">
        <f xml:space="preserve"> E$48</f>
        <v>PAx per landing - domestic scheduled</v>
      </c>
      <c r="F68" s="87">
        <f t="shared" ref="F68:BQ68" si="34" xml:space="preserve"> F$48</f>
        <v>0</v>
      </c>
      <c r="G68" s="87" t="str">
        <f t="shared" si="34"/>
        <v>PAx / land</v>
      </c>
      <c r="H68" s="87">
        <f t="shared" si="34"/>
        <v>0</v>
      </c>
      <c r="I68" s="87">
        <f t="shared" si="34"/>
        <v>0</v>
      </c>
      <c r="J68" s="87">
        <f t="shared" si="34"/>
        <v>0</v>
      </c>
      <c r="K68" s="87">
        <f t="shared" si="34"/>
        <v>0</v>
      </c>
      <c r="L68" s="87">
        <f t="shared" si="34"/>
        <v>0</v>
      </c>
      <c r="M68" s="87">
        <f t="shared" si="34"/>
        <v>0</v>
      </c>
      <c r="N68" s="87">
        <f t="shared" si="34"/>
        <v>0</v>
      </c>
      <c r="O68" s="87">
        <f t="shared" si="34"/>
        <v>98</v>
      </c>
      <c r="P68" s="87">
        <f t="shared" si="34"/>
        <v>98</v>
      </c>
      <c r="Q68" s="87">
        <f t="shared" si="34"/>
        <v>98</v>
      </c>
      <c r="R68" s="87">
        <f t="shared" si="34"/>
        <v>98</v>
      </c>
      <c r="S68" s="87">
        <f t="shared" si="34"/>
        <v>98</v>
      </c>
      <c r="T68" s="87">
        <f t="shared" si="34"/>
        <v>92.4</v>
      </c>
      <c r="U68" s="87">
        <f t="shared" si="34"/>
        <v>92.4</v>
      </c>
      <c r="V68" s="87">
        <f t="shared" si="34"/>
        <v>92.4</v>
      </c>
      <c r="W68" s="87">
        <f t="shared" si="34"/>
        <v>92.4</v>
      </c>
      <c r="X68" s="87">
        <f t="shared" si="34"/>
        <v>92.4</v>
      </c>
      <c r="Y68" s="87">
        <f t="shared" si="34"/>
        <v>92.4</v>
      </c>
      <c r="Z68" s="87">
        <f t="shared" si="34"/>
        <v>92.4</v>
      </c>
      <c r="AA68" s="87">
        <f t="shared" si="34"/>
        <v>92.4</v>
      </c>
      <c r="AB68" s="87">
        <f t="shared" si="34"/>
        <v>92.4</v>
      </c>
      <c r="AC68" s="87">
        <f t="shared" si="34"/>
        <v>92.4</v>
      </c>
      <c r="AD68" s="87">
        <f t="shared" si="34"/>
        <v>95.2</v>
      </c>
      <c r="AE68" s="87">
        <f t="shared" si="34"/>
        <v>95.2</v>
      </c>
      <c r="AF68" s="87">
        <f t="shared" si="34"/>
        <v>95.2</v>
      </c>
      <c r="AG68" s="87">
        <f t="shared" si="34"/>
        <v>95.2</v>
      </c>
      <c r="AH68" s="87">
        <f t="shared" si="34"/>
        <v>95.2</v>
      </c>
      <c r="AI68" s="87">
        <f t="shared" si="34"/>
        <v>95.2</v>
      </c>
      <c r="AJ68" s="87">
        <f t="shared" si="34"/>
        <v>95.2</v>
      </c>
      <c r="AK68" s="87">
        <f t="shared" si="34"/>
        <v>95.2</v>
      </c>
      <c r="AL68" s="87">
        <f t="shared" si="34"/>
        <v>95.2</v>
      </c>
      <c r="AM68" s="87">
        <f t="shared" si="34"/>
        <v>95.2</v>
      </c>
      <c r="AN68" s="87">
        <f t="shared" si="34"/>
        <v>98</v>
      </c>
      <c r="AO68" s="87">
        <f t="shared" si="34"/>
        <v>98</v>
      </c>
      <c r="AP68" s="87">
        <f t="shared" si="34"/>
        <v>98</v>
      </c>
      <c r="AQ68" s="87">
        <f t="shared" si="34"/>
        <v>98</v>
      </c>
      <c r="AR68" s="87">
        <f t="shared" si="34"/>
        <v>98</v>
      </c>
      <c r="AS68" s="87">
        <f t="shared" si="34"/>
        <v>98</v>
      </c>
      <c r="AT68" s="87">
        <f t="shared" si="34"/>
        <v>98</v>
      </c>
      <c r="AU68" s="87">
        <f t="shared" si="34"/>
        <v>98</v>
      </c>
      <c r="AV68" s="87">
        <f t="shared" si="34"/>
        <v>98</v>
      </c>
      <c r="AW68" s="87">
        <f t="shared" si="34"/>
        <v>98</v>
      </c>
      <c r="AX68" s="87">
        <f t="shared" si="34"/>
        <v>100.8</v>
      </c>
      <c r="AY68" s="87">
        <f t="shared" si="34"/>
        <v>100.8</v>
      </c>
      <c r="AZ68" s="87">
        <f t="shared" si="34"/>
        <v>100.8</v>
      </c>
      <c r="BA68" s="87">
        <f t="shared" si="34"/>
        <v>100.8</v>
      </c>
      <c r="BB68" s="87">
        <f t="shared" si="34"/>
        <v>100.8</v>
      </c>
      <c r="BC68" s="87">
        <f t="shared" si="34"/>
        <v>100.8</v>
      </c>
      <c r="BD68" s="87">
        <f t="shared" si="34"/>
        <v>100.8</v>
      </c>
      <c r="BE68" s="87">
        <f t="shared" si="34"/>
        <v>100.8</v>
      </c>
      <c r="BF68" s="87">
        <f t="shared" si="34"/>
        <v>100.8</v>
      </c>
      <c r="BG68" s="87">
        <f t="shared" si="34"/>
        <v>100.8</v>
      </c>
      <c r="BH68" s="87">
        <f t="shared" si="34"/>
        <v>100.8</v>
      </c>
      <c r="BI68" s="87">
        <f t="shared" si="34"/>
        <v>100.8</v>
      </c>
      <c r="BJ68" s="87">
        <f t="shared" si="34"/>
        <v>100.8</v>
      </c>
      <c r="BK68" s="87">
        <f t="shared" si="34"/>
        <v>100.8</v>
      </c>
      <c r="BL68" s="87">
        <f t="shared" si="34"/>
        <v>100.8</v>
      </c>
      <c r="BM68" s="87">
        <f t="shared" si="34"/>
        <v>100.8</v>
      </c>
      <c r="BN68" s="87">
        <f t="shared" si="34"/>
        <v>100.8</v>
      </c>
      <c r="BO68" s="87">
        <f t="shared" si="34"/>
        <v>100.8</v>
      </c>
      <c r="BP68" s="87">
        <f t="shared" si="34"/>
        <v>100.8</v>
      </c>
      <c r="BQ68" s="87">
        <f t="shared" si="34"/>
        <v>100.8</v>
      </c>
      <c r="BR68" s="87">
        <f t="shared" ref="BR68:CA68" si="35" xml:space="preserve"> BR$48</f>
        <v>100.8</v>
      </c>
      <c r="BS68" s="87">
        <f t="shared" si="35"/>
        <v>100.8</v>
      </c>
      <c r="BT68" s="87">
        <f t="shared" si="35"/>
        <v>100.8</v>
      </c>
      <c r="BU68" s="87">
        <f t="shared" si="35"/>
        <v>100.8</v>
      </c>
      <c r="BV68" s="87">
        <f t="shared" si="35"/>
        <v>100.8</v>
      </c>
      <c r="BW68" s="87">
        <f t="shared" si="35"/>
        <v>0</v>
      </c>
      <c r="BX68" s="87">
        <f t="shared" si="35"/>
        <v>0</v>
      </c>
      <c r="BY68" s="87">
        <f t="shared" si="35"/>
        <v>0</v>
      </c>
      <c r="BZ68" s="87">
        <f t="shared" si="35"/>
        <v>0</v>
      </c>
      <c r="CA68" s="87">
        <f t="shared" si="35"/>
        <v>0</v>
      </c>
    </row>
    <row r="69" spans="1:79" x14ac:dyDescent="0.2">
      <c r="E69" s="87" t="s">
        <v>75</v>
      </c>
      <c r="G69" s="87" t="s">
        <v>77</v>
      </c>
      <c r="H69" s="87">
        <f>SUM(J69:CA69)</f>
        <v>30852640</v>
      </c>
      <c r="J69" s="87">
        <f xml:space="preserve"> J67 * J68</f>
        <v>0</v>
      </c>
      <c r="K69" s="87">
        <f t="shared" ref="K69:BV69" si="36" xml:space="preserve"> K67 * K68</f>
        <v>0</v>
      </c>
      <c r="L69" s="87">
        <f t="shared" si="36"/>
        <v>0</v>
      </c>
      <c r="M69" s="87">
        <f t="shared" si="36"/>
        <v>0</v>
      </c>
      <c r="N69" s="87">
        <f t="shared" si="36"/>
        <v>0</v>
      </c>
      <c r="O69" s="87">
        <f t="shared" si="36"/>
        <v>635040</v>
      </c>
      <c r="P69" s="87">
        <f t="shared" si="36"/>
        <v>588000</v>
      </c>
      <c r="Q69" s="87">
        <f t="shared" si="36"/>
        <v>635040</v>
      </c>
      <c r="R69" s="87">
        <f t="shared" si="36"/>
        <v>490000</v>
      </c>
      <c r="S69" s="87">
        <f t="shared" si="36"/>
        <v>529200</v>
      </c>
      <c r="T69" s="87">
        <f t="shared" si="36"/>
        <v>462000</v>
      </c>
      <c r="U69" s="87">
        <f t="shared" si="36"/>
        <v>498960.00000000006</v>
      </c>
      <c r="V69" s="87">
        <f t="shared" si="36"/>
        <v>462000</v>
      </c>
      <c r="W69" s="87">
        <f t="shared" si="36"/>
        <v>498960.00000000006</v>
      </c>
      <c r="X69" s="87">
        <f t="shared" si="36"/>
        <v>462000</v>
      </c>
      <c r="Y69" s="87">
        <f t="shared" si="36"/>
        <v>498960.00000000006</v>
      </c>
      <c r="Z69" s="87">
        <f t="shared" si="36"/>
        <v>462000</v>
      </c>
      <c r="AA69" s="87">
        <f t="shared" si="36"/>
        <v>498960.00000000006</v>
      </c>
      <c r="AB69" s="87">
        <f t="shared" si="36"/>
        <v>462000</v>
      </c>
      <c r="AC69" s="87">
        <f t="shared" si="36"/>
        <v>498960.00000000006</v>
      </c>
      <c r="AD69" s="87">
        <f t="shared" si="36"/>
        <v>476000</v>
      </c>
      <c r="AE69" s="87">
        <f t="shared" si="36"/>
        <v>514080</v>
      </c>
      <c r="AF69" s="87">
        <f t="shared" si="36"/>
        <v>476000</v>
      </c>
      <c r="AG69" s="87">
        <f t="shared" si="36"/>
        <v>514080</v>
      </c>
      <c r="AH69" s="87">
        <f t="shared" si="36"/>
        <v>476000</v>
      </c>
      <c r="AI69" s="87">
        <f t="shared" si="36"/>
        <v>514080</v>
      </c>
      <c r="AJ69" s="87">
        <f t="shared" si="36"/>
        <v>476000</v>
      </c>
      <c r="AK69" s="87">
        <f t="shared" si="36"/>
        <v>514080</v>
      </c>
      <c r="AL69" s="87">
        <f t="shared" si="36"/>
        <v>476000</v>
      </c>
      <c r="AM69" s="87">
        <f t="shared" si="36"/>
        <v>514080</v>
      </c>
      <c r="AN69" s="87">
        <f t="shared" si="36"/>
        <v>490000</v>
      </c>
      <c r="AO69" s="87">
        <f t="shared" si="36"/>
        <v>529200</v>
      </c>
      <c r="AP69" s="87">
        <f t="shared" si="36"/>
        <v>490000</v>
      </c>
      <c r="AQ69" s="87">
        <f t="shared" si="36"/>
        <v>529200</v>
      </c>
      <c r="AR69" s="87">
        <f t="shared" si="36"/>
        <v>490000</v>
      </c>
      <c r="AS69" s="87">
        <f t="shared" si="36"/>
        <v>529200</v>
      </c>
      <c r="AT69" s="87">
        <f t="shared" si="36"/>
        <v>490000</v>
      </c>
      <c r="AU69" s="87">
        <f t="shared" si="36"/>
        <v>529200</v>
      </c>
      <c r="AV69" s="87">
        <f t="shared" si="36"/>
        <v>490000</v>
      </c>
      <c r="AW69" s="87">
        <f t="shared" si="36"/>
        <v>529200</v>
      </c>
      <c r="AX69" s="87">
        <f t="shared" si="36"/>
        <v>504000</v>
      </c>
      <c r="AY69" s="87">
        <f t="shared" si="36"/>
        <v>544320</v>
      </c>
      <c r="AZ69" s="87">
        <f t="shared" si="36"/>
        <v>504000</v>
      </c>
      <c r="BA69" s="87">
        <f t="shared" si="36"/>
        <v>544320</v>
      </c>
      <c r="BB69" s="87">
        <f t="shared" si="36"/>
        <v>504000</v>
      </c>
      <c r="BC69" s="87">
        <f t="shared" si="36"/>
        <v>544320</v>
      </c>
      <c r="BD69" s="87">
        <f t="shared" si="36"/>
        <v>504000</v>
      </c>
      <c r="BE69" s="87">
        <f t="shared" si="36"/>
        <v>544320</v>
      </c>
      <c r="BF69" s="87">
        <f t="shared" si="36"/>
        <v>504000</v>
      </c>
      <c r="BG69" s="87">
        <f t="shared" si="36"/>
        <v>544320</v>
      </c>
      <c r="BH69" s="87">
        <f t="shared" si="36"/>
        <v>504000</v>
      </c>
      <c r="BI69" s="87">
        <f t="shared" si="36"/>
        <v>504000</v>
      </c>
      <c r="BJ69" s="87">
        <f t="shared" si="36"/>
        <v>544320</v>
      </c>
      <c r="BK69" s="87">
        <f t="shared" si="36"/>
        <v>504000</v>
      </c>
      <c r="BL69" s="87">
        <f t="shared" si="36"/>
        <v>544320</v>
      </c>
      <c r="BM69" s="87">
        <f t="shared" si="36"/>
        <v>504000</v>
      </c>
      <c r="BN69" s="87">
        <f t="shared" si="36"/>
        <v>544320</v>
      </c>
      <c r="BO69" s="87">
        <f t="shared" si="36"/>
        <v>504000</v>
      </c>
      <c r="BP69" s="87">
        <f t="shared" si="36"/>
        <v>544320</v>
      </c>
      <c r="BQ69" s="87">
        <f t="shared" si="36"/>
        <v>504000</v>
      </c>
      <c r="BR69" s="87">
        <f t="shared" si="36"/>
        <v>504000</v>
      </c>
      <c r="BS69" s="87">
        <f t="shared" si="36"/>
        <v>544320</v>
      </c>
      <c r="BT69" s="87">
        <f t="shared" si="36"/>
        <v>544320</v>
      </c>
      <c r="BU69" s="87">
        <f t="shared" si="36"/>
        <v>544320</v>
      </c>
      <c r="BV69" s="87">
        <f t="shared" si="36"/>
        <v>544320</v>
      </c>
      <c r="BW69" s="87">
        <f t="shared" ref="BW69:CA69" si="37" xml:space="preserve"> BW67 * BW68</f>
        <v>0</v>
      </c>
      <c r="BX69" s="87">
        <f t="shared" si="37"/>
        <v>0</v>
      </c>
      <c r="BY69" s="87">
        <f t="shared" si="37"/>
        <v>0</v>
      </c>
      <c r="BZ69" s="87">
        <f t="shared" si="37"/>
        <v>0</v>
      </c>
      <c r="CA69" s="87">
        <f t="shared" si="37"/>
        <v>0</v>
      </c>
    </row>
    <row r="71" spans="1:79" s="90" customFormat="1" x14ac:dyDescent="0.2">
      <c r="A71" s="82"/>
      <c r="B71" s="82"/>
      <c r="C71" s="151"/>
      <c r="D71" s="89"/>
      <c r="E71" s="90" t="str">
        <f xml:space="preserve"> E$23</f>
        <v>Landings - international charter</v>
      </c>
      <c r="F71" s="90">
        <f t="shared" ref="F71:BQ71" si="38" xml:space="preserve"> F$23</f>
        <v>0</v>
      </c>
      <c r="G71" s="90" t="str">
        <f t="shared" si="38"/>
        <v>landings</v>
      </c>
      <c r="H71" s="90">
        <f t="shared" si="38"/>
        <v>122250</v>
      </c>
      <c r="I71" s="90">
        <f t="shared" si="38"/>
        <v>0</v>
      </c>
      <c r="J71" s="90">
        <f t="shared" si="38"/>
        <v>0</v>
      </c>
      <c r="K71" s="90">
        <f t="shared" si="38"/>
        <v>0</v>
      </c>
      <c r="L71" s="90">
        <f t="shared" si="38"/>
        <v>0</v>
      </c>
      <c r="M71" s="90">
        <f t="shared" si="38"/>
        <v>0</v>
      </c>
      <c r="N71" s="90">
        <f t="shared" si="38"/>
        <v>0</v>
      </c>
      <c r="O71" s="90">
        <f t="shared" si="38"/>
        <v>1350</v>
      </c>
      <c r="P71" s="90">
        <f t="shared" si="38"/>
        <v>1500</v>
      </c>
      <c r="Q71" s="90">
        <f t="shared" si="38"/>
        <v>1500</v>
      </c>
      <c r="R71" s="90">
        <f t="shared" si="38"/>
        <v>1650</v>
      </c>
      <c r="S71" s="90">
        <f t="shared" si="38"/>
        <v>1650</v>
      </c>
      <c r="T71" s="90">
        <f t="shared" si="38"/>
        <v>1800</v>
      </c>
      <c r="U71" s="90">
        <f t="shared" si="38"/>
        <v>1800</v>
      </c>
      <c r="V71" s="90">
        <f t="shared" si="38"/>
        <v>1950</v>
      </c>
      <c r="W71" s="90">
        <f t="shared" si="38"/>
        <v>1950</v>
      </c>
      <c r="X71" s="90">
        <f t="shared" si="38"/>
        <v>2100</v>
      </c>
      <c r="Y71" s="90">
        <f t="shared" si="38"/>
        <v>2100</v>
      </c>
      <c r="Z71" s="90">
        <f t="shared" si="38"/>
        <v>2100</v>
      </c>
      <c r="AA71" s="90">
        <f t="shared" si="38"/>
        <v>2100</v>
      </c>
      <c r="AB71" s="90">
        <f t="shared" si="38"/>
        <v>2100</v>
      </c>
      <c r="AC71" s="90">
        <f t="shared" si="38"/>
        <v>2100</v>
      </c>
      <c r="AD71" s="90">
        <f t="shared" si="38"/>
        <v>2100</v>
      </c>
      <c r="AE71" s="90">
        <f t="shared" si="38"/>
        <v>2100</v>
      </c>
      <c r="AF71" s="90">
        <f t="shared" si="38"/>
        <v>2100</v>
      </c>
      <c r="AG71" s="90">
        <f t="shared" si="38"/>
        <v>2100</v>
      </c>
      <c r="AH71" s="90">
        <f t="shared" si="38"/>
        <v>2100</v>
      </c>
      <c r="AI71" s="90">
        <f t="shared" si="38"/>
        <v>2100</v>
      </c>
      <c r="AJ71" s="90">
        <f t="shared" si="38"/>
        <v>2100</v>
      </c>
      <c r="AK71" s="90">
        <f t="shared" si="38"/>
        <v>2100</v>
      </c>
      <c r="AL71" s="90">
        <f t="shared" si="38"/>
        <v>2100</v>
      </c>
      <c r="AM71" s="90">
        <f t="shared" si="38"/>
        <v>2100</v>
      </c>
      <c r="AN71" s="90">
        <f t="shared" si="38"/>
        <v>2100</v>
      </c>
      <c r="AO71" s="90">
        <f t="shared" si="38"/>
        <v>2100</v>
      </c>
      <c r="AP71" s="90">
        <f t="shared" si="38"/>
        <v>2100</v>
      </c>
      <c r="AQ71" s="90">
        <f t="shared" si="38"/>
        <v>2100</v>
      </c>
      <c r="AR71" s="90">
        <f t="shared" si="38"/>
        <v>2100</v>
      </c>
      <c r="AS71" s="90">
        <f t="shared" si="38"/>
        <v>2100</v>
      </c>
      <c r="AT71" s="90">
        <f t="shared" si="38"/>
        <v>2100</v>
      </c>
      <c r="AU71" s="90">
        <f t="shared" si="38"/>
        <v>2100</v>
      </c>
      <c r="AV71" s="90">
        <f t="shared" si="38"/>
        <v>2100</v>
      </c>
      <c r="AW71" s="90">
        <f t="shared" si="38"/>
        <v>2100</v>
      </c>
      <c r="AX71" s="90">
        <f t="shared" si="38"/>
        <v>2100</v>
      </c>
      <c r="AY71" s="90">
        <f t="shared" si="38"/>
        <v>2100</v>
      </c>
      <c r="AZ71" s="90">
        <f t="shared" si="38"/>
        <v>2100</v>
      </c>
      <c r="BA71" s="90">
        <f t="shared" si="38"/>
        <v>2100</v>
      </c>
      <c r="BB71" s="90">
        <f t="shared" si="38"/>
        <v>2100</v>
      </c>
      <c r="BC71" s="90">
        <f t="shared" si="38"/>
        <v>2100</v>
      </c>
      <c r="BD71" s="90">
        <f t="shared" si="38"/>
        <v>2100</v>
      </c>
      <c r="BE71" s="90">
        <f t="shared" si="38"/>
        <v>2100</v>
      </c>
      <c r="BF71" s="90">
        <f t="shared" si="38"/>
        <v>2100</v>
      </c>
      <c r="BG71" s="90">
        <f t="shared" si="38"/>
        <v>2100</v>
      </c>
      <c r="BH71" s="90">
        <f t="shared" si="38"/>
        <v>2100</v>
      </c>
      <c r="BI71" s="90">
        <f t="shared" si="38"/>
        <v>2100</v>
      </c>
      <c r="BJ71" s="90">
        <f t="shared" si="38"/>
        <v>2100</v>
      </c>
      <c r="BK71" s="90">
        <f t="shared" si="38"/>
        <v>2100</v>
      </c>
      <c r="BL71" s="90">
        <f t="shared" si="38"/>
        <v>2100</v>
      </c>
      <c r="BM71" s="90">
        <f t="shared" si="38"/>
        <v>2100</v>
      </c>
      <c r="BN71" s="90">
        <f t="shared" si="38"/>
        <v>2100</v>
      </c>
      <c r="BO71" s="90">
        <f t="shared" si="38"/>
        <v>2100</v>
      </c>
      <c r="BP71" s="90">
        <f t="shared" si="38"/>
        <v>2100</v>
      </c>
      <c r="BQ71" s="90">
        <f t="shared" si="38"/>
        <v>2100</v>
      </c>
      <c r="BR71" s="90">
        <f t="shared" ref="BR71:CA71" si="39" xml:space="preserve"> BR$23</f>
        <v>2100</v>
      </c>
      <c r="BS71" s="90">
        <f t="shared" si="39"/>
        <v>2100</v>
      </c>
      <c r="BT71" s="90">
        <f t="shared" si="39"/>
        <v>2100</v>
      </c>
      <c r="BU71" s="90">
        <f t="shared" si="39"/>
        <v>2100</v>
      </c>
      <c r="BV71" s="90">
        <f t="shared" si="39"/>
        <v>2100</v>
      </c>
      <c r="BW71" s="90">
        <f t="shared" si="39"/>
        <v>0</v>
      </c>
      <c r="BX71" s="90">
        <f t="shared" si="39"/>
        <v>0</v>
      </c>
      <c r="BY71" s="90">
        <f t="shared" si="39"/>
        <v>0</v>
      </c>
      <c r="BZ71" s="90">
        <f t="shared" si="39"/>
        <v>0</v>
      </c>
      <c r="CA71" s="90">
        <f t="shared" si="39"/>
        <v>0</v>
      </c>
    </row>
    <row r="72" spans="1:79" s="90" customFormat="1" x14ac:dyDescent="0.2">
      <c r="A72" s="82"/>
      <c r="B72" s="82"/>
      <c r="C72" s="151"/>
      <c r="D72" s="89"/>
      <c r="E72" s="90" t="str">
        <f xml:space="preserve"> E$53</f>
        <v>PAx per landing - international chartered</v>
      </c>
      <c r="F72" s="90">
        <f t="shared" ref="F72:BQ72" si="40" xml:space="preserve"> F$53</f>
        <v>0</v>
      </c>
      <c r="G72" s="90" t="str">
        <f t="shared" si="40"/>
        <v>PAx / land</v>
      </c>
      <c r="H72" s="90">
        <f t="shared" si="40"/>
        <v>0</v>
      </c>
      <c r="I72" s="90">
        <f t="shared" si="40"/>
        <v>0</v>
      </c>
      <c r="J72" s="90">
        <f t="shared" si="40"/>
        <v>0</v>
      </c>
      <c r="K72" s="90">
        <f t="shared" si="40"/>
        <v>0</v>
      </c>
      <c r="L72" s="90">
        <f t="shared" si="40"/>
        <v>0</v>
      </c>
      <c r="M72" s="90">
        <f t="shared" si="40"/>
        <v>0</v>
      </c>
      <c r="N72" s="90">
        <f t="shared" si="40"/>
        <v>0</v>
      </c>
      <c r="O72" s="90">
        <f t="shared" si="40"/>
        <v>150</v>
      </c>
      <c r="P72" s="90">
        <f t="shared" si="40"/>
        <v>162.5</v>
      </c>
      <c r="Q72" s="90">
        <f t="shared" si="40"/>
        <v>150</v>
      </c>
      <c r="R72" s="90">
        <f t="shared" si="40"/>
        <v>162.5</v>
      </c>
      <c r="S72" s="90">
        <f t="shared" si="40"/>
        <v>150</v>
      </c>
      <c r="T72" s="90">
        <f t="shared" si="40"/>
        <v>162.5</v>
      </c>
      <c r="U72" s="90">
        <f t="shared" si="40"/>
        <v>150</v>
      </c>
      <c r="V72" s="90">
        <f t="shared" si="40"/>
        <v>162.5</v>
      </c>
      <c r="W72" s="90">
        <f t="shared" si="40"/>
        <v>150</v>
      </c>
      <c r="X72" s="90">
        <f t="shared" si="40"/>
        <v>162.5</v>
      </c>
      <c r="Y72" s="90">
        <f t="shared" si="40"/>
        <v>150</v>
      </c>
      <c r="Z72" s="90">
        <f t="shared" si="40"/>
        <v>162.5</v>
      </c>
      <c r="AA72" s="90">
        <f t="shared" si="40"/>
        <v>150</v>
      </c>
      <c r="AB72" s="90">
        <f t="shared" si="40"/>
        <v>162.5</v>
      </c>
      <c r="AC72" s="90">
        <f t="shared" si="40"/>
        <v>150</v>
      </c>
      <c r="AD72" s="90">
        <f t="shared" si="40"/>
        <v>162.5</v>
      </c>
      <c r="AE72" s="90">
        <f t="shared" si="40"/>
        <v>150</v>
      </c>
      <c r="AF72" s="90">
        <f t="shared" si="40"/>
        <v>162.5</v>
      </c>
      <c r="AG72" s="90">
        <f t="shared" si="40"/>
        <v>150</v>
      </c>
      <c r="AH72" s="90">
        <f t="shared" si="40"/>
        <v>162.5</v>
      </c>
      <c r="AI72" s="90">
        <f t="shared" si="40"/>
        <v>150</v>
      </c>
      <c r="AJ72" s="90">
        <f t="shared" si="40"/>
        <v>162.5</v>
      </c>
      <c r="AK72" s="90">
        <f t="shared" si="40"/>
        <v>150</v>
      </c>
      <c r="AL72" s="90">
        <f t="shared" si="40"/>
        <v>162.5</v>
      </c>
      <c r="AM72" s="90">
        <f t="shared" si="40"/>
        <v>150</v>
      </c>
      <c r="AN72" s="90">
        <f t="shared" si="40"/>
        <v>162.5</v>
      </c>
      <c r="AO72" s="90">
        <f t="shared" si="40"/>
        <v>150</v>
      </c>
      <c r="AP72" s="90">
        <f t="shared" si="40"/>
        <v>162.5</v>
      </c>
      <c r="AQ72" s="90">
        <f t="shared" si="40"/>
        <v>150</v>
      </c>
      <c r="AR72" s="90">
        <f t="shared" si="40"/>
        <v>162.5</v>
      </c>
      <c r="AS72" s="90">
        <f t="shared" si="40"/>
        <v>150</v>
      </c>
      <c r="AT72" s="90">
        <f t="shared" si="40"/>
        <v>162.5</v>
      </c>
      <c r="AU72" s="90">
        <f t="shared" si="40"/>
        <v>150</v>
      </c>
      <c r="AV72" s="90">
        <f t="shared" si="40"/>
        <v>162.5</v>
      </c>
      <c r="AW72" s="90">
        <f t="shared" si="40"/>
        <v>150</v>
      </c>
      <c r="AX72" s="90">
        <f t="shared" si="40"/>
        <v>162.5</v>
      </c>
      <c r="AY72" s="90">
        <f t="shared" si="40"/>
        <v>150</v>
      </c>
      <c r="AZ72" s="90">
        <f t="shared" si="40"/>
        <v>162.5</v>
      </c>
      <c r="BA72" s="90">
        <f t="shared" si="40"/>
        <v>150</v>
      </c>
      <c r="BB72" s="90">
        <f t="shared" si="40"/>
        <v>162.5</v>
      </c>
      <c r="BC72" s="90">
        <f t="shared" si="40"/>
        <v>150</v>
      </c>
      <c r="BD72" s="90">
        <f t="shared" si="40"/>
        <v>162.5</v>
      </c>
      <c r="BE72" s="90">
        <f t="shared" si="40"/>
        <v>150</v>
      </c>
      <c r="BF72" s="90">
        <f t="shared" si="40"/>
        <v>162.5</v>
      </c>
      <c r="BG72" s="90">
        <f t="shared" si="40"/>
        <v>150</v>
      </c>
      <c r="BH72" s="90">
        <f t="shared" si="40"/>
        <v>162.5</v>
      </c>
      <c r="BI72" s="90">
        <f t="shared" si="40"/>
        <v>150</v>
      </c>
      <c r="BJ72" s="90">
        <f t="shared" si="40"/>
        <v>162.5</v>
      </c>
      <c r="BK72" s="90">
        <f t="shared" si="40"/>
        <v>150</v>
      </c>
      <c r="BL72" s="90">
        <f t="shared" si="40"/>
        <v>162.5</v>
      </c>
      <c r="BM72" s="90">
        <f t="shared" si="40"/>
        <v>150</v>
      </c>
      <c r="BN72" s="90">
        <f t="shared" si="40"/>
        <v>162.5</v>
      </c>
      <c r="BO72" s="90">
        <f t="shared" si="40"/>
        <v>150</v>
      </c>
      <c r="BP72" s="90">
        <f t="shared" si="40"/>
        <v>162.5</v>
      </c>
      <c r="BQ72" s="90">
        <f t="shared" si="40"/>
        <v>150</v>
      </c>
      <c r="BR72" s="90">
        <f t="shared" ref="BR72:CA72" si="41" xml:space="preserve"> BR$53</f>
        <v>162.5</v>
      </c>
      <c r="BS72" s="90">
        <f t="shared" si="41"/>
        <v>150</v>
      </c>
      <c r="BT72" s="90">
        <f t="shared" si="41"/>
        <v>150</v>
      </c>
      <c r="BU72" s="90">
        <f t="shared" si="41"/>
        <v>150</v>
      </c>
      <c r="BV72" s="90">
        <f t="shared" si="41"/>
        <v>150</v>
      </c>
      <c r="BW72" s="90">
        <f t="shared" si="41"/>
        <v>0</v>
      </c>
      <c r="BX72" s="90">
        <f t="shared" si="41"/>
        <v>0</v>
      </c>
      <c r="BY72" s="90">
        <f t="shared" si="41"/>
        <v>0</v>
      </c>
      <c r="BZ72" s="90">
        <f t="shared" si="41"/>
        <v>0</v>
      </c>
      <c r="CA72" s="90">
        <f t="shared" si="41"/>
        <v>0</v>
      </c>
    </row>
    <row r="73" spans="1:79" x14ac:dyDescent="0.2">
      <c r="E73" s="87" t="s">
        <v>78</v>
      </c>
      <c r="G73" s="87" t="s">
        <v>77</v>
      </c>
      <c r="H73" s="87">
        <f>SUM(J73:CA73)</f>
        <v>19053750</v>
      </c>
      <c r="J73" s="87">
        <f xml:space="preserve"> J71 * J72</f>
        <v>0</v>
      </c>
      <c r="K73" s="87">
        <f t="shared" ref="K73" si="42" xml:space="preserve"> K71 * K72</f>
        <v>0</v>
      </c>
      <c r="L73" s="87">
        <f t="shared" ref="L73" si="43" xml:space="preserve"> L71 * L72</f>
        <v>0</v>
      </c>
      <c r="M73" s="87">
        <f t="shared" ref="M73" si="44" xml:space="preserve"> M71 * M72</f>
        <v>0</v>
      </c>
      <c r="N73" s="87">
        <f t="shared" ref="N73" si="45" xml:space="preserve"> N71 * N72</f>
        <v>0</v>
      </c>
      <c r="O73" s="87">
        <f t="shared" ref="O73" si="46" xml:space="preserve"> O71 * O72</f>
        <v>202500</v>
      </c>
      <c r="P73" s="87">
        <f t="shared" ref="P73" si="47" xml:space="preserve"> P71 * P72</f>
        <v>243750</v>
      </c>
      <c r="Q73" s="87">
        <f t="shared" ref="Q73" si="48" xml:space="preserve"> Q71 * Q72</f>
        <v>225000</v>
      </c>
      <c r="R73" s="87">
        <f t="shared" ref="R73" si="49" xml:space="preserve"> R71 * R72</f>
        <v>268125</v>
      </c>
      <c r="S73" s="87">
        <f t="shared" ref="S73" si="50" xml:space="preserve"> S71 * S72</f>
        <v>247500</v>
      </c>
      <c r="T73" s="87">
        <f t="shared" ref="T73" si="51" xml:space="preserve"> T71 * T72</f>
        <v>292500</v>
      </c>
      <c r="U73" s="87">
        <f t="shared" ref="U73" si="52" xml:space="preserve"> U71 * U72</f>
        <v>270000</v>
      </c>
      <c r="V73" s="87">
        <f t="shared" ref="V73" si="53" xml:space="preserve"> V71 * V72</f>
        <v>316875</v>
      </c>
      <c r="W73" s="87">
        <f t="shared" ref="W73" si="54" xml:space="preserve"> W71 * W72</f>
        <v>292500</v>
      </c>
      <c r="X73" s="87">
        <f t="shared" ref="X73" si="55" xml:space="preserve"> X71 * X72</f>
        <v>341250</v>
      </c>
      <c r="Y73" s="87">
        <f t="shared" ref="Y73" si="56" xml:space="preserve"> Y71 * Y72</f>
        <v>315000</v>
      </c>
      <c r="Z73" s="87">
        <f t="shared" ref="Z73" si="57" xml:space="preserve"> Z71 * Z72</f>
        <v>341250</v>
      </c>
      <c r="AA73" s="87">
        <f t="shared" ref="AA73" si="58" xml:space="preserve"> AA71 * AA72</f>
        <v>315000</v>
      </c>
      <c r="AB73" s="87">
        <f t="shared" ref="AB73" si="59" xml:space="preserve"> AB71 * AB72</f>
        <v>341250</v>
      </c>
      <c r="AC73" s="87">
        <f t="shared" ref="AC73" si="60" xml:space="preserve"> AC71 * AC72</f>
        <v>315000</v>
      </c>
      <c r="AD73" s="87">
        <f t="shared" ref="AD73" si="61" xml:space="preserve"> AD71 * AD72</f>
        <v>341250</v>
      </c>
      <c r="AE73" s="87">
        <f t="shared" ref="AE73" si="62" xml:space="preserve"> AE71 * AE72</f>
        <v>315000</v>
      </c>
      <c r="AF73" s="87">
        <f t="shared" ref="AF73" si="63" xml:space="preserve"> AF71 * AF72</f>
        <v>341250</v>
      </c>
      <c r="AG73" s="87">
        <f t="shared" ref="AG73" si="64" xml:space="preserve"> AG71 * AG72</f>
        <v>315000</v>
      </c>
      <c r="AH73" s="87">
        <f t="shared" ref="AH73" si="65" xml:space="preserve"> AH71 * AH72</f>
        <v>341250</v>
      </c>
      <c r="AI73" s="87">
        <f t="shared" ref="AI73" si="66" xml:space="preserve"> AI71 * AI72</f>
        <v>315000</v>
      </c>
      <c r="AJ73" s="87">
        <f t="shared" ref="AJ73" si="67" xml:space="preserve"> AJ71 * AJ72</f>
        <v>341250</v>
      </c>
      <c r="AK73" s="87">
        <f t="shared" ref="AK73" si="68" xml:space="preserve"> AK71 * AK72</f>
        <v>315000</v>
      </c>
      <c r="AL73" s="87">
        <f t="shared" ref="AL73" si="69" xml:space="preserve"> AL71 * AL72</f>
        <v>341250</v>
      </c>
      <c r="AM73" s="87">
        <f t="shared" ref="AM73" si="70" xml:space="preserve"> AM71 * AM72</f>
        <v>315000</v>
      </c>
      <c r="AN73" s="87">
        <f t="shared" ref="AN73" si="71" xml:space="preserve"> AN71 * AN72</f>
        <v>341250</v>
      </c>
      <c r="AO73" s="87">
        <f t="shared" ref="AO73" si="72" xml:space="preserve"> AO71 * AO72</f>
        <v>315000</v>
      </c>
      <c r="AP73" s="87">
        <f t="shared" ref="AP73" si="73" xml:space="preserve"> AP71 * AP72</f>
        <v>341250</v>
      </c>
      <c r="AQ73" s="87">
        <f t="shared" ref="AQ73" si="74" xml:space="preserve"> AQ71 * AQ72</f>
        <v>315000</v>
      </c>
      <c r="AR73" s="87">
        <f t="shared" ref="AR73" si="75" xml:space="preserve"> AR71 * AR72</f>
        <v>341250</v>
      </c>
      <c r="AS73" s="87">
        <f t="shared" ref="AS73" si="76" xml:space="preserve"> AS71 * AS72</f>
        <v>315000</v>
      </c>
      <c r="AT73" s="87">
        <f t="shared" ref="AT73" si="77" xml:space="preserve"> AT71 * AT72</f>
        <v>341250</v>
      </c>
      <c r="AU73" s="87">
        <f t="shared" ref="AU73" si="78" xml:space="preserve"> AU71 * AU72</f>
        <v>315000</v>
      </c>
      <c r="AV73" s="87">
        <f t="shared" ref="AV73" si="79" xml:space="preserve"> AV71 * AV72</f>
        <v>341250</v>
      </c>
      <c r="AW73" s="87">
        <f t="shared" ref="AW73" si="80" xml:space="preserve"> AW71 * AW72</f>
        <v>315000</v>
      </c>
      <c r="AX73" s="87">
        <f t="shared" ref="AX73" si="81" xml:space="preserve"> AX71 * AX72</f>
        <v>341250</v>
      </c>
      <c r="AY73" s="87">
        <f t="shared" ref="AY73" si="82" xml:space="preserve"> AY71 * AY72</f>
        <v>315000</v>
      </c>
      <c r="AZ73" s="87">
        <f t="shared" ref="AZ73" si="83" xml:space="preserve"> AZ71 * AZ72</f>
        <v>341250</v>
      </c>
      <c r="BA73" s="87">
        <f t="shared" ref="BA73" si="84" xml:space="preserve"> BA71 * BA72</f>
        <v>315000</v>
      </c>
      <c r="BB73" s="87">
        <f t="shared" ref="BB73" si="85" xml:space="preserve"> BB71 * BB72</f>
        <v>341250</v>
      </c>
      <c r="BC73" s="87">
        <f t="shared" ref="BC73" si="86" xml:space="preserve"> BC71 * BC72</f>
        <v>315000</v>
      </c>
      <c r="BD73" s="87">
        <f t="shared" ref="BD73" si="87" xml:space="preserve"> BD71 * BD72</f>
        <v>341250</v>
      </c>
      <c r="BE73" s="87">
        <f t="shared" ref="BE73" si="88" xml:space="preserve"> BE71 * BE72</f>
        <v>315000</v>
      </c>
      <c r="BF73" s="87">
        <f t="shared" ref="BF73" si="89" xml:space="preserve"> BF71 * BF72</f>
        <v>341250</v>
      </c>
      <c r="BG73" s="87">
        <f t="shared" ref="BG73" si="90" xml:space="preserve"> BG71 * BG72</f>
        <v>315000</v>
      </c>
      <c r="BH73" s="87">
        <f t="shared" ref="BH73" si="91" xml:space="preserve"> BH71 * BH72</f>
        <v>341250</v>
      </c>
      <c r="BI73" s="87">
        <f t="shared" ref="BI73" si="92" xml:space="preserve"> BI71 * BI72</f>
        <v>315000</v>
      </c>
      <c r="BJ73" s="87">
        <f t="shared" ref="BJ73" si="93" xml:space="preserve"> BJ71 * BJ72</f>
        <v>341250</v>
      </c>
      <c r="BK73" s="87">
        <f t="shared" ref="BK73" si="94" xml:space="preserve"> BK71 * BK72</f>
        <v>315000</v>
      </c>
      <c r="BL73" s="87">
        <f t="shared" ref="BL73" si="95" xml:space="preserve"> BL71 * BL72</f>
        <v>341250</v>
      </c>
      <c r="BM73" s="87">
        <f t="shared" ref="BM73" si="96" xml:space="preserve"> BM71 * BM72</f>
        <v>315000</v>
      </c>
      <c r="BN73" s="87">
        <f t="shared" ref="BN73" si="97" xml:space="preserve"> BN71 * BN72</f>
        <v>341250</v>
      </c>
      <c r="BO73" s="87">
        <f t="shared" ref="BO73" si="98" xml:space="preserve"> BO71 * BO72</f>
        <v>315000</v>
      </c>
      <c r="BP73" s="87">
        <f t="shared" ref="BP73" si="99" xml:space="preserve"> BP71 * BP72</f>
        <v>341250</v>
      </c>
      <c r="BQ73" s="87">
        <f t="shared" ref="BQ73" si="100" xml:space="preserve"> BQ71 * BQ72</f>
        <v>315000</v>
      </c>
      <c r="BR73" s="87">
        <f t="shared" ref="BR73" si="101" xml:space="preserve"> BR71 * BR72</f>
        <v>341250</v>
      </c>
      <c r="BS73" s="87">
        <f t="shared" ref="BS73" si="102" xml:space="preserve"> BS71 * BS72</f>
        <v>315000</v>
      </c>
      <c r="BT73" s="87">
        <f t="shared" ref="BT73" si="103" xml:space="preserve"> BT71 * BT72</f>
        <v>315000</v>
      </c>
      <c r="BU73" s="87">
        <f t="shared" ref="BU73" si="104" xml:space="preserve"> BU71 * BU72</f>
        <v>315000</v>
      </c>
      <c r="BV73" s="87">
        <f t="shared" ref="BV73" si="105" xml:space="preserve"> BV71 * BV72</f>
        <v>315000</v>
      </c>
      <c r="BW73" s="87">
        <f t="shared" ref="BW73" si="106" xml:space="preserve"> BW71 * BW72</f>
        <v>0</v>
      </c>
      <c r="BX73" s="87">
        <f t="shared" ref="BX73" si="107" xml:space="preserve"> BX71 * BX72</f>
        <v>0</v>
      </c>
      <c r="BY73" s="87">
        <f t="shared" ref="BY73" si="108" xml:space="preserve"> BY71 * BY72</f>
        <v>0</v>
      </c>
      <c r="BZ73" s="87">
        <f t="shared" ref="BZ73" si="109" xml:space="preserve"> BZ71 * BZ72</f>
        <v>0</v>
      </c>
      <c r="CA73" s="87">
        <f t="shared" ref="CA73" si="110" xml:space="preserve"> CA71 * CA72</f>
        <v>0</v>
      </c>
    </row>
    <row r="75" spans="1:79" s="90" customFormat="1" x14ac:dyDescent="0.2">
      <c r="A75" s="82"/>
      <c r="B75" s="82"/>
      <c r="C75" s="151"/>
      <c r="D75" s="89"/>
      <c r="E75" s="90" t="str">
        <f xml:space="preserve"> E$28</f>
        <v>Landings - international scheduled</v>
      </c>
      <c r="F75" s="90">
        <f t="shared" ref="F75:BQ75" si="111" xml:space="preserve"> F$28</f>
        <v>0</v>
      </c>
      <c r="G75" s="90" t="str">
        <f t="shared" si="111"/>
        <v>landings</v>
      </c>
      <c r="H75" s="90">
        <f t="shared" si="111"/>
        <v>52230</v>
      </c>
      <c r="I75" s="90">
        <f t="shared" si="111"/>
        <v>0</v>
      </c>
      <c r="J75" s="90">
        <f t="shared" si="111"/>
        <v>0</v>
      </c>
      <c r="K75" s="90">
        <f t="shared" si="111"/>
        <v>0</v>
      </c>
      <c r="L75" s="90">
        <f t="shared" si="111"/>
        <v>0</v>
      </c>
      <c r="M75" s="90">
        <f t="shared" si="111"/>
        <v>0</v>
      </c>
      <c r="N75" s="90">
        <f t="shared" si="111"/>
        <v>0</v>
      </c>
      <c r="O75" s="90">
        <f t="shared" si="111"/>
        <v>630</v>
      </c>
      <c r="P75" s="90">
        <f t="shared" si="111"/>
        <v>720</v>
      </c>
      <c r="Q75" s="90">
        <f t="shared" si="111"/>
        <v>720</v>
      </c>
      <c r="R75" s="90">
        <f t="shared" si="111"/>
        <v>880</v>
      </c>
      <c r="S75" s="90">
        <f t="shared" si="111"/>
        <v>880</v>
      </c>
      <c r="T75" s="90">
        <f t="shared" si="111"/>
        <v>880</v>
      </c>
      <c r="U75" s="90">
        <f t="shared" si="111"/>
        <v>880</v>
      </c>
      <c r="V75" s="90">
        <f t="shared" si="111"/>
        <v>880</v>
      </c>
      <c r="W75" s="90">
        <f t="shared" si="111"/>
        <v>880</v>
      </c>
      <c r="X75" s="90">
        <f t="shared" si="111"/>
        <v>880</v>
      </c>
      <c r="Y75" s="90">
        <f t="shared" si="111"/>
        <v>880</v>
      </c>
      <c r="Z75" s="90">
        <f t="shared" si="111"/>
        <v>880</v>
      </c>
      <c r="AA75" s="90">
        <f t="shared" si="111"/>
        <v>880</v>
      </c>
      <c r="AB75" s="90">
        <f t="shared" si="111"/>
        <v>880</v>
      </c>
      <c r="AC75" s="90">
        <f t="shared" si="111"/>
        <v>880</v>
      </c>
      <c r="AD75" s="90">
        <f t="shared" si="111"/>
        <v>880</v>
      </c>
      <c r="AE75" s="90">
        <f t="shared" si="111"/>
        <v>880</v>
      </c>
      <c r="AF75" s="90">
        <f t="shared" si="111"/>
        <v>880</v>
      </c>
      <c r="AG75" s="90">
        <f t="shared" si="111"/>
        <v>880</v>
      </c>
      <c r="AH75" s="90">
        <f t="shared" si="111"/>
        <v>880</v>
      </c>
      <c r="AI75" s="90">
        <f t="shared" si="111"/>
        <v>880</v>
      </c>
      <c r="AJ75" s="90">
        <f t="shared" si="111"/>
        <v>880</v>
      </c>
      <c r="AK75" s="90">
        <f t="shared" si="111"/>
        <v>880</v>
      </c>
      <c r="AL75" s="90">
        <f t="shared" si="111"/>
        <v>880</v>
      </c>
      <c r="AM75" s="90">
        <f t="shared" si="111"/>
        <v>880</v>
      </c>
      <c r="AN75" s="90">
        <f t="shared" si="111"/>
        <v>880</v>
      </c>
      <c r="AO75" s="90">
        <f t="shared" si="111"/>
        <v>880</v>
      </c>
      <c r="AP75" s="90">
        <f t="shared" si="111"/>
        <v>880</v>
      </c>
      <c r="AQ75" s="90">
        <f t="shared" si="111"/>
        <v>880</v>
      </c>
      <c r="AR75" s="90">
        <f t="shared" si="111"/>
        <v>880</v>
      </c>
      <c r="AS75" s="90">
        <f t="shared" si="111"/>
        <v>880</v>
      </c>
      <c r="AT75" s="90">
        <f t="shared" si="111"/>
        <v>880</v>
      </c>
      <c r="AU75" s="90">
        <f t="shared" si="111"/>
        <v>880</v>
      </c>
      <c r="AV75" s="90">
        <f t="shared" si="111"/>
        <v>880</v>
      </c>
      <c r="AW75" s="90">
        <f t="shared" si="111"/>
        <v>880</v>
      </c>
      <c r="AX75" s="90">
        <f t="shared" si="111"/>
        <v>880</v>
      </c>
      <c r="AY75" s="90">
        <f t="shared" si="111"/>
        <v>880</v>
      </c>
      <c r="AZ75" s="90">
        <f t="shared" si="111"/>
        <v>880</v>
      </c>
      <c r="BA75" s="90">
        <f t="shared" si="111"/>
        <v>880</v>
      </c>
      <c r="BB75" s="90">
        <f t="shared" si="111"/>
        <v>880</v>
      </c>
      <c r="BC75" s="90">
        <f t="shared" si="111"/>
        <v>880</v>
      </c>
      <c r="BD75" s="90">
        <f t="shared" si="111"/>
        <v>880</v>
      </c>
      <c r="BE75" s="90">
        <f t="shared" si="111"/>
        <v>880</v>
      </c>
      <c r="BF75" s="90">
        <f t="shared" si="111"/>
        <v>880</v>
      </c>
      <c r="BG75" s="90">
        <f t="shared" si="111"/>
        <v>880</v>
      </c>
      <c r="BH75" s="90">
        <f t="shared" si="111"/>
        <v>880</v>
      </c>
      <c r="BI75" s="90">
        <f t="shared" si="111"/>
        <v>880</v>
      </c>
      <c r="BJ75" s="90">
        <f t="shared" si="111"/>
        <v>880</v>
      </c>
      <c r="BK75" s="90">
        <f t="shared" si="111"/>
        <v>880</v>
      </c>
      <c r="BL75" s="90">
        <f t="shared" si="111"/>
        <v>880</v>
      </c>
      <c r="BM75" s="90">
        <f t="shared" si="111"/>
        <v>880</v>
      </c>
      <c r="BN75" s="90">
        <f t="shared" si="111"/>
        <v>880</v>
      </c>
      <c r="BO75" s="90">
        <f t="shared" si="111"/>
        <v>880</v>
      </c>
      <c r="BP75" s="90">
        <f t="shared" si="111"/>
        <v>880</v>
      </c>
      <c r="BQ75" s="90">
        <f t="shared" si="111"/>
        <v>880</v>
      </c>
      <c r="BR75" s="90">
        <f t="shared" ref="BR75:CA75" si="112" xml:space="preserve"> BR$28</f>
        <v>880</v>
      </c>
      <c r="BS75" s="90">
        <f t="shared" si="112"/>
        <v>880</v>
      </c>
      <c r="BT75" s="90">
        <f t="shared" si="112"/>
        <v>880</v>
      </c>
      <c r="BU75" s="90">
        <f t="shared" si="112"/>
        <v>880</v>
      </c>
      <c r="BV75" s="90">
        <f t="shared" si="112"/>
        <v>880</v>
      </c>
      <c r="BW75" s="90">
        <f t="shared" si="112"/>
        <v>0</v>
      </c>
      <c r="BX75" s="90">
        <f t="shared" si="112"/>
        <v>0</v>
      </c>
      <c r="BY75" s="90">
        <f t="shared" si="112"/>
        <v>0</v>
      </c>
      <c r="BZ75" s="90">
        <f t="shared" si="112"/>
        <v>0</v>
      </c>
      <c r="CA75" s="90">
        <f t="shared" si="112"/>
        <v>0</v>
      </c>
    </row>
    <row r="76" spans="1:79" s="90" customFormat="1" x14ac:dyDescent="0.2">
      <c r="A76" s="82"/>
      <c r="B76" s="82"/>
      <c r="C76" s="151"/>
      <c r="D76" s="89"/>
      <c r="E76" s="90" t="str">
        <f xml:space="preserve"> E$58</f>
        <v>PAx per landing - international scheduled</v>
      </c>
      <c r="F76" s="90">
        <f t="shared" ref="F76:BQ76" si="113" xml:space="preserve"> F$58</f>
        <v>0</v>
      </c>
      <c r="G76" s="90" t="str">
        <f t="shared" si="113"/>
        <v>PAx / land</v>
      </c>
      <c r="H76" s="90">
        <f t="shared" si="113"/>
        <v>0</v>
      </c>
      <c r="I76" s="90">
        <f t="shared" si="113"/>
        <v>0</v>
      </c>
      <c r="J76" s="90">
        <f t="shared" si="113"/>
        <v>0</v>
      </c>
      <c r="K76" s="90">
        <f t="shared" si="113"/>
        <v>0</v>
      </c>
      <c r="L76" s="90">
        <f t="shared" si="113"/>
        <v>0</v>
      </c>
      <c r="M76" s="90">
        <f t="shared" si="113"/>
        <v>0</v>
      </c>
      <c r="N76" s="90">
        <f t="shared" si="113"/>
        <v>0</v>
      </c>
      <c r="O76" s="90">
        <f t="shared" si="113"/>
        <v>182</v>
      </c>
      <c r="P76" s="90">
        <f t="shared" si="113"/>
        <v>182</v>
      </c>
      <c r="Q76" s="90">
        <f t="shared" si="113"/>
        <v>182</v>
      </c>
      <c r="R76" s="90">
        <f t="shared" si="113"/>
        <v>182</v>
      </c>
      <c r="S76" s="90">
        <f t="shared" si="113"/>
        <v>182</v>
      </c>
      <c r="T76" s="90">
        <f t="shared" si="113"/>
        <v>182</v>
      </c>
      <c r="U76" s="90">
        <f t="shared" si="113"/>
        <v>182</v>
      </c>
      <c r="V76" s="90">
        <f t="shared" si="113"/>
        <v>182</v>
      </c>
      <c r="W76" s="90">
        <f t="shared" si="113"/>
        <v>182</v>
      </c>
      <c r="X76" s="90">
        <f t="shared" si="113"/>
        <v>182</v>
      </c>
      <c r="Y76" s="90">
        <f t="shared" si="113"/>
        <v>182</v>
      </c>
      <c r="Z76" s="90">
        <f t="shared" si="113"/>
        <v>182</v>
      </c>
      <c r="AA76" s="90">
        <f t="shared" si="113"/>
        <v>182</v>
      </c>
      <c r="AB76" s="90">
        <f t="shared" si="113"/>
        <v>182</v>
      </c>
      <c r="AC76" s="90">
        <f t="shared" si="113"/>
        <v>182</v>
      </c>
      <c r="AD76" s="90">
        <f t="shared" si="113"/>
        <v>182</v>
      </c>
      <c r="AE76" s="90">
        <f t="shared" si="113"/>
        <v>182</v>
      </c>
      <c r="AF76" s="90">
        <f t="shared" si="113"/>
        <v>182</v>
      </c>
      <c r="AG76" s="90">
        <f t="shared" si="113"/>
        <v>182</v>
      </c>
      <c r="AH76" s="90">
        <f t="shared" si="113"/>
        <v>182</v>
      </c>
      <c r="AI76" s="90">
        <f t="shared" si="113"/>
        <v>182</v>
      </c>
      <c r="AJ76" s="90">
        <f t="shared" si="113"/>
        <v>182</v>
      </c>
      <c r="AK76" s="90">
        <f t="shared" si="113"/>
        <v>182</v>
      </c>
      <c r="AL76" s="90">
        <f t="shared" si="113"/>
        <v>182</v>
      </c>
      <c r="AM76" s="90">
        <f t="shared" si="113"/>
        <v>182</v>
      </c>
      <c r="AN76" s="90">
        <f t="shared" si="113"/>
        <v>182</v>
      </c>
      <c r="AO76" s="90">
        <f t="shared" si="113"/>
        <v>182</v>
      </c>
      <c r="AP76" s="90">
        <f t="shared" si="113"/>
        <v>182</v>
      </c>
      <c r="AQ76" s="90">
        <f t="shared" si="113"/>
        <v>182</v>
      </c>
      <c r="AR76" s="90">
        <f t="shared" si="113"/>
        <v>182</v>
      </c>
      <c r="AS76" s="90">
        <f t="shared" si="113"/>
        <v>182</v>
      </c>
      <c r="AT76" s="90">
        <f t="shared" si="113"/>
        <v>182</v>
      </c>
      <c r="AU76" s="90">
        <f t="shared" si="113"/>
        <v>182</v>
      </c>
      <c r="AV76" s="90">
        <f t="shared" si="113"/>
        <v>182</v>
      </c>
      <c r="AW76" s="90">
        <f t="shared" si="113"/>
        <v>182</v>
      </c>
      <c r="AX76" s="90">
        <f t="shared" si="113"/>
        <v>196</v>
      </c>
      <c r="AY76" s="90">
        <f t="shared" si="113"/>
        <v>196</v>
      </c>
      <c r="AZ76" s="90">
        <f t="shared" si="113"/>
        <v>196</v>
      </c>
      <c r="BA76" s="90">
        <f t="shared" si="113"/>
        <v>196</v>
      </c>
      <c r="BB76" s="90">
        <f t="shared" si="113"/>
        <v>196</v>
      </c>
      <c r="BC76" s="90">
        <f t="shared" si="113"/>
        <v>196</v>
      </c>
      <c r="BD76" s="90">
        <f t="shared" si="113"/>
        <v>196</v>
      </c>
      <c r="BE76" s="90">
        <f t="shared" si="113"/>
        <v>196</v>
      </c>
      <c r="BF76" s="90">
        <f t="shared" si="113"/>
        <v>196</v>
      </c>
      <c r="BG76" s="90">
        <f t="shared" si="113"/>
        <v>196</v>
      </c>
      <c r="BH76" s="90">
        <f t="shared" si="113"/>
        <v>196</v>
      </c>
      <c r="BI76" s="90">
        <f t="shared" si="113"/>
        <v>196</v>
      </c>
      <c r="BJ76" s="90">
        <f t="shared" si="113"/>
        <v>196</v>
      </c>
      <c r="BK76" s="90">
        <f t="shared" si="113"/>
        <v>196</v>
      </c>
      <c r="BL76" s="90">
        <f t="shared" si="113"/>
        <v>196</v>
      </c>
      <c r="BM76" s="90">
        <f t="shared" si="113"/>
        <v>196</v>
      </c>
      <c r="BN76" s="90">
        <f t="shared" si="113"/>
        <v>196</v>
      </c>
      <c r="BO76" s="90">
        <f t="shared" si="113"/>
        <v>196</v>
      </c>
      <c r="BP76" s="90">
        <f t="shared" si="113"/>
        <v>196</v>
      </c>
      <c r="BQ76" s="90">
        <f t="shared" si="113"/>
        <v>196</v>
      </c>
      <c r="BR76" s="90">
        <f t="shared" ref="BR76:CA76" si="114" xml:space="preserve"> BR$58</f>
        <v>196</v>
      </c>
      <c r="BS76" s="90">
        <f t="shared" si="114"/>
        <v>196</v>
      </c>
      <c r="BT76" s="90">
        <f t="shared" si="114"/>
        <v>196</v>
      </c>
      <c r="BU76" s="90">
        <f t="shared" si="114"/>
        <v>196</v>
      </c>
      <c r="BV76" s="90">
        <f t="shared" si="114"/>
        <v>196</v>
      </c>
      <c r="BW76" s="90">
        <f t="shared" si="114"/>
        <v>0</v>
      </c>
      <c r="BX76" s="90">
        <f t="shared" si="114"/>
        <v>0</v>
      </c>
      <c r="BY76" s="90">
        <f t="shared" si="114"/>
        <v>0</v>
      </c>
      <c r="BZ76" s="90">
        <f t="shared" si="114"/>
        <v>0</v>
      </c>
      <c r="CA76" s="90">
        <f t="shared" si="114"/>
        <v>0</v>
      </c>
    </row>
    <row r="77" spans="1:79" x14ac:dyDescent="0.2">
      <c r="E77" s="87" t="s">
        <v>79</v>
      </c>
      <c r="G77" s="87" t="s">
        <v>77</v>
      </c>
      <c r="H77" s="87">
        <f>SUM(J77:CA77)</f>
        <v>9813860</v>
      </c>
      <c r="J77" s="87">
        <f xml:space="preserve"> J75 * J76</f>
        <v>0</v>
      </c>
      <c r="K77" s="87">
        <f t="shared" ref="K77" si="115" xml:space="preserve"> K75 * K76</f>
        <v>0</v>
      </c>
      <c r="L77" s="87">
        <f t="shared" ref="L77" si="116" xml:space="preserve"> L75 * L76</f>
        <v>0</v>
      </c>
      <c r="M77" s="87">
        <f t="shared" ref="M77" si="117" xml:space="preserve"> M75 * M76</f>
        <v>0</v>
      </c>
      <c r="N77" s="87">
        <f t="shared" ref="N77" si="118" xml:space="preserve"> N75 * N76</f>
        <v>0</v>
      </c>
      <c r="O77" s="87">
        <f t="shared" ref="O77" si="119" xml:space="preserve"> O75 * O76</f>
        <v>114660</v>
      </c>
      <c r="P77" s="87">
        <f t="shared" ref="P77" si="120" xml:space="preserve"> P75 * P76</f>
        <v>131040</v>
      </c>
      <c r="Q77" s="87">
        <f t="shared" ref="Q77" si="121" xml:space="preserve"> Q75 * Q76</f>
        <v>131040</v>
      </c>
      <c r="R77" s="87">
        <f t="shared" ref="R77" si="122" xml:space="preserve"> R75 * R76</f>
        <v>160160</v>
      </c>
      <c r="S77" s="87">
        <f t="shared" ref="S77" si="123" xml:space="preserve"> S75 * S76</f>
        <v>160160</v>
      </c>
      <c r="T77" s="87">
        <f t="shared" ref="T77" si="124" xml:space="preserve"> T75 * T76</f>
        <v>160160</v>
      </c>
      <c r="U77" s="87">
        <f t="shared" ref="U77" si="125" xml:space="preserve"> U75 * U76</f>
        <v>160160</v>
      </c>
      <c r="V77" s="87">
        <f t="shared" ref="V77" si="126" xml:space="preserve"> V75 * V76</f>
        <v>160160</v>
      </c>
      <c r="W77" s="87">
        <f t="shared" ref="W77" si="127" xml:space="preserve"> W75 * W76</f>
        <v>160160</v>
      </c>
      <c r="X77" s="87">
        <f t="shared" ref="X77" si="128" xml:space="preserve"> X75 * X76</f>
        <v>160160</v>
      </c>
      <c r="Y77" s="87">
        <f t="shared" ref="Y77" si="129" xml:space="preserve"> Y75 * Y76</f>
        <v>160160</v>
      </c>
      <c r="Z77" s="87">
        <f t="shared" ref="Z77" si="130" xml:space="preserve"> Z75 * Z76</f>
        <v>160160</v>
      </c>
      <c r="AA77" s="87">
        <f t="shared" ref="AA77" si="131" xml:space="preserve"> AA75 * AA76</f>
        <v>160160</v>
      </c>
      <c r="AB77" s="87">
        <f t="shared" ref="AB77" si="132" xml:space="preserve"> AB75 * AB76</f>
        <v>160160</v>
      </c>
      <c r="AC77" s="87">
        <f t="shared" ref="AC77" si="133" xml:space="preserve"> AC75 * AC76</f>
        <v>160160</v>
      </c>
      <c r="AD77" s="87">
        <f t="shared" ref="AD77" si="134" xml:space="preserve"> AD75 * AD76</f>
        <v>160160</v>
      </c>
      <c r="AE77" s="87">
        <f t="shared" ref="AE77" si="135" xml:space="preserve"> AE75 * AE76</f>
        <v>160160</v>
      </c>
      <c r="AF77" s="87">
        <f t="shared" ref="AF77" si="136" xml:space="preserve"> AF75 * AF76</f>
        <v>160160</v>
      </c>
      <c r="AG77" s="87">
        <f t="shared" ref="AG77" si="137" xml:space="preserve"> AG75 * AG76</f>
        <v>160160</v>
      </c>
      <c r="AH77" s="87">
        <f t="shared" ref="AH77" si="138" xml:space="preserve"> AH75 * AH76</f>
        <v>160160</v>
      </c>
      <c r="AI77" s="87">
        <f t="shared" ref="AI77" si="139" xml:space="preserve"> AI75 * AI76</f>
        <v>160160</v>
      </c>
      <c r="AJ77" s="87">
        <f t="shared" ref="AJ77" si="140" xml:space="preserve"> AJ75 * AJ76</f>
        <v>160160</v>
      </c>
      <c r="AK77" s="87">
        <f t="shared" ref="AK77" si="141" xml:space="preserve"> AK75 * AK76</f>
        <v>160160</v>
      </c>
      <c r="AL77" s="87">
        <f t="shared" ref="AL77" si="142" xml:space="preserve"> AL75 * AL76</f>
        <v>160160</v>
      </c>
      <c r="AM77" s="87">
        <f t="shared" ref="AM77" si="143" xml:space="preserve"> AM75 * AM76</f>
        <v>160160</v>
      </c>
      <c r="AN77" s="87">
        <f t="shared" ref="AN77" si="144" xml:space="preserve"> AN75 * AN76</f>
        <v>160160</v>
      </c>
      <c r="AO77" s="87">
        <f t="shared" ref="AO77" si="145" xml:space="preserve"> AO75 * AO76</f>
        <v>160160</v>
      </c>
      <c r="AP77" s="87">
        <f t="shared" ref="AP77" si="146" xml:space="preserve"> AP75 * AP76</f>
        <v>160160</v>
      </c>
      <c r="AQ77" s="87">
        <f t="shared" ref="AQ77" si="147" xml:space="preserve"> AQ75 * AQ76</f>
        <v>160160</v>
      </c>
      <c r="AR77" s="87">
        <f t="shared" ref="AR77" si="148" xml:space="preserve"> AR75 * AR76</f>
        <v>160160</v>
      </c>
      <c r="AS77" s="87">
        <f t="shared" ref="AS77" si="149" xml:space="preserve"> AS75 * AS76</f>
        <v>160160</v>
      </c>
      <c r="AT77" s="87">
        <f t="shared" ref="AT77" si="150" xml:space="preserve"> AT75 * AT76</f>
        <v>160160</v>
      </c>
      <c r="AU77" s="87">
        <f t="shared" ref="AU77" si="151" xml:space="preserve"> AU75 * AU76</f>
        <v>160160</v>
      </c>
      <c r="AV77" s="87">
        <f t="shared" ref="AV77" si="152" xml:space="preserve"> AV75 * AV76</f>
        <v>160160</v>
      </c>
      <c r="AW77" s="87">
        <f t="shared" ref="AW77" si="153" xml:space="preserve"> AW75 * AW76</f>
        <v>160160</v>
      </c>
      <c r="AX77" s="87">
        <f t="shared" ref="AX77" si="154" xml:space="preserve"> AX75 * AX76</f>
        <v>172480</v>
      </c>
      <c r="AY77" s="87">
        <f t="shared" ref="AY77" si="155" xml:space="preserve"> AY75 * AY76</f>
        <v>172480</v>
      </c>
      <c r="AZ77" s="87">
        <f t="shared" ref="AZ77" si="156" xml:space="preserve"> AZ75 * AZ76</f>
        <v>172480</v>
      </c>
      <c r="BA77" s="87">
        <f t="shared" ref="BA77" si="157" xml:space="preserve"> BA75 * BA76</f>
        <v>172480</v>
      </c>
      <c r="BB77" s="87">
        <f t="shared" ref="BB77" si="158" xml:space="preserve"> BB75 * BB76</f>
        <v>172480</v>
      </c>
      <c r="BC77" s="87">
        <f t="shared" ref="BC77" si="159" xml:space="preserve"> BC75 * BC76</f>
        <v>172480</v>
      </c>
      <c r="BD77" s="87">
        <f t="shared" ref="BD77" si="160" xml:space="preserve"> BD75 * BD76</f>
        <v>172480</v>
      </c>
      <c r="BE77" s="87">
        <f t="shared" ref="BE77" si="161" xml:space="preserve"> BE75 * BE76</f>
        <v>172480</v>
      </c>
      <c r="BF77" s="87">
        <f t="shared" ref="BF77" si="162" xml:space="preserve"> BF75 * BF76</f>
        <v>172480</v>
      </c>
      <c r="BG77" s="87">
        <f t="shared" ref="BG77" si="163" xml:space="preserve"> BG75 * BG76</f>
        <v>172480</v>
      </c>
      <c r="BH77" s="87">
        <f t="shared" ref="BH77" si="164" xml:space="preserve"> BH75 * BH76</f>
        <v>172480</v>
      </c>
      <c r="BI77" s="87">
        <f t="shared" ref="BI77" si="165" xml:space="preserve"> BI75 * BI76</f>
        <v>172480</v>
      </c>
      <c r="BJ77" s="87">
        <f t="shared" ref="BJ77" si="166" xml:space="preserve"> BJ75 * BJ76</f>
        <v>172480</v>
      </c>
      <c r="BK77" s="87">
        <f t="shared" ref="BK77" si="167" xml:space="preserve"> BK75 * BK76</f>
        <v>172480</v>
      </c>
      <c r="BL77" s="87">
        <f t="shared" ref="BL77" si="168" xml:space="preserve"> BL75 * BL76</f>
        <v>172480</v>
      </c>
      <c r="BM77" s="87">
        <f t="shared" ref="BM77" si="169" xml:space="preserve"> BM75 * BM76</f>
        <v>172480</v>
      </c>
      <c r="BN77" s="87">
        <f t="shared" ref="BN77" si="170" xml:space="preserve"> BN75 * BN76</f>
        <v>172480</v>
      </c>
      <c r="BO77" s="87">
        <f t="shared" ref="BO77" si="171" xml:space="preserve"> BO75 * BO76</f>
        <v>172480</v>
      </c>
      <c r="BP77" s="87">
        <f t="shared" ref="BP77" si="172" xml:space="preserve"> BP75 * BP76</f>
        <v>172480</v>
      </c>
      <c r="BQ77" s="87">
        <f t="shared" ref="BQ77" si="173" xml:space="preserve"> BQ75 * BQ76</f>
        <v>172480</v>
      </c>
      <c r="BR77" s="87">
        <f t="shared" ref="BR77" si="174" xml:space="preserve"> BR75 * BR76</f>
        <v>172480</v>
      </c>
      <c r="BS77" s="87">
        <f t="shared" ref="BS77" si="175" xml:space="preserve"> BS75 * BS76</f>
        <v>172480</v>
      </c>
      <c r="BT77" s="87">
        <f t="shared" ref="BT77" si="176" xml:space="preserve"> BT75 * BT76</f>
        <v>172480</v>
      </c>
      <c r="BU77" s="87">
        <f t="shared" ref="BU77" si="177" xml:space="preserve"> BU75 * BU76</f>
        <v>172480</v>
      </c>
      <c r="BV77" s="87">
        <f t="shared" ref="BV77" si="178" xml:space="preserve"> BV75 * BV76</f>
        <v>172480</v>
      </c>
      <c r="BW77" s="87">
        <f t="shared" ref="BW77" si="179" xml:space="preserve"> BW75 * BW76</f>
        <v>0</v>
      </c>
      <c r="BX77" s="87">
        <f t="shared" ref="BX77" si="180" xml:space="preserve"> BX75 * BX76</f>
        <v>0</v>
      </c>
      <c r="BY77" s="87">
        <f t="shared" ref="BY77" si="181" xml:space="preserve"> BY75 * BY76</f>
        <v>0</v>
      </c>
      <c r="BZ77" s="87">
        <f t="shared" ref="BZ77" si="182" xml:space="preserve"> BZ75 * BZ76</f>
        <v>0</v>
      </c>
      <c r="CA77" s="87">
        <f t="shared" ref="CA77" si="183" xml:space="preserve"> CA75 * CA76</f>
        <v>0</v>
      </c>
    </row>
    <row r="80" spans="1:79" x14ac:dyDescent="0.2">
      <c r="E80" s="87" t="str">
        <f xml:space="preserve"> E$65</f>
        <v>Passenger traffic - domestic charter</v>
      </c>
      <c r="F80" s="87">
        <f t="shared" ref="F80:BQ80" si="184" xml:space="preserve"> F$65</f>
        <v>0</v>
      </c>
      <c r="G80" s="87" t="str">
        <f t="shared" si="184"/>
        <v>PAx</v>
      </c>
      <c r="H80" s="87">
        <f t="shared" si="184"/>
        <v>3658930</v>
      </c>
      <c r="I80" s="87">
        <f t="shared" si="184"/>
        <v>0</v>
      </c>
      <c r="J80" s="87">
        <f t="shared" si="184"/>
        <v>0</v>
      </c>
      <c r="K80" s="87">
        <f t="shared" si="184"/>
        <v>0</v>
      </c>
      <c r="L80" s="87">
        <f t="shared" si="184"/>
        <v>0</v>
      </c>
      <c r="M80" s="87">
        <f t="shared" si="184"/>
        <v>0</v>
      </c>
      <c r="N80" s="87">
        <f t="shared" si="184"/>
        <v>0</v>
      </c>
      <c r="O80" s="87">
        <f t="shared" si="184"/>
        <v>110110</v>
      </c>
      <c r="P80" s="87">
        <f t="shared" si="184"/>
        <v>110110</v>
      </c>
      <c r="Q80" s="87">
        <f t="shared" si="184"/>
        <v>110110</v>
      </c>
      <c r="R80" s="87">
        <f t="shared" si="184"/>
        <v>84700</v>
      </c>
      <c r="S80" s="87">
        <f t="shared" si="184"/>
        <v>84700</v>
      </c>
      <c r="T80" s="87">
        <f t="shared" si="184"/>
        <v>84700</v>
      </c>
      <c r="U80" s="87">
        <f t="shared" si="184"/>
        <v>84700</v>
      </c>
      <c r="V80" s="87">
        <f t="shared" si="184"/>
        <v>62370</v>
      </c>
      <c r="W80" s="87">
        <f t="shared" si="184"/>
        <v>62370</v>
      </c>
      <c r="X80" s="87">
        <f t="shared" si="184"/>
        <v>62370</v>
      </c>
      <c r="Y80" s="87">
        <f t="shared" si="184"/>
        <v>62370</v>
      </c>
      <c r="Z80" s="87">
        <f t="shared" si="184"/>
        <v>55440</v>
      </c>
      <c r="AA80" s="87">
        <f t="shared" si="184"/>
        <v>55440</v>
      </c>
      <c r="AB80" s="87">
        <f t="shared" si="184"/>
        <v>55440</v>
      </c>
      <c r="AC80" s="87">
        <f t="shared" si="184"/>
        <v>55440</v>
      </c>
      <c r="AD80" s="87">
        <f t="shared" si="184"/>
        <v>62568.000000000007</v>
      </c>
      <c r="AE80" s="87">
        <f t="shared" si="184"/>
        <v>62568.000000000007</v>
      </c>
      <c r="AF80" s="87">
        <f t="shared" si="184"/>
        <v>62568.000000000007</v>
      </c>
      <c r="AG80" s="87">
        <f t="shared" si="184"/>
        <v>62568.000000000007</v>
      </c>
      <c r="AH80" s="87">
        <f t="shared" si="184"/>
        <v>62568.000000000007</v>
      </c>
      <c r="AI80" s="87">
        <f t="shared" si="184"/>
        <v>62568.000000000007</v>
      </c>
      <c r="AJ80" s="87">
        <f t="shared" si="184"/>
        <v>62568.000000000007</v>
      </c>
      <c r="AK80" s="87">
        <f t="shared" si="184"/>
        <v>62568.000000000007</v>
      </c>
      <c r="AL80" s="87">
        <f t="shared" si="184"/>
        <v>62568.000000000007</v>
      </c>
      <c r="AM80" s="87">
        <f t="shared" si="184"/>
        <v>62568.000000000007</v>
      </c>
      <c r="AN80" s="87">
        <f t="shared" si="184"/>
        <v>62568.000000000007</v>
      </c>
      <c r="AO80" s="87">
        <f t="shared" si="184"/>
        <v>62568.000000000007</v>
      </c>
      <c r="AP80" s="87">
        <f t="shared" si="184"/>
        <v>62568.000000000007</v>
      </c>
      <c r="AQ80" s="87">
        <f t="shared" si="184"/>
        <v>62568.000000000007</v>
      </c>
      <c r="AR80" s="87">
        <f t="shared" si="184"/>
        <v>62568.000000000007</v>
      </c>
      <c r="AS80" s="87">
        <f t="shared" si="184"/>
        <v>62568.000000000007</v>
      </c>
      <c r="AT80" s="87">
        <f t="shared" si="184"/>
        <v>62568.000000000007</v>
      </c>
      <c r="AU80" s="87">
        <f t="shared" si="184"/>
        <v>62568.000000000007</v>
      </c>
      <c r="AV80" s="87">
        <f t="shared" si="184"/>
        <v>62568.000000000007</v>
      </c>
      <c r="AW80" s="87">
        <f t="shared" si="184"/>
        <v>62568.000000000007</v>
      </c>
      <c r="AX80" s="87">
        <f t="shared" si="184"/>
        <v>55440</v>
      </c>
      <c r="AY80" s="87">
        <f t="shared" si="184"/>
        <v>55440</v>
      </c>
      <c r="AZ80" s="87">
        <f t="shared" si="184"/>
        <v>55440</v>
      </c>
      <c r="BA80" s="87">
        <f t="shared" si="184"/>
        <v>55440</v>
      </c>
      <c r="BB80" s="87">
        <f t="shared" si="184"/>
        <v>55440</v>
      </c>
      <c r="BC80" s="87">
        <f t="shared" si="184"/>
        <v>55440</v>
      </c>
      <c r="BD80" s="87">
        <f t="shared" si="184"/>
        <v>55440</v>
      </c>
      <c r="BE80" s="87">
        <f t="shared" si="184"/>
        <v>55440</v>
      </c>
      <c r="BF80" s="87">
        <f t="shared" si="184"/>
        <v>51480</v>
      </c>
      <c r="BG80" s="87">
        <f t="shared" si="184"/>
        <v>51480</v>
      </c>
      <c r="BH80" s="87">
        <f t="shared" si="184"/>
        <v>51480</v>
      </c>
      <c r="BI80" s="87">
        <f t="shared" si="184"/>
        <v>51480</v>
      </c>
      <c r="BJ80" s="87">
        <f t="shared" si="184"/>
        <v>47520</v>
      </c>
      <c r="BK80" s="87">
        <f t="shared" si="184"/>
        <v>47520</v>
      </c>
      <c r="BL80" s="87">
        <f t="shared" si="184"/>
        <v>47520</v>
      </c>
      <c r="BM80" s="87">
        <f t="shared" si="184"/>
        <v>47520</v>
      </c>
      <c r="BN80" s="87">
        <f t="shared" si="184"/>
        <v>47520</v>
      </c>
      <c r="BO80" s="87">
        <f t="shared" si="184"/>
        <v>47520</v>
      </c>
      <c r="BP80" s="87">
        <f t="shared" si="184"/>
        <v>47520</v>
      </c>
      <c r="BQ80" s="87">
        <f t="shared" si="184"/>
        <v>47520</v>
      </c>
      <c r="BR80" s="87">
        <f t="shared" ref="BR80:CA80" si="185" xml:space="preserve"> BR$65</f>
        <v>47520</v>
      </c>
      <c r="BS80" s="87">
        <f t="shared" si="185"/>
        <v>47520</v>
      </c>
      <c r="BT80" s="87">
        <f t="shared" si="185"/>
        <v>47520</v>
      </c>
      <c r="BU80" s="87">
        <f t="shared" si="185"/>
        <v>47520</v>
      </c>
      <c r="BV80" s="87">
        <f t="shared" si="185"/>
        <v>47520</v>
      </c>
      <c r="BW80" s="87">
        <f t="shared" si="185"/>
        <v>0</v>
      </c>
      <c r="BX80" s="87">
        <f t="shared" si="185"/>
        <v>0</v>
      </c>
      <c r="BY80" s="87">
        <f t="shared" si="185"/>
        <v>0</v>
      </c>
      <c r="BZ80" s="87">
        <f t="shared" si="185"/>
        <v>0</v>
      </c>
      <c r="CA80" s="87">
        <f t="shared" si="185"/>
        <v>0</v>
      </c>
    </row>
    <row r="81" spans="1:79" x14ac:dyDescent="0.2">
      <c r="E81" s="87" t="str">
        <f xml:space="preserve"> E$69</f>
        <v>Passenger traffic - domestic scheduled</v>
      </c>
      <c r="F81" s="87">
        <f t="shared" ref="F81:BQ81" si="186" xml:space="preserve"> F$69</f>
        <v>0</v>
      </c>
      <c r="G81" s="87" t="str">
        <f t="shared" si="186"/>
        <v>PAx</v>
      </c>
      <c r="H81" s="87">
        <f t="shared" si="186"/>
        <v>30852640</v>
      </c>
      <c r="I81" s="87">
        <f t="shared" si="186"/>
        <v>0</v>
      </c>
      <c r="J81" s="87">
        <f t="shared" si="186"/>
        <v>0</v>
      </c>
      <c r="K81" s="87">
        <f t="shared" si="186"/>
        <v>0</v>
      </c>
      <c r="L81" s="87">
        <f t="shared" si="186"/>
        <v>0</v>
      </c>
      <c r="M81" s="87">
        <f t="shared" si="186"/>
        <v>0</v>
      </c>
      <c r="N81" s="87">
        <f t="shared" si="186"/>
        <v>0</v>
      </c>
      <c r="O81" s="87">
        <f t="shared" si="186"/>
        <v>635040</v>
      </c>
      <c r="P81" s="87">
        <f t="shared" si="186"/>
        <v>588000</v>
      </c>
      <c r="Q81" s="87">
        <f t="shared" si="186"/>
        <v>635040</v>
      </c>
      <c r="R81" s="87">
        <f t="shared" si="186"/>
        <v>490000</v>
      </c>
      <c r="S81" s="87">
        <f t="shared" si="186"/>
        <v>529200</v>
      </c>
      <c r="T81" s="87">
        <f t="shared" si="186"/>
        <v>462000</v>
      </c>
      <c r="U81" s="87">
        <f t="shared" si="186"/>
        <v>498960.00000000006</v>
      </c>
      <c r="V81" s="87">
        <f t="shared" si="186"/>
        <v>462000</v>
      </c>
      <c r="W81" s="87">
        <f t="shared" si="186"/>
        <v>498960.00000000006</v>
      </c>
      <c r="X81" s="87">
        <f t="shared" si="186"/>
        <v>462000</v>
      </c>
      <c r="Y81" s="87">
        <f t="shared" si="186"/>
        <v>498960.00000000006</v>
      </c>
      <c r="Z81" s="87">
        <f t="shared" si="186"/>
        <v>462000</v>
      </c>
      <c r="AA81" s="87">
        <f t="shared" si="186"/>
        <v>498960.00000000006</v>
      </c>
      <c r="AB81" s="87">
        <f t="shared" si="186"/>
        <v>462000</v>
      </c>
      <c r="AC81" s="87">
        <f t="shared" si="186"/>
        <v>498960.00000000006</v>
      </c>
      <c r="AD81" s="87">
        <f t="shared" si="186"/>
        <v>476000</v>
      </c>
      <c r="AE81" s="87">
        <f t="shared" si="186"/>
        <v>514080</v>
      </c>
      <c r="AF81" s="87">
        <f t="shared" si="186"/>
        <v>476000</v>
      </c>
      <c r="AG81" s="87">
        <f t="shared" si="186"/>
        <v>514080</v>
      </c>
      <c r="AH81" s="87">
        <f t="shared" si="186"/>
        <v>476000</v>
      </c>
      <c r="AI81" s="87">
        <f t="shared" si="186"/>
        <v>514080</v>
      </c>
      <c r="AJ81" s="87">
        <f t="shared" si="186"/>
        <v>476000</v>
      </c>
      <c r="AK81" s="87">
        <f t="shared" si="186"/>
        <v>514080</v>
      </c>
      <c r="AL81" s="87">
        <f t="shared" si="186"/>
        <v>476000</v>
      </c>
      <c r="AM81" s="87">
        <f t="shared" si="186"/>
        <v>514080</v>
      </c>
      <c r="AN81" s="87">
        <f t="shared" si="186"/>
        <v>490000</v>
      </c>
      <c r="AO81" s="87">
        <f t="shared" si="186"/>
        <v>529200</v>
      </c>
      <c r="AP81" s="87">
        <f t="shared" si="186"/>
        <v>490000</v>
      </c>
      <c r="AQ81" s="87">
        <f t="shared" si="186"/>
        <v>529200</v>
      </c>
      <c r="AR81" s="87">
        <f t="shared" si="186"/>
        <v>490000</v>
      </c>
      <c r="AS81" s="87">
        <f t="shared" si="186"/>
        <v>529200</v>
      </c>
      <c r="AT81" s="87">
        <f t="shared" si="186"/>
        <v>490000</v>
      </c>
      <c r="AU81" s="87">
        <f t="shared" si="186"/>
        <v>529200</v>
      </c>
      <c r="AV81" s="87">
        <f t="shared" si="186"/>
        <v>490000</v>
      </c>
      <c r="AW81" s="87">
        <f t="shared" si="186"/>
        <v>529200</v>
      </c>
      <c r="AX81" s="87">
        <f t="shared" si="186"/>
        <v>504000</v>
      </c>
      <c r="AY81" s="87">
        <f t="shared" si="186"/>
        <v>544320</v>
      </c>
      <c r="AZ81" s="87">
        <f t="shared" si="186"/>
        <v>504000</v>
      </c>
      <c r="BA81" s="87">
        <f t="shared" si="186"/>
        <v>544320</v>
      </c>
      <c r="BB81" s="87">
        <f t="shared" si="186"/>
        <v>504000</v>
      </c>
      <c r="BC81" s="87">
        <f t="shared" si="186"/>
        <v>544320</v>
      </c>
      <c r="BD81" s="87">
        <f t="shared" si="186"/>
        <v>504000</v>
      </c>
      <c r="BE81" s="87">
        <f t="shared" si="186"/>
        <v>544320</v>
      </c>
      <c r="BF81" s="87">
        <f t="shared" si="186"/>
        <v>504000</v>
      </c>
      <c r="BG81" s="87">
        <f t="shared" si="186"/>
        <v>544320</v>
      </c>
      <c r="BH81" s="87">
        <f t="shared" si="186"/>
        <v>504000</v>
      </c>
      <c r="BI81" s="87">
        <f t="shared" si="186"/>
        <v>504000</v>
      </c>
      <c r="BJ81" s="87">
        <f t="shared" si="186"/>
        <v>544320</v>
      </c>
      <c r="BK81" s="87">
        <f t="shared" si="186"/>
        <v>504000</v>
      </c>
      <c r="BL81" s="87">
        <f t="shared" si="186"/>
        <v>544320</v>
      </c>
      <c r="BM81" s="87">
        <f t="shared" si="186"/>
        <v>504000</v>
      </c>
      <c r="BN81" s="87">
        <f t="shared" si="186"/>
        <v>544320</v>
      </c>
      <c r="BO81" s="87">
        <f t="shared" si="186"/>
        <v>504000</v>
      </c>
      <c r="BP81" s="87">
        <f t="shared" si="186"/>
        <v>544320</v>
      </c>
      <c r="BQ81" s="87">
        <f t="shared" si="186"/>
        <v>504000</v>
      </c>
      <c r="BR81" s="87">
        <f t="shared" ref="BR81:CA81" si="187" xml:space="preserve"> BR$69</f>
        <v>504000</v>
      </c>
      <c r="BS81" s="87">
        <f t="shared" si="187"/>
        <v>544320</v>
      </c>
      <c r="BT81" s="87">
        <f t="shared" si="187"/>
        <v>544320</v>
      </c>
      <c r="BU81" s="87">
        <f t="shared" si="187"/>
        <v>544320</v>
      </c>
      <c r="BV81" s="87">
        <f t="shared" si="187"/>
        <v>544320</v>
      </c>
      <c r="BW81" s="87">
        <f t="shared" si="187"/>
        <v>0</v>
      </c>
      <c r="BX81" s="87">
        <f t="shared" si="187"/>
        <v>0</v>
      </c>
      <c r="BY81" s="87">
        <f t="shared" si="187"/>
        <v>0</v>
      </c>
      <c r="BZ81" s="87">
        <f t="shared" si="187"/>
        <v>0</v>
      </c>
      <c r="CA81" s="87">
        <f t="shared" si="187"/>
        <v>0</v>
      </c>
    </row>
    <row r="82" spans="1:79" x14ac:dyDescent="0.2">
      <c r="E82" s="87" t="str">
        <f xml:space="preserve"> E$73</f>
        <v>Passenger traffic - international charter</v>
      </c>
      <c r="F82" s="87">
        <f t="shared" ref="F82:BQ82" si="188" xml:space="preserve"> F$73</f>
        <v>0</v>
      </c>
      <c r="G82" s="87" t="str">
        <f t="shared" si="188"/>
        <v>PAx</v>
      </c>
      <c r="H82" s="87">
        <f t="shared" si="188"/>
        <v>19053750</v>
      </c>
      <c r="I82" s="87">
        <f t="shared" si="188"/>
        <v>0</v>
      </c>
      <c r="J82" s="87">
        <f t="shared" si="188"/>
        <v>0</v>
      </c>
      <c r="K82" s="87">
        <f t="shared" si="188"/>
        <v>0</v>
      </c>
      <c r="L82" s="87">
        <f t="shared" si="188"/>
        <v>0</v>
      </c>
      <c r="M82" s="87">
        <f t="shared" si="188"/>
        <v>0</v>
      </c>
      <c r="N82" s="87">
        <f t="shared" si="188"/>
        <v>0</v>
      </c>
      <c r="O82" s="87">
        <f t="shared" si="188"/>
        <v>202500</v>
      </c>
      <c r="P82" s="87">
        <f t="shared" si="188"/>
        <v>243750</v>
      </c>
      <c r="Q82" s="87">
        <f t="shared" si="188"/>
        <v>225000</v>
      </c>
      <c r="R82" s="87">
        <f t="shared" si="188"/>
        <v>268125</v>
      </c>
      <c r="S82" s="87">
        <f t="shared" si="188"/>
        <v>247500</v>
      </c>
      <c r="T82" s="87">
        <f t="shared" si="188"/>
        <v>292500</v>
      </c>
      <c r="U82" s="87">
        <f t="shared" si="188"/>
        <v>270000</v>
      </c>
      <c r="V82" s="87">
        <f t="shared" si="188"/>
        <v>316875</v>
      </c>
      <c r="W82" s="87">
        <f t="shared" si="188"/>
        <v>292500</v>
      </c>
      <c r="X82" s="87">
        <f t="shared" si="188"/>
        <v>341250</v>
      </c>
      <c r="Y82" s="87">
        <f t="shared" si="188"/>
        <v>315000</v>
      </c>
      <c r="Z82" s="87">
        <f t="shared" si="188"/>
        <v>341250</v>
      </c>
      <c r="AA82" s="87">
        <f t="shared" si="188"/>
        <v>315000</v>
      </c>
      <c r="AB82" s="87">
        <f t="shared" si="188"/>
        <v>341250</v>
      </c>
      <c r="AC82" s="87">
        <f t="shared" si="188"/>
        <v>315000</v>
      </c>
      <c r="AD82" s="87">
        <f t="shared" si="188"/>
        <v>341250</v>
      </c>
      <c r="AE82" s="87">
        <f t="shared" si="188"/>
        <v>315000</v>
      </c>
      <c r="AF82" s="87">
        <f t="shared" si="188"/>
        <v>341250</v>
      </c>
      <c r="AG82" s="87">
        <f t="shared" si="188"/>
        <v>315000</v>
      </c>
      <c r="AH82" s="87">
        <f t="shared" si="188"/>
        <v>341250</v>
      </c>
      <c r="AI82" s="87">
        <f t="shared" si="188"/>
        <v>315000</v>
      </c>
      <c r="AJ82" s="87">
        <f t="shared" si="188"/>
        <v>341250</v>
      </c>
      <c r="AK82" s="87">
        <f t="shared" si="188"/>
        <v>315000</v>
      </c>
      <c r="AL82" s="87">
        <f t="shared" si="188"/>
        <v>341250</v>
      </c>
      <c r="AM82" s="87">
        <f t="shared" si="188"/>
        <v>315000</v>
      </c>
      <c r="AN82" s="87">
        <f t="shared" si="188"/>
        <v>341250</v>
      </c>
      <c r="AO82" s="87">
        <f t="shared" si="188"/>
        <v>315000</v>
      </c>
      <c r="AP82" s="87">
        <f t="shared" si="188"/>
        <v>341250</v>
      </c>
      <c r="AQ82" s="87">
        <f t="shared" si="188"/>
        <v>315000</v>
      </c>
      <c r="AR82" s="87">
        <f t="shared" si="188"/>
        <v>341250</v>
      </c>
      <c r="AS82" s="87">
        <f t="shared" si="188"/>
        <v>315000</v>
      </c>
      <c r="AT82" s="87">
        <f t="shared" si="188"/>
        <v>341250</v>
      </c>
      <c r="AU82" s="87">
        <f t="shared" si="188"/>
        <v>315000</v>
      </c>
      <c r="AV82" s="87">
        <f t="shared" si="188"/>
        <v>341250</v>
      </c>
      <c r="AW82" s="87">
        <f t="shared" si="188"/>
        <v>315000</v>
      </c>
      <c r="AX82" s="87">
        <f t="shared" si="188"/>
        <v>341250</v>
      </c>
      <c r="AY82" s="87">
        <f t="shared" si="188"/>
        <v>315000</v>
      </c>
      <c r="AZ82" s="87">
        <f t="shared" si="188"/>
        <v>341250</v>
      </c>
      <c r="BA82" s="87">
        <f t="shared" si="188"/>
        <v>315000</v>
      </c>
      <c r="BB82" s="87">
        <f t="shared" si="188"/>
        <v>341250</v>
      </c>
      <c r="BC82" s="87">
        <f t="shared" si="188"/>
        <v>315000</v>
      </c>
      <c r="BD82" s="87">
        <f t="shared" si="188"/>
        <v>341250</v>
      </c>
      <c r="BE82" s="87">
        <f t="shared" si="188"/>
        <v>315000</v>
      </c>
      <c r="BF82" s="87">
        <f t="shared" si="188"/>
        <v>341250</v>
      </c>
      <c r="BG82" s="87">
        <f t="shared" si="188"/>
        <v>315000</v>
      </c>
      <c r="BH82" s="87">
        <f t="shared" si="188"/>
        <v>341250</v>
      </c>
      <c r="BI82" s="87">
        <f t="shared" si="188"/>
        <v>315000</v>
      </c>
      <c r="BJ82" s="87">
        <f t="shared" si="188"/>
        <v>341250</v>
      </c>
      <c r="BK82" s="87">
        <f t="shared" si="188"/>
        <v>315000</v>
      </c>
      <c r="BL82" s="87">
        <f t="shared" si="188"/>
        <v>341250</v>
      </c>
      <c r="BM82" s="87">
        <f t="shared" si="188"/>
        <v>315000</v>
      </c>
      <c r="BN82" s="87">
        <f t="shared" si="188"/>
        <v>341250</v>
      </c>
      <c r="BO82" s="87">
        <f t="shared" si="188"/>
        <v>315000</v>
      </c>
      <c r="BP82" s="87">
        <f t="shared" si="188"/>
        <v>341250</v>
      </c>
      <c r="BQ82" s="87">
        <f t="shared" si="188"/>
        <v>315000</v>
      </c>
      <c r="BR82" s="87">
        <f t="shared" ref="BR82:CA82" si="189" xml:space="preserve"> BR$73</f>
        <v>341250</v>
      </c>
      <c r="BS82" s="87">
        <f t="shared" si="189"/>
        <v>315000</v>
      </c>
      <c r="BT82" s="87">
        <f t="shared" si="189"/>
        <v>315000</v>
      </c>
      <c r="BU82" s="87">
        <f t="shared" si="189"/>
        <v>315000</v>
      </c>
      <c r="BV82" s="87">
        <f t="shared" si="189"/>
        <v>315000</v>
      </c>
      <c r="BW82" s="87">
        <f t="shared" si="189"/>
        <v>0</v>
      </c>
      <c r="BX82" s="87">
        <f t="shared" si="189"/>
        <v>0</v>
      </c>
      <c r="BY82" s="87">
        <f t="shared" si="189"/>
        <v>0</v>
      </c>
      <c r="BZ82" s="87">
        <f t="shared" si="189"/>
        <v>0</v>
      </c>
      <c r="CA82" s="87">
        <f t="shared" si="189"/>
        <v>0</v>
      </c>
    </row>
    <row r="83" spans="1:79" x14ac:dyDescent="0.2">
      <c r="E83" s="87" t="str">
        <f xml:space="preserve"> E$77</f>
        <v>Passenger traffic - international scheduled</v>
      </c>
      <c r="F83" s="87">
        <f t="shared" ref="F83:BQ83" si="190" xml:space="preserve"> F$77</f>
        <v>0</v>
      </c>
      <c r="G83" s="87" t="str">
        <f t="shared" si="190"/>
        <v>PAx</v>
      </c>
      <c r="H83" s="87">
        <f t="shared" si="190"/>
        <v>9813860</v>
      </c>
      <c r="I83" s="87">
        <f t="shared" si="190"/>
        <v>0</v>
      </c>
      <c r="J83" s="87">
        <f t="shared" si="190"/>
        <v>0</v>
      </c>
      <c r="K83" s="87">
        <f t="shared" si="190"/>
        <v>0</v>
      </c>
      <c r="L83" s="87">
        <f t="shared" si="190"/>
        <v>0</v>
      </c>
      <c r="M83" s="87">
        <f t="shared" si="190"/>
        <v>0</v>
      </c>
      <c r="N83" s="87">
        <f t="shared" si="190"/>
        <v>0</v>
      </c>
      <c r="O83" s="87">
        <f t="shared" si="190"/>
        <v>114660</v>
      </c>
      <c r="P83" s="87">
        <f t="shared" si="190"/>
        <v>131040</v>
      </c>
      <c r="Q83" s="87">
        <f t="shared" si="190"/>
        <v>131040</v>
      </c>
      <c r="R83" s="87">
        <f t="shared" si="190"/>
        <v>160160</v>
      </c>
      <c r="S83" s="87">
        <f t="shared" si="190"/>
        <v>160160</v>
      </c>
      <c r="T83" s="87">
        <f t="shared" si="190"/>
        <v>160160</v>
      </c>
      <c r="U83" s="87">
        <f t="shared" si="190"/>
        <v>160160</v>
      </c>
      <c r="V83" s="87">
        <f t="shared" si="190"/>
        <v>160160</v>
      </c>
      <c r="W83" s="87">
        <f t="shared" si="190"/>
        <v>160160</v>
      </c>
      <c r="X83" s="87">
        <f t="shared" si="190"/>
        <v>160160</v>
      </c>
      <c r="Y83" s="87">
        <f t="shared" si="190"/>
        <v>160160</v>
      </c>
      <c r="Z83" s="87">
        <f t="shared" si="190"/>
        <v>160160</v>
      </c>
      <c r="AA83" s="87">
        <f t="shared" si="190"/>
        <v>160160</v>
      </c>
      <c r="AB83" s="87">
        <f t="shared" si="190"/>
        <v>160160</v>
      </c>
      <c r="AC83" s="87">
        <f t="shared" si="190"/>
        <v>160160</v>
      </c>
      <c r="AD83" s="87">
        <f t="shared" si="190"/>
        <v>160160</v>
      </c>
      <c r="AE83" s="87">
        <f t="shared" si="190"/>
        <v>160160</v>
      </c>
      <c r="AF83" s="87">
        <f t="shared" si="190"/>
        <v>160160</v>
      </c>
      <c r="AG83" s="87">
        <f t="shared" si="190"/>
        <v>160160</v>
      </c>
      <c r="AH83" s="87">
        <f t="shared" si="190"/>
        <v>160160</v>
      </c>
      <c r="AI83" s="87">
        <f t="shared" si="190"/>
        <v>160160</v>
      </c>
      <c r="AJ83" s="87">
        <f t="shared" si="190"/>
        <v>160160</v>
      </c>
      <c r="AK83" s="87">
        <f t="shared" si="190"/>
        <v>160160</v>
      </c>
      <c r="AL83" s="87">
        <f t="shared" si="190"/>
        <v>160160</v>
      </c>
      <c r="AM83" s="87">
        <f t="shared" si="190"/>
        <v>160160</v>
      </c>
      <c r="AN83" s="87">
        <f t="shared" si="190"/>
        <v>160160</v>
      </c>
      <c r="AO83" s="87">
        <f t="shared" si="190"/>
        <v>160160</v>
      </c>
      <c r="AP83" s="87">
        <f t="shared" si="190"/>
        <v>160160</v>
      </c>
      <c r="AQ83" s="87">
        <f t="shared" si="190"/>
        <v>160160</v>
      </c>
      <c r="AR83" s="87">
        <f t="shared" si="190"/>
        <v>160160</v>
      </c>
      <c r="AS83" s="87">
        <f t="shared" si="190"/>
        <v>160160</v>
      </c>
      <c r="AT83" s="87">
        <f t="shared" si="190"/>
        <v>160160</v>
      </c>
      <c r="AU83" s="87">
        <f t="shared" si="190"/>
        <v>160160</v>
      </c>
      <c r="AV83" s="87">
        <f t="shared" si="190"/>
        <v>160160</v>
      </c>
      <c r="AW83" s="87">
        <f t="shared" si="190"/>
        <v>160160</v>
      </c>
      <c r="AX83" s="87">
        <f t="shared" si="190"/>
        <v>172480</v>
      </c>
      <c r="AY83" s="87">
        <f t="shared" si="190"/>
        <v>172480</v>
      </c>
      <c r="AZ83" s="87">
        <f t="shared" si="190"/>
        <v>172480</v>
      </c>
      <c r="BA83" s="87">
        <f t="shared" si="190"/>
        <v>172480</v>
      </c>
      <c r="BB83" s="87">
        <f t="shared" si="190"/>
        <v>172480</v>
      </c>
      <c r="BC83" s="87">
        <f t="shared" si="190"/>
        <v>172480</v>
      </c>
      <c r="BD83" s="87">
        <f t="shared" si="190"/>
        <v>172480</v>
      </c>
      <c r="BE83" s="87">
        <f t="shared" si="190"/>
        <v>172480</v>
      </c>
      <c r="BF83" s="87">
        <f t="shared" si="190"/>
        <v>172480</v>
      </c>
      <c r="BG83" s="87">
        <f t="shared" si="190"/>
        <v>172480</v>
      </c>
      <c r="BH83" s="87">
        <f t="shared" si="190"/>
        <v>172480</v>
      </c>
      <c r="BI83" s="87">
        <f t="shared" si="190"/>
        <v>172480</v>
      </c>
      <c r="BJ83" s="87">
        <f t="shared" si="190"/>
        <v>172480</v>
      </c>
      <c r="BK83" s="87">
        <f t="shared" si="190"/>
        <v>172480</v>
      </c>
      <c r="BL83" s="87">
        <f t="shared" si="190"/>
        <v>172480</v>
      </c>
      <c r="BM83" s="87">
        <f t="shared" si="190"/>
        <v>172480</v>
      </c>
      <c r="BN83" s="87">
        <f t="shared" si="190"/>
        <v>172480</v>
      </c>
      <c r="BO83" s="87">
        <f t="shared" si="190"/>
        <v>172480</v>
      </c>
      <c r="BP83" s="87">
        <f t="shared" si="190"/>
        <v>172480</v>
      </c>
      <c r="BQ83" s="87">
        <f t="shared" si="190"/>
        <v>172480</v>
      </c>
      <c r="BR83" s="87">
        <f t="shared" ref="BR83:CA83" si="191" xml:space="preserve"> BR$77</f>
        <v>172480</v>
      </c>
      <c r="BS83" s="87">
        <f t="shared" si="191"/>
        <v>172480</v>
      </c>
      <c r="BT83" s="87">
        <f t="shared" si="191"/>
        <v>172480</v>
      </c>
      <c r="BU83" s="87">
        <f t="shared" si="191"/>
        <v>172480</v>
      </c>
      <c r="BV83" s="87">
        <f t="shared" si="191"/>
        <v>172480</v>
      </c>
      <c r="BW83" s="87">
        <f t="shared" si="191"/>
        <v>0</v>
      </c>
      <c r="BX83" s="87">
        <f t="shared" si="191"/>
        <v>0</v>
      </c>
      <c r="BY83" s="87">
        <f t="shared" si="191"/>
        <v>0</v>
      </c>
      <c r="BZ83" s="87">
        <f t="shared" si="191"/>
        <v>0</v>
      </c>
      <c r="CA83" s="87">
        <f t="shared" si="191"/>
        <v>0</v>
      </c>
    </row>
    <row r="84" spans="1:79" x14ac:dyDescent="0.2">
      <c r="E84" s="87" t="s">
        <v>80</v>
      </c>
      <c r="G84" s="87" t="s">
        <v>77</v>
      </c>
      <c r="H84" s="87">
        <f>SUM(J84:CA84)</f>
        <v>63379180</v>
      </c>
      <c r="J84" s="87">
        <f>SUM(J80:J83)</f>
        <v>0</v>
      </c>
      <c r="K84" s="87">
        <f t="shared" ref="K84:BV84" si="192">SUM(K80:K83)</f>
        <v>0</v>
      </c>
      <c r="L84" s="87">
        <f t="shared" si="192"/>
        <v>0</v>
      </c>
      <c r="M84" s="87">
        <f t="shared" si="192"/>
        <v>0</v>
      </c>
      <c r="N84" s="87">
        <f t="shared" si="192"/>
        <v>0</v>
      </c>
      <c r="O84" s="87">
        <f t="shared" si="192"/>
        <v>1062310</v>
      </c>
      <c r="P84" s="87">
        <f t="shared" si="192"/>
        <v>1072900</v>
      </c>
      <c r="Q84" s="87">
        <f t="shared" si="192"/>
        <v>1101190</v>
      </c>
      <c r="R84" s="87">
        <f t="shared" si="192"/>
        <v>1002985</v>
      </c>
      <c r="S84" s="87">
        <f t="shared" si="192"/>
        <v>1021560</v>
      </c>
      <c r="T84" s="87">
        <f t="shared" si="192"/>
        <v>999360</v>
      </c>
      <c r="U84" s="87">
        <f t="shared" si="192"/>
        <v>1013820</v>
      </c>
      <c r="V84" s="87">
        <f t="shared" si="192"/>
        <v>1001405</v>
      </c>
      <c r="W84" s="87">
        <f t="shared" si="192"/>
        <v>1013990</v>
      </c>
      <c r="X84" s="87">
        <f t="shared" si="192"/>
        <v>1025780</v>
      </c>
      <c r="Y84" s="87">
        <f t="shared" si="192"/>
        <v>1036490</v>
      </c>
      <c r="Z84" s="87">
        <f t="shared" si="192"/>
        <v>1018850</v>
      </c>
      <c r="AA84" s="87">
        <f t="shared" si="192"/>
        <v>1029560</v>
      </c>
      <c r="AB84" s="87">
        <f t="shared" si="192"/>
        <v>1018850</v>
      </c>
      <c r="AC84" s="87">
        <f t="shared" si="192"/>
        <v>1029560</v>
      </c>
      <c r="AD84" s="87">
        <f t="shared" si="192"/>
        <v>1039978</v>
      </c>
      <c r="AE84" s="87">
        <f t="shared" si="192"/>
        <v>1051808</v>
      </c>
      <c r="AF84" s="87">
        <f t="shared" si="192"/>
        <v>1039978</v>
      </c>
      <c r="AG84" s="87">
        <f t="shared" si="192"/>
        <v>1051808</v>
      </c>
      <c r="AH84" s="87">
        <f t="shared" si="192"/>
        <v>1039978</v>
      </c>
      <c r="AI84" s="87">
        <f t="shared" si="192"/>
        <v>1051808</v>
      </c>
      <c r="AJ84" s="87">
        <f t="shared" si="192"/>
        <v>1039978</v>
      </c>
      <c r="AK84" s="87">
        <f t="shared" si="192"/>
        <v>1051808</v>
      </c>
      <c r="AL84" s="87">
        <f t="shared" si="192"/>
        <v>1039978</v>
      </c>
      <c r="AM84" s="87">
        <f t="shared" si="192"/>
        <v>1051808</v>
      </c>
      <c r="AN84" s="87">
        <f t="shared" si="192"/>
        <v>1053978</v>
      </c>
      <c r="AO84" s="87">
        <f t="shared" si="192"/>
        <v>1066928</v>
      </c>
      <c r="AP84" s="87">
        <f t="shared" si="192"/>
        <v>1053978</v>
      </c>
      <c r="AQ84" s="87">
        <f t="shared" si="192"/>
        <v>1066928</v>
      </c>
      <c r="AR84" s="87">
        <f t="shared" si="192"/>
        <v>1053978</v>
      </c>
      <c r="AS84" s="87">
        <f t="shared" si="192"/>
        <v>1066928</v>
      </c>
      <c r="AT84" s="87">
        <f t="shared" si="192"/>
        <v>1053978</v>
      </c>
      <c r="AU84" s="87">
        <f t="shared" si="192"/>
        <v>1066928</v>
      </c>
      <c r="AV84" s="87">
        <f t="shared" si="192"/>
        <v>1053978</v>
      </c>
      <c r="AW84" s="87">
        <f t="shared" si="192"/>
        <v>1066928</v>
      </c>
      <c r="AX84" s="87">
        <f t="shared" si="192"/>
        <v>1073170</v>
      </c>
      <c r="AY84" s="87">
        <f t="shared" si="192"/>
        <v>1087240</v>
      </c>
      <c r="AZ84" s="87">
        <f t="shared" si="192"/>
        <v>1073170</v>
      </c>
      <c r="BA84" s="87">
        <f t="shared" si="192"/>
        <v>1087240</v>
      </c>
      <c r="BB84" s="87">
        <f t="shared" si="192"/>
        <v>1073170</v>
      </c>
      <c r="BC84" s="87">
        <f t="shared" si="192"/>
        <v>1087240</v>
      </c>
      <c r="BD84" s="87">
        <f t="shared" si="192"/>
        <v>1073170</v>
      </c>
      <c r="BE84" s="87">
        <f t="shared" si="192"/>
        <v>1087240</v>
      </c>
      <c r="BF84" s="87">
        <f t="shared" si="192"/>
        <v>1069210</v>
      </c>
      <c r="BG84" s="87">
        <f t="shared" si="192"/>
        <v>1083280</v>
      </c>
      <c r="BH84" s="87">
        <f t="shared" si="192"/>
        <v>1069210</v>
      </c>
      <c r="BI84" s="87">
        <f t="shared" si="192"/>
        <v>1042960</v>
      </c>
      <c r="BJ84" s="87">
        <f t="shared" si="192"/>
        <v>1105570</v>
      </c>
      <c r="BK84" s="87">
        <f t="shared" si="192"/>
        <v>1039000</v>
      </c>
      <c r="BL84" s="87">
        <f t="shared" si="192"/>
        <v>1105570</v>
      </c>
      <c r="BM84" s="87">
        <f t="shared" si="192"/>
        <v>1039000</v>
      </c>
      <c r="BN84" s="87">
        <f t="shared" si="192"/>
        <v>1105570</v>
      </c>
      <c r="BO84" s="87">
        <f t="shared" si="192"/>
        <v>1039000</v>
      </c>
      <c r="BP84" s="87">
        <f t="shared" si="192"/>
        <v>1105570</v>
      </c>
      <c r="BQ84" s="87">
        <f t="shared" si="192"/>
        <v>1039000</v>
      </c>
      <c r="BR84" s="87">
        <f t="shared" si="192"/>
        <v>1065250</v>
      </c>
      <c r="BS84" s="87">
        <f t="shared" si="192"/>
        <v>1079320</v>
      </c>
      <c r="BT84" s="87">
        <f t="shared" si="192"/>
        <v>1079320</v>
      </c>
      <c r="BU84" s="87">
        <f t="shared" si="192"/>
        <v>1079320</v>
      </c>
      <c r="BV84" s="87">
        <f t="shared" si="192"/>
        <v>1079320</v>
      </c>
      <c r="BW84" s="87">
        <f t="shared" ref="BW84:CA84" si="193">SUM(BW80:BW83)</f>
        <v>0</v>
      </c>
      <c r="BX84" s="87">
        <f t="shared" si="193"/>
        <v>0</v>
      </c>
      <c r="BY84" s="87">
        <f t="shared" si="193"/>
        <v>0</v>
      </c>
      <c r="BZ84" s="87">
        <f t="shared" si="193"/>
        <v>0</v>
      </c>
      <c r="CA84" s="87">
        <f t="shared" si="193"/>
        <v>0</v>
      </c>
    </row>
    <row r="87" spans="1:79" x14ac:dyDescent="0.2">
      <c r="B87" s="82" t="s">
        <v>81</v>
      </c>
    </row>
    <row r="89" spans="1:79" s="203" customFormat="1" x14ac:dyDescent="0.2">
      <c r="A89" s="199"/>
      <c r="B89" s="200"/>
      <c r="C89" s="201"/>
      <c r="D89" s="202"/>
      <c r="E89" s="203" t="str">
        <f>InpC!E$28</f>
        <v>Passenger landing tax rate</v>
      </c>
      <c r="F89" s="203">
        <f>InpC!F$28</f>
        <v>22.75</v>
      </c>
      <c r="G89" s="203" t="str">
        <f>InpC!G$28</f>
        <v>€ / PAx</v>
      </c>
    </row>
    <row r="90" spans="1:79" s="207" customFormat="1" x14ac:dyDescent="0.2">
      <c r="A90" s="204"/>
      <c r="B90" s="204"/>
      <c r="C90" s="205"/>
      <c r="D90" s="206"/>
      <c r="E90" s="207" t="str">
        <f>'T&amp;E'!E$49</f>
        <v>CPI esc factor</v>
      </c>
      <c r="F90" s="207">
        <f>'T&amp;E'!F$49</f>
        <v>0</v>
      </c>
      <c r="G90" s="207" t="str">
        <f>'T&amp;E'!G$49</f>
        <v>factor</v>
      </c>
      <c r="H90" s="207">
        <f>'T&amp;E'!H$49</f>
        <v>0</v>
      </c>
      <c r="I90" s="207">
        <f>'T&amp;E'!I$49</f>
        <v>0</v>
      </c>
      <c r="J90" s="207">
        <f>'T&amp;E'!J$49</f>
        <v>0</v>
      </c>
      <c r="K90" s="207">
        <f>'T&amp;E'!K$49</f>
        <v>1</v>
      </c>
      <c r="L90" s="207">
        <f>'T&amp;E'!L$49</f>
        <v>1.0124228365658292</v>
      </c>
      <c r="M90" s="207">
        <f>'T&amp;E'!M$49</f>
        <v>1.0249999999999997</v>
      </c>
      <c r="N90" s="207">
        <f>'T&amp;E'!N$49</f>
        <v>1.0377334074799747</v>
      </c>
      <c r="O90" s="207">
        <f>'T&amp;E'!O$49</f>
        <v>1.0506249999999995</v>
      </c>
      <c r="P90" s="207">
        <f>'T&amp;E'!P$49</f>
        <v>1.0636767426669738</v>
      </c>
      <c r="Q90" s="207">
        <f>'T&amp;E'!Q$49</f>
        <v>1.0768906249999992</v>
      </c>
      <c r="R90" s="207">
        <f>'T&amp;E'!R$49</f>
        <v>1.0902686612336479</v>
      </c>
      <c r="S90" s="207">
        <f>'T&amp;E'!S$49</f>
        <v>1.1038128906249989</v>
      </c>
      <c r="T90" s="207">
        <f>'T&amp;E'!T$49</f>
        <v>1.1175253777644887</v>
      </c>
      <c r="U90" s="207">
        <f>'T&amp;E'!U$49</f>
        <v>1.1314082128906235</v>
      </c>
      <c r="V90" s="207">
        <f>'T&amp;E'!V$49</f>
        <v>1.1454635122086008</v>
      </c>
      <c r="W90" s="207">
        <f>'T&amp;E'!W$49</f>
        <v>1.1596934182128888</v>
      </c>
      <c r="X90" s="207">
        <f>'T&amp;E'!X$49</f>
        <v>1.1741001000138154</v>
      </c>
      <c r="Y90" s="207">
        <f>'T&amp;E'!Y$49</f>
        <v>1.1886857536682107</v>
      </c>
      <c r="Z90" s="207">
        <f>'T&amp;E'!Z$49</f>
        <v>1.2034526025141605</v>
      </c>
      <c r="AA90" s="207">
        <f>'T&amp;E'!AA$49</f>
        <v>1.2184028975099157</v>
      </c>
      <c r="AB90" s="207">
        <f>'T&amp;E'!AB$49</f>
        <v>1.2335389175770142</v>
      </c>
      <c r="AC90" s="207">
        <f>'T&amp;E'!AC$49</f>
        <v>1.2488629699476632</v>
      </c>
      <c r="AD90" s="207">
        <f>'T&amp;E'!AD$49</f>
        <v>1.264377390516439</v>
      </c>
      <c r="AE90" s="207">
        <f>'T&amp;E'!AE$49</f>
        <v>1.2800845441963544</v>
      </c>
      <c r="AF90" s="207">
        <f>'T&amp;E'!AF$49</f>
        <v>1.2959868252793496</v>
      </c>
      <c r="AG90" s="207">
        <f>'T&amp;E'!AG$49</f>
        <v>1.3120866578012629</v>
      </c>
      <c r="AH90" s="207">
        <f>'T&amp;E'!AH$49</f>
        <v>1.328386495911333</v>
      </c>
      <c r="AI90" s="207">
        <f>'T&amp;E'!AI$49</f>
        <v>1.344888824246294</v>
      </c>
      <c r="AJ90" s="207">
        <f>'T&amp;E'!AJ$49</f>
        <v>1.3615961583091158</v>
      </c>
      <c r="AK90" s="207">
        <f>'T&amp;E'!AK$49</f>
        <v>1.3785110448524509</v>
      </c>
      <c r="AL90" s="207">
        <f>'T&amp;E'!AL$49</f>
        <v>1.3956360622668433</v>
      </c>
      <c r="AM90" s="207">
        <f>'T&amp;E'!AM$49</f>
        <v>1.4129738209737617</v>
      </c>
      <c r="AN90" s="207">
        <f>'T&amp;E'!AN$49</f>
        <v>1.4305269638235139</v>
      </c>
      <c r="AO90" s="207">
        <f>'T&amp;E'!AO$49</f>
        <v>1.4482981664981052</v>
      </c>
      <c r="AP90" s="207">
        <f>'T&amp;E'!AP$49</f>
        <v>1.4662901379191011</v>
      </c>
      <c r="AQ90" s="207">
        <f>'T&amp;E'!AQ$49</f>
        <v>1.4845056206605574</v>
      </c>
      <c r="AR90" s="207">
        <f>'T&amp;E'!AR$49</f>
        <v>1.5029473913670783</v>
      </c>
      <c r="AS90" s="207">
        <f>'T&amp;E'!AS$49</f>
        <v>1.521618261177071</v>
      </c>
      <c r="AT90" s="207">
        <f>'T&amp;E'!AT$49</f>
        <v>1.5405210761512549</v>
      </c>
      <c r="AU90" s="207">
        <f>'T&amp;E'!AU$49</f>
        <v>1.5596587177064973</v>
      </c>
      <c r="AV90" s="207">
        <f>'T&amp;E'!AV$49</f>
        <v>1.5790341030550359</v>
      </c>
      <c r="AW90" s="207">
        <f>'T&amp;E'!AW$49</f>
        <v>1.5986501856491593</v>
      </c>
      <c r="AX90" s="207">
        <f>'T&amp;E'!AX$49</f>
        <v>1.6185099556314113</v>
      </c>
      <c r="AY90" s="207">
        <f>'T&amp;E'!AY$49</f>
        <v>1.6386164402903878</v>
      </c>
      <c r="AZ90" s="207">
        <f>'T&amp;E'!AZ$49</f>
        <v>1.658972704522196</v>
      </c>
      <c r="BA90" s="207">
        <f>'T&amp;E'!BA$49</f>
        <v>1.679581851297647</v>
      </c>
      <c r="BB90" s="207">
        <f>'T&amp;E'!BB$49</f>
        <v>1.7004470221352506</v>
      </c>
      <c r="BC90" s="207">
        <f>'T&amp;E'!BC$49</f>
        <v>1.7215713975800877</v>
      </c>
      <c r="BD90" s="207">
        <f>'T&amp;E'!BD$49</f>
        <v>1.7429581976886312</v>
      </c>
      <c r="BE90" s="207">
        <f>'T&amp;E'!BE$49</f>
        <v>1.7646106825195893</v>
      </c>
      <c r="BF90" s="207">
        <f>'T&amp;E'!BF$49</f>
        <v>1.7865321526308464</v>
      </c>
      <c r="BG90" s="207">
        <f>'T&amp;E'!BG$49</f>
        <v>1.8087259495825785</v>
      </c>
      <c r="BH90" s="207">
        <f>'T&amp;E'!BH$49</f>
        <v>1.8311954564466171</v>
      </c>
      <c r="BI90" s="207">
        <f>'T&amp;E'!BI$49</f>
        <v>1.8539440983221425</v>
      </c>
      <c r="BJ90" s="207">
        <f>'T&amp;E'!BJ$49</f>
        <v>1.876975342857782</v>
      </c>
      <c r="BK90" s="207">
        <f>'T&amp;E'!BK$49</f>
        <v>1.9002927007801955</v>
      </c>
      <c r="BL90" s="207">
        <f>'T&amp;E'!BL$49</f>
        <v>1.9238997264292261</v>
      </c>
      <c r="BM90" s="207">
        <f>'T&amp;E'!BM$49</f>
        <v>1.9478000182997</v>
      </c>
      <c r="BN90" s="207">
        <f>'T&amp;E'!BN$49</f>
        <v>1.9719972195899562</v>
      </c>
      <c r="BO90" s="207">
        <f>'T&amp;E'!BO$49</f>
        <v>1.9964950187571919</v>
      </c>
      <c r="BP90" s="207">
        <f>'T&amp;E'!BP$49</f>
        <v>2.0212971500797048</v>
      </c>
      <c r="BQ90" s="207">
        <f>'T&amp;E'!BQ$49</f>
        <v>2.0464073942261214</v>
      </c>
      <c r="BR90" s="207">
        <f>'T&amp;E'!BR$49</f>
        <v>2.0718295788316969</v>
      </c>
      <c r="BS90" s="207">
        <f>'T&amp;E'!BS$49</f>
        <v>2.0975675790817738</v>
      </c>
      <c r="BT90" s="207">
        <f>'T&amp;E'!BT$49</f>
        <v>2.1236253183024889</v>
      </c>
      <c r="BU90" s="207">
        <f>'T&amp;E'!BU$49</f>
        <v>2.1500067685588178</v>
      </c>
      <c r="BV90" s="207">
        <f>'T&amp;E'!BV$49</f>
        <v>2.1767159512600505</v>
      </c>
      <c r="BW90" s="207">
        <f>'T&amp;E'!BW$49</f>
        <v>2.2037569377727877</v>
      </c>
      <c r="BX90" s="207">
        <f>'T&amp;E'!BX$49</f>
        <v>2.2311338500415512</v>
      </c>
      <c r="BY90" s="207">
        <f>'T&amp;E'!BY$49</f>
        <v>2.2588508612171068</v>
      </c>
      <c r="BZ90" s="207">
        <f>'T&amp;E'!BZ$49</f>
        <v>2.2869121962925893</v>
      </c>
      <c r="CA90" s="207">
        <f>'T&amp;E'!CA$49</f>
        <v>2.3153221327475335</v>
      </c>
    </row>
    <row r="91" spans="1:79" x14ac:dyDescent="0.2">
      <c r="E91" s="87" t="str">
        <f xml:space="preserve"> E$84</f>
        <v>Passenger traffic</v>
      </c>
      <c r="F91" s="87">
        <f t="shared" ref="F91:BQ91" si="194" xml:space="preserve"> F$84</f>
        <v>0</v>
      </c>
      <c r="G91" s="87" t="str">
        <f t="shared" si="194"/>
        <v>PAx</v>
      </c>
      <c r="H91" s="87">
        <f t="shared" si="194"/>
        <v>63379180</v>
      </c>
      <c r="I91" s="87">
        <f t="shared" si="194"/>
        <v>0</v>
      </c>
      <c r="J91" s="87">
        <f t="shared" si="194"/>
        <v>0</v>
      </c>
      <c r="K91" s="87">
        <f t="shared" si="194"/>
        <v>0</v>
      </c>
      <c r="L91" s="87">
        <f t="shared" si="194"/>
        <v>0</v>
      </c>
      <c r="M91" s="87">
        <f t="shared" si="194"/>
        <v>0</v>
      </c>
      <c r="N91" s="87">
        <f t="shared" si="194"/>
        <v>0</v>
      </c>
      <c r="O91" s="87">
        <f t="shared" si="194"/>
        <v>1062310</v>
      </c>
      <c r="P91" s="87">
        <f t="shared" si="194"/>
        <v>1072900</v>
      </c>
      <c r="Q91" s="87">
        <f t="shared" si="194"/>
        <v>1101190</v>
      </c>
      <c r="R91" s="87">
        <f t="shared" si="194"/>
        <v>1002985</v>
      </c>
      <c r="S91" s="87">
        <f t="shared" si="194"/>
        <v>1021560</v>
      </c>
      <c r="T91" s="87">
        <f t="shared" si="194"/>
        <v>999360</v>
      </c>
      <c r="U91" s="87">
        <f t="shared" si="194"/>
        <v>1013820</v>
      </c>
      <c r="V91" s="87">
        <f t="shared" si="194"/>
        <v>1001405</v>
      </c>
      <c r="W91" s="87">
        <f t="shared" si="194"/>
        <v>1013990</v>
      </c>
      <c r="X91" s="87">
        <f t="shared" si="194"/>
        <v>1025780</v>
      </c>
      <c r="Y91" s="87">
        <f t="shared" si="194"/>
        <v>1036490</v>
      </c>
      <c r="Z91" s="87">
        <f t="shared" si="194"/>
        <v>1018850</v>
      </c>
      <c r="AA91" s="87">
        <f t="shared" si="194"/>
        <v>1029560</v>
      </c>
      <c r="AB91" s="87">
        <f t="shared" si="194"/>
        <v>1018850</v>
      </c>
      <c r="AC91" s="87">
        <f t="shared" si="194"/>
        <v>1029560</v>
      </c>
      <c r="AD91" s="87">
        <f t="shared" si="194"/>
        <v>1039978</v>
      </c>
      <c r="AE91" s="87">
        <f t="shared" si="194"/>
        <v>1051808</v>
      </c>
      <c r="AF91" s="87">
        <f t="shared" si="194"/>
        <v>1039978</v>
      </c>
      <c r="AG91" s="87">
        <f t="shared" si="194"/>
        <v>1051808</v>
      </c>
      <c r="AH91" s="87">
        <f t="shared" si="194"/>
        <v>1039978</v>
      </c>
      <c r="AI91" s="87">
        <f t="shared" si="194"/>
        <v>1051808</v>
      </c>
      <c r="AJ91" s="87">
        <f t="shared" si="194"/>
        <v>1039978</v>
      </c>
      <c r="AK91" s="87">
        <f t="shared" si="194"/>
        <v>1051808</v>
      </c>
      <c r="AL91" s="87">
        <f t="shared" si="194"/>
        <v>1039978</v>
      </c>
      <c r="AM91" s="87">
        <f t="shared" si="194"/>
        <v>1051808</v>
      </c>
      <c r="AN91" s="87">
        <f t="shared" si="194"/>
        <v>1053978</v>
      </c>
      <c r="AO91" s="87">
        <f t="shared" si="194"/>
        <v>1066928</v>
      </c>
      <c r="AP91" s="87">
        <f t="shared" si="194"/>
        <v>1053978</v>
      </c>
      <c r="AQ91" s="87">
        <f t="shared" si="194"/>
        <v>1066928</v>
      </c>
      <c r="AR91" s="87">
        <f t="shared" si="194"/>
        <v>1053978</v>
      </c>
      <c r="AS91" s="87">
        <f t="shared" si="194"/>
        <v>1066928</v>
      </c>
      <c r="AT91" s="87">
        <f t="shared" si="194"/>
        <v>1053978</v>
      </c>
      <c r="AU91" s="87">
        <f t="shared" si="194"/>
        <v>1066928</v>
      </c>
      <c r="AV91" s="87">
        <f t="shared" si="194"/>
        <v>1053978</v>
      </c>
      <c r="AW91" s="87">
        <f t="shared" si="194"/>
        <v>1066928</v>
      </c>
      <c r="AX91" s="87">
        <f t="shared" si="194"/>
        <v>1073170</v>
      </c>
      <c r="AY91" s="87">
        <f t="shared" si="194"/>
        <v>1087240</v>
      </c>
      <c r="AZ91" s="87">
        <f t="shared" si="194"/>
        <v>1073170</v>
      </c>
      <c r="BA91" s="87">
        <f t="shared" si="194"/>
        <v>1087240</v>
      </c>
      <c r="BB91" s="87">
        <f t="shared" si="194"/>
        <v>1073170</v>
      </c>
      <c r="BC91" s="87">
        <f t="shared" si="194"/>
        <v>1087240</v>
      </c>
      <c r="BD91" s="87">
        <f t="shared" si="194"/>
        <v>1073170</v>
      </c>
      <c r="BE91" s="87">
        <f t="shared" si="194"/>
        <v>1087240</v>
      </c>
      <c r="BF91" s="87">
        <f t="shared" si="194"/>
        <v>1069210</v>
      </c>
      <c r="BG91" s="87">
        <f t="shared" si="194"/>
        <v>1083280</v>
      </c>
      <c r="BH91" s="87">
        <f t="shared" si="194"/>
        <v>1069210</v>
      </c>
      <c r="BI91" s="87">
        <f t="shared" si="194"/>
        <v>1042960</v>
      </c>
      <c r="BJ91" s="87">
        <f t="shared" si="194"/>
        <v>1105570</v>
      </c>
      <c r="BK91" s="87">
        <f t="shared" si="194"/>
        <v>1039000</v>
      </c>
      <c r="BL91" s="87">
        <f t="shared" si="194"/>
        <v>1105570</v>
      </c>
      <c r="BM91" s="87">
        <f t="shared" si="194"/>
        <v>1039000</v>
      </c>
      <c r="BN91" s="87">
        <f t="shared" si="194"/>
        <v>1105570</v>
      </c>
      <c r="BO91" s="87">
        <f t="shared" si="194"/>
        <v>1039000</v>
      </c>
      <c r="BP91" s="87">
        <f t="shared" si="194"/>
        <v>1105570</v>
      </c>
      <c r="BQ91" s="87">
        <f t="shared" si="194"/>
        <v>1039000</v>
      </c>
      <c r="BR91" s="87">
        <f t="shared" ref="BR91:CA91" si="195" xml:space="preserve"> BR$84</f>
        <v>1065250</v>
      </c>
      <c r="BS91" s="87">
        <f t="shared" si="195"/>
        <v>1079320</v>
      </c>
      <c r="BT91" s="87">
        <f t="shared" si="195"/>
        <v>1079320</v>
      </c>
      <c r="BU91" s="87">
        <f t="shared" si="195"/>
        <v>1079320</v>
      </c>
      <c r="BV91" s="87">
        <f t="shared" si="195"/>
        <v>1079320</v>
      </c>
      <c r="BW91" s="87">
        <f t="shared" si="195"/>
        <v>0</v>
      </c>
      <c r="BX91" s="87">
        <f t="shared" si="195"/>
        <v>0</v>
      </c>
      <c r="BY91" s="87">
        <f t="shared" si="195"/>
        <v>0</v>
      </c>
      <c r="BZ91" s="87">
        <f t="shared" si="195"/>
        <v>0</v>
      </c>
      <c r="CA91" s="87">
        <f t="shared" si="195"/>
        <v>0</v>
      </c>
    </row>
    <row r="92" spans="1:79" x14ac:dyDescent="0.2">
      <c r="E92" s="87" t="s">
        <v>81</v>
      </c>
      <c r="G92" s="87" t="str">
        <f xml:space="preserve"> SMU</f>
        <v>€ 000s</v>
      </c>
      <c r="H92" s="87">
        <f>SUM(J92:CA92)</f>
        <v>2237857.3171809153</v>
      </c>
      <c r="J92" s="87">
        <f xml:space="preserve"> $F89 * J90 * J91 / 1000</f>
        <v>0</v>
      </c>
      <c r="K92" s="87">
        <f t="shared" ref="K92:BV92" si="196" xml:space="preserve"> $F89 * K90 * K91 / 1000</f>
        <v>0</v>
      </c>
      <c r="L92" s="87">
        <f t="shared" si="196"/>
        <v>0</v>
      </c>
      <c r="M92" s="87">
        <f t="shared" si="196"/>
        <v>0</v>
      </c>
      <c r="N92" s="87">
        <f t="shared" si="196"/>
        <v>0</v>
      </c>
      <c r="O92" s="87">
        <f t="shared" si="196"/>
        <v>25391.034845312486</v>
      </c>
      <c r="P92" s="87">
        <f t="shared" si="196"/>
        <v>25962.727181468264</v>
      </c>
      <c r="Q92" s="87">
        <f t="shared" si="196"/>
        <v>26978.34201207029</v>
      </c>
      <c r="R92" s="87">
        <f t="shared" si="196"/>
        <v>24877.65082501404</v>
      </c>
      <c r="S92" s="87">
        <f t="shared" si="196"/>
        <v>25653.152446441381</v>
      </c>
      <c r="T92" s="87">
        <f t="shared" si="196"/>
        <v>25407.431174641868</v>
      </c>
      <c r="U92" s="87">
        <f t="shared" si="196"/>
        <v>26095.257242435564</v>
      </c>
      <c r="V92" s="87">
        <f t="shared" si="196"/>
        <v>26095.908212084025</v>
      </c>
      <c r="W92" s="87">
        <f t="shared" si="196"/>
        <v>26752.123787791381</v>
      </c>
      <c r="X92" s="87">
        <f t="shared" si="196"/>
        <v>27399.381113471904</v>
      </c>
      <c r="Y92" s="87">
        <f t="shared" si="196"/>
        <v>28029.385402645075</v>
      </c>
      <c r="Z92" s="87">
        <f t="shared" si="196"/>
        <v>27894.632312627818</v>
      </c>
      <c r="AA92" s="87">
        <f t="shared" si="196"/>
        <v>28538.029682897024</v>
      </c>
      <c r="AB92" s="87">
        <f t="shared" si="196"/>
        <v>28591.99812044351</v>
      </c>
      <c r="AC92" s="87">
        <f t="shared" si="196"/>
        <v>29251.480424969443</v>
      </c>
      <c r="AD92" s="87">
        <f t="shared" si="196"/>
        <v>29914.536238734992</v>
      </c>
      <c r="AE92" s="87">
        <f t="shared" si="196"/>
        <v>30630.671986962301</v>
      </c>
      <c r="AF92" s="87">
        <f t="shared" si="196"/>
        <v>30662.399644703357</v>
      </c>
      <c r="AG92" s="87">
        <f t="shared" si="196"/>
        <v>31396.43878663635</v>
      </c>
      <c r="AH92" s="87">
        <f t="shared" si="196"/>
        <v>31428.959635820935</v>
      </c>
      <c r="AI92" s="87">
        <f t="shared" si="196"/>
        <v>32181.349756302247</v>
      </c>
      <c r="AJ92" s="87">
        <f t="shared" si="196"/>
        <v>32214.683626716447</v>
      </c>
      <c r="AK92" s="87">
        <f t="shared" si="196"/>
        <v>32985.883500209791</v>
      </c>
      <c r="AL92" s="87">
        <f t="shared" si="196"/>
        <v>33020.050717384351</v>
      </c>
      <c r="AM92" s="87">
        <f t="shared" si="196"/>
        <v>33810.530587715031</v>
      </c>
      <c r="AN92" s="87">
        <f t="shared" si="196"/>
        <v>34301.174823296737</v>
      </c>
      <c r="AO92" s="87">
        <f t="shared" si="196"/>
        <v>35153.979455719913</v>
      </c>
      <c r="AP92" s="87">
        <f t="shared" si="196"/>
        <v>35158.704193879144</v>
      </c>
      <c r="AQ92" s="87">
        <f t="shared" si="196"/>
        <v>36032.828942112894</v>
      </c>
      <c r="AR92" s="87">
        <f t="shared" si="196"/>
        <v>36037.671798726107</v>
      </c>
      <c r="AS92" s="87">
        <f t="shared" si="196"/>
        <v>36933.649665665711</v>
      </c>
      <c r="AT92" s="87">
        <f t="shared" si="196"/>
        <v>36938.613593694252</v>
      </c>
      <c r="AU92" s="87">
        <f t="shared" si="196"/>
        <v>37856.990907307336</v>
      </c>
      <c r="AV92" s="87">
        <f t="shared" si="196"/>
        <v>37862.078933536599</v>
      </c>
      <c r="AW92" s="87">
        <f t="shared" si="196"/>
        <v>38803.415679990008</v>
      </c>
      <c r="AX92" s="87">
        <f t="shared" si="196"/>
        <v>39515.301486682874</v>
      </c>
      <c r="AY92" s="87">
        <f t="shared" si="196"/>
        <v>40530.702451815057</v>
      </c>
      <c r="AZ92" s="87">
        <f t="shared" si="196"/>
        <v>40503.184023849935</v>
      </c>
      <c r="BA92" s="87">
        <f t="shared" si="196"/>
        <v>41543.970013110425</v>
      </c>
      <c r="BB92" s="87">
        <f t="shared" si="196"/>
        <v>41515.763624446176</v>
      </c>
      <c r="BC92" s="87">
        <f t="shared" si="196"/>
        <v>42582.56926343817</v>
      </c>
      <c r="BD92" s="87">
        <f t="shared" si="196"/>
        <v>42553.657715057314</v>
      </c>
      <c r="BE92" s="87">
        <f t="shared" si="196"/>
        <v>43647.133495024107</v>
      </c>
      <c r="BF92" s="87">
        <f t="shared" si="196"/>
        <v>43456.550476303222</v>
      </c>
      <c r="BG92" s="87">
        <f t="shared" si="196"/>
        <v>44575.3637116018</v>
      </c>
      <c r="BH92" s="87">
        <f t="shared" si="196"/>
        <v>44542.964238210792</v>
      </c>
      <c r="BI92" s="87">
        <f t="shared" si="196"/>
        <v>43989.161961882906</v>
      </c>
      <c r="BJ92" s="87">
        <f t="shared" si="196"/>
        <v>47209.153578024576</v>
      </c>
      <c r="BK92" s="87">
        <f t="shared" si="196"/>
        <v>44917.693641516678</v>
      </c>
      <c r="BL92" s="87">
        <f t="shared" si="196"/>
        <v>48389.382417475186</v>
      </c>
      <c r="BM92" s="87">
        <f t="shared" si="196"/>
        <v>46040.635982554581</v>
      </c>
      <c r="BN92" s="87">
        <f t="shared" si="196"/>
        <v>49599.116977912046</v>
      </c>
      <c r="BO92" s="87">
        <f t="shared" si="196"/>
        <v>47191.651882118436</v>
      </c>
      <c r="BP92" s="87">
        <f t="shared" si="196"/>
        <v>50839.094902359837</v>
      </c>
      <c r="BQ92" s="87">
        <f t="shared" si="196"/>
        <v>48371.443179171387</v>
      </c>
      <c r="BR92" s="87">
        <f t="shared" si="196"/>
        <v>50209.624438848085</v>
      </c>
      <c r="BS92" s="87">
        <f t="shared" si="196"/>
        <v>51504.786047590787</v>
      </c>
      <c r="BT92" s="87">
        <f t="shared" si="196"/>
        <v>52144.621587018009</v>
      </c>
      <c r="BU92" s="87">
        <f t="shared" si="196"/>
        <v>52792.405698780545</v>
      </c>
      <c r="BV92" s="87">
        <f t="shared" si="196"/>
        <v>53448.23712669345</v>
      </c>
      <c r="BW92" s="87">
        <f t="shared" ref="BW92:CA92" si="197" xml:space="preserve"> $F89 * BW90 * BW91 / 1000</f>
        <v>0</v>
      </c>
      <c r="BX92" s="87">
        <f t="shared" si="197"/>
        <v>0</v>
      </c>
      <c r="BY92" s="87">
        <f t="shared" si="197"/>
        <v>0</v>
      </c>
      <c r="BZ92" s="87">
        <f t="shared" si="197"/>
        <v>0</v>
      </c>
      <c r="CA92" s="87">
        <f t="shared" si="197"/>
        <v>0</v>
      </c>
    </row>
    <row r="95" spans="1:79" x14ac:dyDescent="0.2">
      <c r="A95" s="81" t="s">
        <v>61</v>
      </c>
    </row>
    <row r="97" spans="1:79" s="203" customFormat="1" x14ac:dyDescent="0.2">
      <c r="A97" s="199"/>
      <c r="B97" s="200"/>
      <c r="C97" s="201"/>
      <c r="D97" s="202"/>
      <c r="E97" s="203" t="str">
        <f>InpC!E$30</f>
        <v>Passenger retail purchases rate</v>
      </c>
      <c r="F97" s="203">
        <f>InpC!F$30</f>
        <v>10.5</v>
      </c>
      <c r="G97" s="203" t="str">
        <f>InpC!G$30</f>
        <v>€ / PAx</v>
      </c>
    </row>
    <row r="98" spans="1:79" s="217" customFormat="1" x14ac:dyDescent="0.2">
      <c r="A98" s="213"/>
      <c r="B98" s="214"/>
      <c r="C98" s="215"/>
      <c r="D98" s="216"/>
      <c r="E98" s="217" t="str">
        <f>InpC!E$31</f>
        <v>Rental revenue sharing percentage</v>
      </c>
      <c r="F98" s="217">
        <f>InpC!F$31</f>
        <v>0.25</v>
      </c>
      <c r="G98" s="217" t="str">
        <f>InpC!G$31</f>
        <v>of sales</v>
      </c>
    </row>
    <row r="99" spans="1:79" s="207" customFormat="1" x14ac:dyDescent="0.2">
      <c r="A99" s="204"/>
      <c r="B99" s="204"/>
      <c r="C99" s="205"/>
      <c r="D99" s="206"/>
      <c r="E99" s="207" t="str">
        <f>'T&amp;E'!E$49</f>
        <v>CPI esc factor</v>
      </c>
      <c r="F99" s="207">
        <f>'T&amp;E'!F$49</f>
        <v>0</v>
      </c>
      <c r="G99" s="207" t="str">
        <f>'T&amp;E'!G$49</f>
        <v>factor</v>
      </c>
      <c r="H99" s="207">
        <f>'T&amp;E'!H$49</f>
        <v>0</v>
      </c>
      <c r="I99" s="207">
        <f>'T&amp;E'!I$49</f>
        <v>0</v>
      </c>
      <c r="J99" s="207">
        <f>'T&amp;E'!J$49</f>
        <v>0</v>
      </c>
      <c r="K99" s="207">
        <f>'T&amp;E'!K$49</f>
        <v>1</v>
      </c>
      <c r="L99" s="207">
        <f>'T&amp;E'!L$49</f>
        <v>1.0124228365658292</v>
      </c>
      <c r="M99" s="207">
        <f>'T&amp;E'!M$49</f>
        <v>1.0249999999999997</v>
      </c>
      <c r="N99" s="207">
        <f>'T&amp;E'!N$49</f>
        <v>1.0377334074799747</v>
      </c>
      <c r="O99" s="207">
        <f>'T&amp;E'!O$49</f>
        <v>1.0506249999999995</v>
      </c>
      <c r="P99" s="207">
        <f>'T&amp;E'!P$49</f>
        <v>1.0636767426669738</v>
      </c>
      <c r="Q99" s="207">
        <f>'T&amp;E'!Q$49</f>
        <v>1.0768906249999992</v>
      </c>
      <c r="R99" s="207">
        <f>'T&amp;E'!R$49</f>
        <v>1.0902686612336479</v>
      </c>
      <c r="S99" s="207">
        <f>'T&amp;E'!S$49</f>
        <v>1.1038128906249989</v>
      </c>
      <c r="T99" s="207">
        <f>'T&amp;E'!T$49</f>
        <v>1.1175253777644887</v>
      </c>
      <c r="U99" s="207">
        <f>'T&amp;E'!U$49</f>
        <v>1.1314082128906235</v>
      </c>
      <c r="V99" s="207">
        <f>'T&amp;E'!V$49</f>
        <v>1.1454635122086008</v>
      </c>
      <c r="W99" s="207">
        <f>'T&amp;E'!W$49</f>
        <v>1.1596934182128888</v>
      </c>
      <c r="X99" s="207">
        <f>'T&amp;E'!X$49</f>
        <v>1.1741001000138154</v>
      </c>
      <c r="Y99" s="207">
        <f>'T&amp;E'!Y$49</f>
        <v>1.1886857536682107</v>
      </c>
      <c r="Z99" s="207">
        <f>'T&amp;E'!Z$49</f>
        <v>1.2034526025141605</v>
      </c>
      <c r="AA99" s="207">
        <f>'T&amp;E'!AA$49</f>
        <v>1.2184028975099157</v>
      </c>
      <c r="AB99" s="207">
        <f>'T&amp;E'!AB$49</f>
        <v>1.2335389175770142</v>
      </c>
      <c r="AC99" s="207">
        <f>'T&amp;E'!AC$49</f>
        <v>1.2488629699476632</v>
      </c>
      <c r="AD99" s="207">
        <f>'T&amp;E'!AD$49</f>
        <v>1.264377390516439</v>
      </c>
      <c r="AE99" s="207">
        <f>'T&amp;E'!AE$49</f>
        <v>1.2800845441963544</v>
      </c>
      <c r="AF99" s="207">
        <f>'T&amp;E'!AF$49</f>
        <v>1.2959868252793496</v>
      </c>
      <c r="AG99" s="207">
        <f>'T&amp;E'!AG$49</f>
        <v>1.3120866578012629</v>
      </c>
      <c r="AH99" s="207">
        <f>'T&amp;E'!AH$49</f>
        <v>1.328386495911333</v>
      </c>
      <c r="AI99" s="207">
        <f>'T&amp;E'!AI$49</f>
        <v>1.344888824246294</v>
      </c>
      <c r="AJ99" s="207">
        <f>'T&amp;E'!AJ$49</f>
        <v>1.3615961583091158</v>
      </c>
      <c r="AK99" s="207">
        <f>'T&amp;E'!AK$49</f>
        <v>1.3785110448524509</v>
      </c>
      <c r="AL99" s="207">
        <f>'T&amp;E'!AL$49</f>
        <v>1.3956360622668433</v>
      </c>
      <c r="AM99" s="207">
        <f>'T&amp;E'!AM$49</f>
        <v>1.4129738209737617</v>
      </c>
      <c r="AN99" s="207">
        <f>'T&amp;E'!AN$49</f>
        <v>1.4305269638235139</v>
      </c>
      <c r="AO99" s="207">
        <f>'T&amp;E'!AO$49</f>
        <v>1.4482981664981052</v>
      </c>
      <c r="AP99" s="207">
        <f>'T&amp;E'!AP$49</f>
        <v>1.4662901379191011</v>
      </c>
      <c r="AQ99" s="207">
        <f>'T&amp;E'!AQ$49</f>
        <v>1.4845056206605574</v>
      </c>
      <c r="AR99" s="207">
        <f>'T&amp;E'!AR$49</f>
        <v>1.5029473913670783</v>
      </c>
      <c r="AS99" s="207">
        <f>'T&amp;E'!AS$49</f>
        <v>1.521618261177071</v>
      </c>
      <c r="AT99" s="207">
        <f>'T&amp;E'!AT$49</f>
        <v>1.5405210761512549</v>
      </c>
      <c r="AU99" s="207">
        <f>'T&amp;E'!AU$49</f>
        <v>1.5596587177064973</v>
      </c>
      <c r="AV99" s="207">
        <f>'T&amp;E'!AV$49</f>
        <v>1.5790341030550359</v>
      </c>
      <c r="AW99" s="207">
        <f>'T&amp;E'!AW$49</f>
        <v>1.5986501856491593</v>
      </c>
      <c r="AX99" s="207">
        <f>'T&amp;E'!AX$49</f>
        <v>1.6185099556314113</v>
      </c>
      <c r="AY99" s="207">
        <f>'T&amp;E'!AY$49</f>
        <v>1.6386164402903878</v>
      </c>
      <c r="AZ99" s="207">
        <f>'T&amp;E'!AZ$49</f>
        <v>1.658972704522196</v>
      </c>
      <c r="BA99" s="207">
        <f>'T&amp;E'!BA$49</f>
        <v>1.679581851297647</v>
      </c>
      <c r="BB99" s="207">
        <f>'T&amp;E'!BB$49</f>
        <v>1.7004470221352506</v>
      </c>
      <c r="BC99" s="207">
        <f>'T&amp;E'!BC$49</f>
        <v>1.7215713975800877</v>
      </c>
      <c r="BD99" s="207">
        <f>'T&amp;E'!BD$49</f>
        <v>1.7429581976886312</v>
      </c>
      <c r="BE99" s="207">
        <f>'T&amp;E'!BE$49</f>
        <v>1.7646106825195893</v>
      </c>
      <c r="BF99" s="207">
        <f>'T&amp;E'!BF$49</f>
        <v>1.7865321526308464</v>
      </c>
      <c r="BG99" s="207">
        <f>'T&amp;E'!BG$49</f>
        <v>1.8087259495825785</v>
      </c>
      <c r="BH99" s="207">
        <f>'T&amp;E'!BH$49</f>
        <v>1.8311954564466171</v>
      </c>
      <c r="BI99" s="207">
        <f>'T&amp;E'!BI$49</f>
        <v>1.8539440983221425</v>
      </c>
      <c r="BJ99" s="207">
        <f>'T&amp;E'!BJ$49</f>
        <v>1.876975342857782</v>
      </c>
      <c r="BK99" s="207">
        <f>'T&amp;E'!BK$49</f>
        <v>1.9002927007801955</v>
      </c>
      <c r="BL99" s="207">
        <f>'T&amp;E'!BL$49</f>
        <v>1.9238997264292261</v>
      </c>
      <c r="BM99" s="207">
        <f>'T&amp;E'!BM$49</f>
        <v>1.9478000182997</v>
      </c>
      <c r="BN99" s="207">
        <f>'T&amp;E'!BN$49</f>
        <v>1.9719972195899562</v>
      </c>
      <c r="BO99" s="207">
        <f>'T&amp;E'!BO$49</f>
        <v>1.9964950187571919</v>
      </c>
      <c r="BP99" s="207">
        <f>'T&amp;E'!BP$49</f>
        <v>2.0212971500797048</v>
      </c>
      <c r="BQ99" s="207">
        <f>'T&amp;E'!BQ$49</f>
        <v>2.0464073942261214</v>
      </c>
      <c r="BR99" s="207">
        <f>'T&amp;E'!BR$49</f>
        <v>2.0718295788316969</v>
      </c>
      <c r="BS99" s="207">
        <f>'T&amp;E'!BS$49</f>
        <v>2.0975675790817738</v>
      </c>
      <c r="BT99" s="207">
        <f>'T&amp;E'!BT$49</f>
        <v>2.1236253183024889</v>
      </c>
      <c r="BU99" s="207">
        <f>'T&amp;E'!BU$49</f>
        <v>2.1500067685588178</v>
      </c>
      <c r="BV99" s="207">
        <f>'T&amp;E'!BV$49</f>
        <v>2.1767159512600505</v>
      </c>
      <c r="BW99" s="207">
        <f>'T&amp;E'!BW$49</f>
        <v>2.2037569377727877</v>
      </c>
      <c r="BX99" s="207">
        <f>'T&amp;E'!BX$49</f>
        <v>2.2311338500415512</v>
      </c>
      <c r="BY99" s="207">
        <f>'T&amp;E'!BY$49</f>
        <v>2.2588508612171068</v>
      </c>
      <c r="BZ99" s="207">
        <f>'T&amp;E'!BZ$49</f>
        <v>2.2869121962925893</v>
      </c>
      <c r="CA99" s="207">
        <f>'T&amp;E'!CA$49</f>
        <v>2.3153221327475335</v>
      </c>
    </row>
    <row r="100" spans="1:79" x14ac:dyDescent="0.2">
      <c r="E100" s="87" t="str">
        <f xml:space="preserve"> E$84</f>
        <v>Passenger traffic</v>
      </c>
      <c r="F100" s="87">
        <f t="shared" ref="F100:BQ100" si="198" xml:space="preserve"> F$84</f>
        <v>0</v>
      </c>
      <c r="G100" s="87" t="str">
        <f t="shared" si="198"/>
        <v>PAx</v>
      </c>
      <c r="H100" s="87">
        <f t="shared" si="198"/>
        <v>63379180</v>
      </c>
      <c r="I100" s="87">
        <f t="shared" si="198"/>
        <v>0</v>
      </c>
      <c r="J100" s="87">
        <f t="shared" si="198"/>
        <v>0</v>
      </c>
      <c r="K100" s="87">
        <f t="shared" si="198"/>
        <v>0</v>
      </c>
      <c r="L100" s="87">
        <f t="shared" si="198"/>
        <v>0</v>
      </c>
      <c r="M100" s="87">
        <f t="shared" si="198"/>
        <v>0</v>
      </c>
      <c r="N100" s="87">
        <f t="shared" si="198"/>
        <v>0</v>
      </c>
      <c r="O100" s="87">
        <f t="shared" si="198"/>
        <v>1062310</v>
      </c>
      <c r="P100" s="87">
        <f t="shared" si="198"/>
        <v>1072900</v>
      </c>
      <c r="Q100" s="87">
        <f t="shared" si="198"/>
        <v>1101190</v>
      </c>
      <c r="R100" s="87">
        <f t="shared" si="198"/>
        <v>1002985</v>
      </c>
      <c r="S100" s="87">
        <f t="shared" si="198"/>
        <v>1021560</v>
      </c>
      <c r="T100" s="87">
        <f t="shared" si="198"/>
        <v>999360</v>
      </c>
      <c r="U100" s="87">
        <f t="shared" si="198"/>
        <v>1013820</v>
      </c>
      <c r="V100" s="87">
        <f t="shared" si="198"/>
        <v>1001405</v>
      </c>
      <c r="W100" s="87">
        <f t="shared" si="198"/>
        <v>1013990</v>
      </c>
      <c r="X100" s="87">
        <f t="shared" si="198"/>
        <v>1025780</v>
      </c>
      <c r="Y100" s="87">
        <f t="shared" si="198"/>
        <v>1036490</v>
      </c>
      <c r="Z100" s="87">
        <f t="shared" si="198"/>
        <v>1018850</v>
      </c>
      <c r="AA100" s="87">
        <f t="shared" si="198"/>
        <v>1029560</v>
      </c>
      <c r="AB100" s="87">
        <f t="shared" si="198"/>
        <v>1018850</v>
      </c>
      <c r="AC100" s="87">
        <f t="shared" si="198"/>
        <v>1029560</v>
      </c>
      <c r="AD100" s="87">
        <f t="shared" si="198"/>
        <v>1039978</v>
      </c>
      <c r="AE100" s="87">
        <f t="shared" si="198"/>
        <v>1051808</v>
      </c>
      <c r="AF100" s="87">
        <f t="shared" si="198"/>
        <v>1039978</v>
      </c>
      <c r="AG100" s="87">
        <f t="shared" si="198"/>
        <v>1051808</v>
      </c>
      <c r="AH100" s="87">
        <f t="shared" si="198"/>
        <v>1039978</v>
      </c>
      <c r="AI100" s="87">
        <f t="shared" si="198"/>
        <v>1051808</v>
      </c>
      <c r="AJ100" s="87">
        <f t="shared" si="198"/>
        <v>1039978</v>
      </c>
      <c r="AK100" s="87">
        <f t="shared" si="198"/>
        <v>1051808</v>
      </c>
      <c r="AL100" s="87">
        <f t="shared" si="198"/>
        <v>1039978</v>
      </c>
      <c r="AM100" s="87">
        <f t="shared" si="198"/>
        <v>1051808</v>
      </c>
      <c r="AN100" s="87">
        <f t="shared" si="198"/>
        <v>1053978</v>
      </c>
      <c r="AO100" s="87">
        <f t="shared" si="198"/>
        <v>1066928</v>
      </c>
      <c r="AP100" s="87">
        <f t="shared" si="198"/>
        <v>1053978</v>
      </c>
      <c r="AQ100" s="87">
        <f t="shared" si="198"/>
        <v>1066928</v>
      </c>
      <c r="AR100" s="87">
        <f t="shared" si="198"/>
        <v>1053978</v>
      </c>
      <c r="AS100" s="87">
        <f t="shared" si="198"/>
        <v>1066928</v>
      </c>
      <c r="AT100" s="87">
        <f t="shared" si="198"/>
        <v>1053978</v>
      </c>
      <c r="AU100" s="87">
        <f t="shared" si="198"/>
        <v>1066928</v>
      </c>
      <c r="AV100" s="87">
        <f t="shared" si="198"/>
        <v>1053978</v>
      </c>
      <c r="AW100" s="87">
        <f t="shared" si="198"/>
        <v>1066928</v>
      </c>
      <c r="AX100" s="87">
        <f t="shared" si="198"/>
        <v>1073170</v>
      </c>
      <c r="AY100" s="87">
        <f t="shared" si="198"/>
        <v>1087240</v>
      </c>
      <c r="AZ100" s="87">
        <f t="shared" si="198"/>
        <v>1073170</v>
      </c>
      <c r="BA100" s="87">
        <f t="shared" si="198"/>
        <v>1087240</v>
      </c>
      <c r="BB100" s="87">
        <f t="shared" si="198"/>
        <v>1073170</v>
      </c>
      <c r="BC100" s="87">
        <f t="shared" si="198"/>
        <v>1087240</v>
      </c>
      <c r="BD100" s="87">
        <f t="shared" si="198"/>
        <v>1073170</v>
      </c>
      <c r="BE100" s="87">
        <f t="shared" si="198"/>
        <v>1087240</v>
      </c>
      <c r="BF100" s="87">
        <f t="shared" si="198"/>
        <v>1069210</v>
      </c>
      <c r="BG100" s="87">
        <f t="shared" si="198"/>
        <v>1083280</v>
      </c>
      <c r="BH100" s="87">
        <f t="shared" si="198"/>
        <v>1069210</v>
      </c>
      <c r="BI100" s="87">
        <f t="shared" si="198"/>
        <v>1042960</v>
      </c>
      <c r="BJ100" s="87">
        <f t="shared" si="198"/>
        <v>1105570</v>
      </c>
      <c r="BK100" s="87">
        <f t="shared" si="198"/>
        <v>1039000</v>
      </c>
      <c r="BL100" s="87">
        <f t="shared" si="198"/>
        <v>1105570</v>
      </c>
      <c r="BM100" s="87">
        <f t="shared" si="198"/>
        <v>1039000</v>
      </c>
      <c r="BN100" s="87">
        <f t="shared" si="198"/>
        <v>1105570</v>
      </c>
      <c r="BO100" s="87">
        <f t="shared" si="198"/>
        <v>1039000</v>
      </c>
      <c r="BP100" s="87">
        <f t="shared" si="198"/>
        <v>1105570</v>
      </c>
      <c r="BQ100" s="87">
        <f t="shared" si="198"/>
        <v>1039000</v>
      </c>
      <c r="BR100" s="87">
        <f t="shared" ref="BR100:CA100" si="199" xml:space="preserve"> BR$84</f>
        <v>1065250</v>
      </c>
      <c r="BS100" s="87">
        <f t="shared" si="199"/>
        <v>1079320</v>
      </c>
      <c r="BT100" s="87">
        <f t="shared" si="199"/>
        <v>1079320</v>
      </c>
      <c r="BU100" s="87">
        <f t="shared" si="199"/>
        <v>1079320</v>
      </c>
      <c r="BV100" s="87">
        <f t="shared" si="199"/>
        <v>1079320</v>
      </c>
      <c r="BW100" s="87">
        <f t="shared" si="199"/>
        <v>0</v>
      </c>
      <c r="BX100" s="87">
        <f t="shared" si="199"/>
        <v>0</v>
      </c>
      <c r="BY100" s="87">
        <f t="shared" si="199"/>
        <v>0</v>
      </c>
      <c r="BZ100" s="87">
        <f t="shared" si="199"/>
        <v>0</v>
      </c>
      <c r="CA100" s="87">
        <f t="shared" si="199"/>
        <v>0</v>
      </c>
    </row>
    <row r="101" spans="1:79" x14ac:dyDescent="0.2">
      <c r="E101" s="90" t="s">
        <v>88</v>
      </c>
      <c r="G101" s="87" t="str">
        <f xml:space="preserve"> SMU</f>
        <v>€ 000s</v>
      </c>
      <c r="H101" s="87">
        <f>SUM(J101:CA101)</f>
        <v>258214.30582856716</v>
      </c>
      <c r="J101" s="87">
        <f xml:space="preserve"> $F97 * $F98 * J99 * J100 / 1000</f>
        <v>0</v>
      </c>
      <c r="K101" s="87">
        <f t="shared" ref="K101:BV101" si="200" xml:space="preserve"> $F97 * $F98 * K99 * K100 / 1000</f>
        <v>0</v>
      </c>
      <c r="L101" s="87">
        <f t="shared" si="200"/>
        <v>0</v>
      </c>
      <c r="M101" s="87">
        <f t="shared" si="200"/>
        <v>0</v>
      </c>
      <c r="N101" s="87">
        <f t="shared" si="200"/>
        <v>0</v>
      </c>
      <c r="O101" s="87">
        <f t="shared" si="200"/>
        <v>2929.7347898437483</v>
      </c>
      <c r="P101" s="87">
        <f t="shared" si="200"/>
        <v>2995.6992901694148</v>
      </c>
      <c r="Q101" s="87">
        <f t="shared" si="200"/>
        <v>3112.8856167773415</v>
      </c>
      <c r="R101" s="87">
        <f t="shared" si="200"/>
        <v>2870.4981721170047</v>
      </c>
      <c r="S101" s="87">
        <f t="shared" si="200"/>
        <v>2959.9791284355438</v>
      </c>
      <c r="T101" s="87">
        <f t="shared" si="200"/>
        <v>2931.6266739971384</v>
      </c>
      <c r="U101" s="87">
        <f t="shared" si="200"/>
        <v>3010.9912202810265</v>
      </c>
      <c r="V101" s="87">
        <f t="shared" si="200"/>
        <v>3011.0663321635416</v>
      </c>
      <c r="W101" s="87">
        <f t="shared" si="200"/>
        <v>3086.7835139759291</v>
      </c>
      <c r="X101" s="87">
        <f t="shared" si="200"/>
        <v>3161.4670515544503</v>
      </c>
      <c r="Y101" s="87">
        <f t="shared" si="200"/>
        <v>3234.1598541513545</v>
      </c>
      <c r="Z101" s="87">
        <f t="shared" si="200"/>
        <v>3218.6114206878251</v>
      </c>
      <c r="AA101" s="87">
        <f t="shared" si="200"/>
        <v>3292.8495787958109</v>
      </c>
      <c r="AB101" s="87">
        <f t="shared" si="200"/>
        <v>3299.0767062050199</v>
      </c>
      <c r="AC101" s="87">
        <f t="shared" si="200"/>
        <v>3375.1708182657048</v>
      </c>
      <c r="AD101" s="87">
        <f t="shared" si="200"/>
        <v>3451.6772583155762</v>
      </c>
      <c r="AE101" s="87">
        <f t="shared" si="200"/>
        <v>3534.3083061879579</v>
      </c>
      <c r="AF101" s="87">
        <f t="shared" si="200"/>
        <v>3537.9691897734647</v>
      </c>
      <c r="AG101" s="87">
        <f t="shared" si="200"/>
        <v>3622.666013842656</v>
      </c>
      <c r="AH101" s="87">
        <f t="shared" si="200"/>
        <v>3626.4184195178004</v>
      </c>
      <c r="AI101" s="87">
        <f t="shared" si="200"/>
        <v>3713.2326641887207</v>
      </c>
      <c r="AJ101" s="87">
        <f t="shared" si="200"/>
        <v>3717.0788800057439</v>
      </c>
      <c r="AK101" s="87">
        <f t="shared" si="200"/>
        <v>3806.0634807934375</v>
      </c>
      <c r="AL101" s="87">
        <f t="shared" si="200"/>
        <v>3810.0058520058865</v>
      </c>
      <c r="AM101" s="87">
        <f t="shared" si="200"/>
        <v>3901.2150678132721</v>
      </c>
      <c r="AN101" s="87">
        <f t="shared" si="200"/>
        <v>3957.8278642265464</v>
      </c>
      <c r="AO101" s="87">
        <f t="shared" si="200"/>
        <v>4056.2283987369124</v>
      </c>
      <c r="AP101" s="87">
        <f t="shared" si="200"/>
        <v>4056.7735608322087</v>
      </c>
      <c r="AQ101" s="87">
        <f t="shared" si="200"/>
        <v>4157.6341087053343</v>
      </c>
      <c r="AR101" s="87">
        <f t="shared" si="200"/>
        <v>4158.1928998530129</v>
      </c>
      <c r="AS101" s="87">
        <f t="shared" si="200"/>
        <v>4261.5749614229671</v>
      </c>
      <c r="AT101" s="87">
        <f t="shared" si="200"/>
        <v>4262.1477223493366</v>
      </c>
      <c r="AU101" s="87">
        <f t="shared" si="200"/>
        <v>4368.1143354585383</v>
      </c>
      <c r="AV101" s="87">
        <f t="shared" si="200"/>
        <v>4368.7014154080689</v>
      </c>
      <c r="AW101" s="87">
        <f t="shared" si="200"/>
        <v>4477.3171938450023</v>
      </c>
      <c r="AX101" s="87">
        <f t="shared" si="200"/>
        <v>4559.4578638480243</v>
      </c>
      <c r="AY101" s="87">
        <f t="shared" si="200"/>
        <v>4676.6195136709675</v>
      </c>
      <c r="AZ101" s="87">
        <f t="shared" si="200"/>
        <v>4673.4443104442234</v>
      </c>
      <c r="BA101" s="87">
        <f t="shared" si="200"/>
        <v>4793.5350015127415</v>
      </c>
      <c r="BB101" s="87">
        <f t="shared" si="200"/>
        <v>4790.2804182053287</v>
      </c>
      <c r="BC101" s="87">
        <f t="shared" si="200"/>
        <v>4913.3733765505576</v>
      </c>
      <c r="BD101" s="87">
        <f t="shared" si="200"/>
        <v>4910.0374286604601</v>
      </c>
      <c r="BE101" s="87">
        <f t="shared" si="200"/>
        <v>5036.2077109643205</v>
      </c>
      <c r="BF101" s="87">
        <f t="shared" si="200"/>
        <v>5014.2173626503709</v>
      </c>
      <c r="BG101" s="87">
        <f t="shared" si="200"/>
        <v>5143.3111974925159</v>
      </c>
      <c r="BH101" s="87">
        <f t="shared" si="200"/>
        <v>5139.5727967166295</v>
      </c>
      <c r="BI101" s="87">
        <f t="shared" si="200"/>
        <v>5075.6725340634121</v>
      </c>
      <c r="BJ101" s="87">
        <f t="shared" si="200"/>
        <v>5447.2100282336041</v>
      </c>
      <c r="BK101" s="87">
        <f t="shared" si="200"/>
        <v>5182.8108047903861</v>
      </c>
      <c r="BL101" s="87">
        <f t="shared" si="200"/>
        <v>5583.3902789394433</v>
      </c>
      <c r="BM101" s="87">
        <f t="shared" si="200"/>
        <v>5312.3810749101431</v>
      </c>
      <c r="BN101" s="87">
        <f t="shared" si="200"/>
        <v>5722.9750359129284</v>
      </c>
      <c r="BO101" s="87">
        <f t="shared" si="200"/>
        <v>5445.1906017828969</v>
      </c>
      <c r="BP101" s="87">
        <f t="shared" si="200"/>
        <v>5866.0494118107508</v>
      </c>
      <c r="BQ101" s="87">
        <f t="shared" si="200"/>
        <v>5581.3203668274673</v>
      </c>
      <c r="BR101" s="87">
        <f t="shared" si="200"/>
        <v>5793.4182044824711</v>
      </c>
      <c r="BS101" s="87">
        <f t="shared" si="200"/>
        <v>5942.8599285681676</v>
      </c>
      <c r="BT101" s="87">
        <f t="shared" si="200"/>
        <v>6016.6871061943866</v>
      </c>
      <c r="BU101" s="87">
        <f t="shared" si="200"/>
        <v>6091.4314267823702</v>
      </c>
      <c r="BV101" s="87">
        <f t="shared" si="200"/>
        <v>6167.104283849244</v>
      </c>
      <c r="BW101" s="87">
        <f t="shared" ref="BW101:CA101" si="201" xml:space="preserve"> $F97 * $F98 * BW99 * BW100 / 1000</f>
        <v>0</v>
      </c>
      <c r="BX101" s="87">
        <f t="shared" si="201"/>
        <v>0</v>
      </c>
      <c r="BY101" s="87">
        <f t="shared" si="201"/>
        <v>0</v>
      </c>
      <c r="BZ101" s="87">
        <f t="shared" si="201"/>
        <v>0</v>
      </c>
      <c r="CA101" s="87">
        <f t="shared" si="201"/>
        <v>0</v>
      </c>
    </row>
    <row r="104" spans="1:79" s="219" customFormat="1" x14ac:dyDescent="0.2">
      <c r="A104" s="148" t="s">
        <v>62</v>
      </c>
      <c r="B104" s="148"/>
      <c r="C104" s="154"/>
      <c r="D104" s="218"/>
    </row>
    <row r="109" spans="1:79" x14ac:dyDescent="0.2">
      <c r="A109" s="81" t="s">
        <v>57</v>
      </c>
    </row>
    <row r="111" spans="1:79" x14ac:dyDescent="0.2">
      <c r="E111" s="87" t="str">
        <f xml:space="preserve"> E$92</f>
        <v>Passenger landing tax revenue</v>
      </c>
      <c r="F111" s="87">
        <f t="shared" ref="F111:BQ111" si="202" xml:space="preserve"> F$92</f>
        <v>0</v>
      </c>
      <c r="G111" s="87" t="str">
        <f t="shared" si="202"/>
        <v>€ 000s</v>
      </c>
      <c r="H111" s="87">
        <f t="shared" si="202"/>
        <v>2237857.3171809153</v>
      </c>
      <c r="I111" s="87">
        <f t="shared" si="202"/>
        <v>0</v>
      </c>
      <c r="J111" s="87">
        <f t="shared" si="202"/>
        <v>0</v>
      </c>
      <c r="K111" s="87">
        <f t="shared" si="202"/>
        <v>0</v>
      </c>
      <c r="L111" s="87">
        <f t="shared" si="202"/>
        <v>0</v>
      </c>
      <c r="M111" s="87">
        <f t="shared" si="202"/>
        <v>0</v>
      </c>
      <c r="N111" s="87">
        <f t="shared" si="202"/>
        <v>0</v>
      </c>
      <c r="O111" s="87">
        <f t="shared" si="202"/>
        <v>25391.034845312486</v>
      </c>
      <c r="P111" s="87">
        <f t="shared" si="202"/>
        <v>25962.727181468264</v>
      </c>
      <c r="Q111" s="87">
        <f t="shared" si="202"/>
        <v>26978.34201207029</v>
      </c>
      <c r="R111" s="87">
        <f t="shared" si="202"/>
        <v>24877.65082501404</v>
      </c>
      <c r="S111" s="87">
        <f t="shared" si="202"/>
        <v>25653.152446441381</v>
      </c>
      <c r="T111" s="87">
        <f t="shared" si="202"/>
        <v>25407.431174641868</v>
      </c>
      <c r="U111" s="87">
        <f t="shared" si="202"/>
        <v>26095.257242435564</v>
      </c>
      <c r="V111" s="87">
        <f t="shared" si="202"/>
        <v>26095.908212084025</v>
      </c>
      <c r="W111" s="87">
        <f t="shared" si="202"/>
        <v>26752.123787791381</v>
      </c>
      <c r="X111" s="87">
        <f t="shared" si="202"/>
        <v>27399.381113471904</v>
      </c>
      <c r="Y111" s="87">
        <f t="shared" si="202"/>
        <v>28029.385402645075</v>
      </c>
      <c r="Z111" s="87">
        <f t="shared" si="202"/>
        <v>27894.632312627818</v>
      </c>
      <c r="AA111" s="87">
        <f t="shared" si="202"/>
        <v>28538.029682897024</v>
      </c>
      <c r="AB111" s="87">
        <f t="shared" si="202"/>
        <v>28591.99812044351</v>
      </c>
      <c r="AC111" s="87">
        <f t="shared" si="202"/>
        <v>29251.480424969443</v>
      </c>
      <c r="AD111" s="87">
        <f t="shared" si="202"/>
        <v>29914.536238734992</v>
      </c>
      <c r="AE111" s="87">
        <f t="shared" si="202"/>
        <v>30630.671986962301</v>
      </c>
      <c r="AF111" s="87">
        <f t="shared" si="202"/>
        <v>30662.399644703357</v>
      </c>
      <c r="AG111" s="87">
        <f t="shared" si="202"/>
        <v>31396.43878663635</v>
      </c>
      <c r="AH111" s="87">
        <f t="shared" si="202"/>
        <v>31428.959635820935</v>
      </c>
      <c r="AI111" s="87">
        <f t="shared" si="202"/>
        <v>32181.349756302247</v>
      </c>
      <c r="AJ111" s="87">
        <f t="shared" si="202"/>
        <v>32214.683626716447</v>
      </c>
      <c r="AK111" s="87">
        <f t="shared" si="202"/>
        <v>32985.883500209791</v>
      </c>
      <c r="AL111" s="87">
        <f t="shared" si="202"/>
        <v>33020.050717384351</v>
      </c>
      <c r="AM111" s="87">
        <f t="shared" si="202"/>
        <v>33810.530587715031</v>
      </c>
      <c r="AN111" s="87">
        <f t="shared" si="202"/>
        <v>34301.174823296737</v>
      </c>
      <c r="AO111" s="87">
        <f t="shared" si="202"/>
        <v>35153.979455719913</v>
      </c>
      <c r="AP111" s="87">
        <f t="shared" si="202"/>
        <v>35158.704193879144</v>
      </c>
      <c r="AQ111" s="87">
        <f t="shared" si="202"/>
        <v>36032.828942112894</v>
      </c>
      <c r="AR111" s="87">
        <f t="shared" si="202"/>
        <v>36037.671798726107</v>
      </c>
      <c r="AS111" s="87">
        <f t="shared" si="202"/>
        <v>36933.649665665711</v>
      </c>
      <c r="AT111" s="87">
        <f t="shared" si="202"/>
        <v>36938.613593694252</v>
      </c>
      <c r="AU111" s="87">
        <f t="shared" si="202"/>
        <v>37856.990907307336</v>
      </c>
      <c r="AV111" s="87">
        <f t="shared" si="202"/>
        <v>37862.078933536599</v>
      </c>
      <c r="AW111" s="87">
        <f t="shared" si="202"/>
        <v>38803.415679990008</v>
      </c>
      <c r="AX111" s="87">
        <f t="shared" si="202"/>
        <v>39515.301486682874</v>
      </c>
      <c r="AY111" s="87">
        <f t="shared" si="202"/>
        <v>40530.702451815057</v>
      </c>
      <c r="AZ111" s="87">
        <f t="shared" si="202"/>
        <v>40503.184023849935</v>
      </c>
      <c r="BA111" s="87">
        <f t="shared" si="202"/>
        <v>41543.970013110425</v>
      </c>
      <c r="BB111" s="87">
        <f t="shared" si="202"/>
        <v>41515.763624446176</v>
      </c>
      <c r="BC111" s="87">
        <f t="shared" si="202"/>
        <v>42582.56926343817</v>
      </c>
      <c r="BD111" s="87">
        <f t="shared" si="202"/>
        <v>42553.657715057314</v>
      </c>
      <c r="BE111" s="87">
        <f t="shared" si="202"/>
        <v>43647.133495024107</v>
      </c>
      <c r="BF111" s="87">
        <f t="shared" si="202"/>
        <v>43456.550476303222</v>
      </c>
      <c r="BG111" s="87">
        <f t="shared" si="202"/>
        <v>44575.3637116018</v>
      </c>
      <c r="BH111" s="87">
        <f t="shared" si="202"/>
        <v>44542.964238210792</v>
      </c>
      <c r="BI111" s="87">
        <f t="shared" si="202"/>
        <v>43989.161961882906</v>
      </c>
      <c r="BJ111" s="87">
        <f t="shared" si="202"/>
        <v>47209.153578024576</v>
      </c>
      <c r="BK111" s="87">
        <f t="shared" si="202"/>
        <v>44917.693641516678</v>
      </c>
      <c r="BL111" s="87">
        <f t="shared" si="202"/>
        <v>48389.382417475186</v>
      </c>
      <c r="BM111" s="87">
        <f t="shared" si="202"/>
        <v>46040.635982554581</v>
      </c>
      <c r="BN111" s="87">
        <f t="shared" si="202"/>
        <v>49599.116977912046</v>
      </c>
      <c r="BO111" s="87">
        <f t="shared" si="202"/>
        <v>47191.651882118436</v>
      </c>
      <c r="BP111" s="87">
        <f t="shared" si="202"/>
        <v>50839.094902359837</v>
      </c>
      <c r="BQ111" s="87">
        <f t="shared" si="202"/>
        <v>48371.443179171387</v>
      </c>
      <c r="BR111" s="87">
        <f t="shared" ref="BR111:CA111" si="203" xml:space="preserve"> BR$92</f>
        <v>50209.624438848085</v>
      </c>
      <c r="BS111" s="87">
        <f t="shared" si="203"/>
        <v>51504.786047590787</v>
      </c>
      <c r="BT111" s="87">
        <f t="shared" si="203"/>
        <v>52144.621587018009</v>
      </c>
      <c r="BU111" s="87">
        <f t="shared" si="203"/>
        <v>52792.405698780545</v>
      </c>
      <c r="BV111" s="87">
        <f t="shared" si="203"/>
        <v>53448.23712669345</v>
      </c>
      <c r="BW111" s="87">
        <f t="shared" si="203"/>
        <v>0</v>
      </c>
      <c r="BX111" s="87">
        <f t="shared" si="203"/>
        <v>0</v>
      </c>
      <c r="BY111" s="87">
        <f t="shared" si="203"/>
        <v>0</v>
      </c>
      <c r="BZ111" s="87">
        <f t="shared" si="203"/>
        <v>0</v>
      </c>
      <c r="CA111" s="87">
        <f t="shared" si="203"/>
        <v>0</v>
      </c>
    </row>
    <row r="112" spans="1:79" s="90" customFormat="1" x14ac:dyDescent="0.2">
      <c r="A112" s="82"/>
      <c r="B112" s="82"/>
      <c r="C112" s="151"/>
      <c r="D112" s="89"/>
      <c r="E112" s="90" t="str">
        <f>E$101</f>
        <v>Retail revenue</v>
      </c>
      <c r="F112" s="90">
        <f t="shared" ref="F112:BQ112" si="204">F$101</f>
        <v>0</v>
      </c>
      <c r="G112" s="90" t="str">
        <f t="shared" si="204"/>
        <v>€ 000s</v>
      </c>
      <c r="H112" s="90">
        <f t="shared" si="204"/>
        <v>258214.30582856716</v>
      </c>
      <c r="I112" s="90">
        <f t="shared" si="204"/>
        <v>0</v>
      </c>
      <c r="J112" s="90">
        <f t="shared" si="204"/>
        <v>0</v>
      </c>
      <c r="K112" s="90">
        <f t="shared" si="204"/>
        <v>0</v>
      </c>
      <c r="L112" s="90">
        <f t="shared" si="204"/>
        <v>0</v>
      </c>
      <c r="M112" s="90">
        <f t="shared" si="204"/>
        <v>0</v>
      </c>
      <c r="N112" s="90">
        <f t="shared" si="204"/>
        <v>0</v>
      </c>
      <c r="O112" s="90">
        <f t="shared" si="204"/>
        <v>2929.7347898437483</v>
      </c>
      <c r="P112" s="90">
        <f t="shared" si="204"/>
        <v>2995.6992901694148</v>
      </c>
      <c r="Q112" s="90">
        <f t="shared" si="204"/>
        <v>3112.8856167773415</v>
      </c>
      <c r="R112" s="90">
        <f t="shared" si="204"/>
        <v>2870.4981721170047</v>
      </c>
      <c r="S112" s="90">
        <f t="shared" si="204"/>
        <v>2959.9791284355438</v>
      </c>
      <c r="T112" s="90">
        <f t="shared" si="204"/>
        <v>2931.6266739971384</v>
      </c>
      <c r="U112" s="90">
        <f t="shared" si="204"/>
        <v>3010.9912202810265</v>
      </c>
      <c r="V112" s="90">
        <f t="shared" si="204"/>
        <v>3011.0663321635416</v>
      </c>
      <c r="W112" s="90">
        <f t="shared" si="204"/>
        <v>3086.7835139759291</v>
      </c>
      <c r="X112" s="90">
        <f t="shared" si="204"/>
        <v>3161.4670515544503</v>
      </c>
      <c r="Y112" s="90">
        <f t="shared" si="204"/>
        <v>3234.1598541513545</v>
      </c>
      <c r="Z112" s="90">
        <f t="shared" si="204"/>
        <v>3218.6114206878251</v>
      </c>
      <c r="AA112" s="90">
        <f t="shared" si="204"/>
        <v>3292.8495787958109</v>
      </c>
      <c r="AB112" s="90">
        <f t="shared" si="204"/>
        <v>3299.0767062050199</v>
      </c>
      <c r="AC112" s="90">
        <f t="shared" si="204"/>
        <v>3375.1708182657048</v>
      </c>
      <c r="AD112" s="90">
        <f t="shared" si="204"/>
        <v>3451.6772583155762</v>
      </c>
      <c r="AE112" s="90">
        <f t="shared" si="204"/>
        <v>3534.3083061879579</v>
      </c>
      <c r="AF112" s="90">
        <f t="shared" si="204"/>
        <v>3537.9691897734647</v>
      </c>
      <c r="AG112" s="90">
        <f t="shared" si="204"/>
        <v>3622.666013842656</v>
      </c>
      <c r="AH112" s="90">
        <f t="shared" si="204"/>
        <v>3626.4184195178004</v>
      </c>
      <c r="AI112" s="90">
        <f t="shared" si="204"/>
        <v>3713.2326641887207</v>
      </c>
      <c r="AJ112" s="90">
        <f t="shared" si="204"/>
        <v>3717.0788800057439</v>
      </c>
      <c r="AK112" s="90">
        <f t="shared" si="204"/>
        <v>3806.0634807934375</v>
      </c>
      <c r="AL112" s="90">
        <f t="shared" si="204"/>
        <v>3810.0058520058865</v>
      </c>
      <c r="AM112" s="90">
        <f t="shared" si="204"/>
        <v>3901.2150678132721</v>
      </c>
      <c r="AN112" s="90">
        <f t="shared" si="204"/>
        <v>3957.8278642265464</v>
      </c>
      <c r="AO112" s="90">
        <f t="shared" si="204"/>
        <v>4056.2283987369124</v>
      </c>
      <c r="AP112" s="90">
        <f t="shared" si="204"/>
        <v>4056.7735608322087</v>
      </c>
      <c r="AQ112" s="90">
        <f t="shared" si="204"/>
        <v>4157.6341087053343</v>
      </c>
      <c r="AR112" s="90">
        <f t="shared" si="204"/>
        <v>4158.1928998530129</v>
      </c>
      <c r="AS112" s="90">
        <f t="shared" si="204"/>
        <v>4261.5749614229671</v>
      </c>
      <c r="AT112" s="90">
        <f t="shared" si="204"/>
        <v>4262.1477223493366</v>
      </c>
      <c r="AU112" s="90">
        <f t="shared" si="204"/>
        <v>4368.1143354585383</v>
      </c>
      <c r="AV112" s="90">
        <f t="shared" si="204"/>
        <v>4368.7014154080689</v>
      </c>
      <c r="AW112" s="90">
        <f t="shared" si="204"/>
        <v>4477.3171938450023</v>
      </c>
      <c r="AX112" s="90">
        <f t="shared" si="204"/>
        <v>4559.4578638480243</v>
      </c>
      <c r="AY112" s="90">
        <f t="shared" si="204"/>
        <v>4676.6195136709675</v>
      </c>
      <c r="AZ112" s="90">
        <f t="shared" si="204"/>
        <v>4673.4443104442234</v>
      </c>
      <c r="BA112" s="90">
        <f t="shared" si="204"/>
        <v>4793.5350015127415</v>
      </c>
      <c r="BB112" s="90">
        <f t="shared" si="204"/>
        <v>4790.2804182053287</v>
      </c>
      <c r="BC112" s="90">
        <f t="shared" si="204"/>
        <v>4913.3733765505576</v>
      </c>
      <c r="BD112" s="90">
        <f t="shared" si="204"/>
        <v>4910.0374286604601</v>
      </c>
      <c r="BE112" s="90">
        <f t="shared" si="204"/>
        <v>5036.2077109643205</v>
      </c>
      <c r="BF112" s="90">
        <f t="shared" si="204"/>
        <v>5014.2173626503709</v>
      </c>
      <c r="BG112" s="90">
        <f t="shared" si="204"/>
        <v>5143.3111974925159</v>
      </c>
      <c r="BH112" s="90">
        <f t="shared" si="204"/>
        <v>5139.5727967166295</v>
      </c>
      <c r="BI112" s="90">
        <f t="shared" si="204"/>
        <v>5075.6725340634121</v>
      </c>
      <c r="BJ112" s="90">
        <f t="shared" si="204"/>
        <v>5447.2100282336041</v>
      </c>
      <c r="BK112" s="90">
        <f t="shared" si="204"/>
        <v>5182.8108047903861</v>
      </c>
      <c r="BL112" s="90">
        <f t="shared" si="204"/>
        <v>5583.3902789394433</v>
      </c>
      <c r="BM112" s="90">
        <f t="shared" si="204"/>
        <v>5312.3810749101431</v>
      </c>
      <c r="BN112" s="90">
        <f t="shared" si="204"/>
        <v>5722.9750359129284</v>
      </c>
      <c r="BO112" s="90">
        <f t="shared" si="204"/>
        <v>5445.1906017828969</v>
      </c>
      <c r="BP112" s="90">
        <f t="shared" si="204"/>
        <v>5866.0494118107508</v>
      </c>
      <c r="BQ112" s="90">
        <f t="shared" si="204"/>
        <v>5581.3203668274673</v>
      </c>
      <c r="BR112" s="90">
        <f t="shared" ref="BR112:CA112" si="205">BR$101</f>
        <v>5793.4182044824711</v>
      </c>
      <c r="BS112" s="90">
        <f t="shared" si="205"/>
        <v>5942.8599285681676</v>
      </c>
      <c r="BT112" s="90">
        <f t="shared" si="205"/>
        <v>6016.6871061943866</v>
      </c>
      <c r="BU112" s="90">
        <f t="shared" si="205"/>
        <v>6091.4314267823702</v>
      </c>
      <c r="BV112" s="90">
        <f t="shared" si="205"/>
        <v>6167.104283849244</v>
      </c>
      <c r="BW112" s="90">
        <f t="shared" si="205"/>
        <v>0</v>
      </c>
      <c r="BX112" s="90">
        <f t="shared" si="205"/>
        <v>0</v>
      </c>
      <c r="BY112" s="90">
        <f t="shared" si="205"/>
        <v>0</v>
      </c>
      <c r="BZ112" s="90">
        <f t="shared" si="205"/>
        <v>0</v>
      </c>
      <c r="CA112" s="90">
        <f t="shared" si="205"/>
        <v>0</v>
      </c>
    </row>
    <row r="113" spans="1:79" s="219" customFormat="1" x14ac:dyDescent="0.2">
      <c r="A113" s="148"/>
      <c r="B113" s="148"/>
      <c r="C113" s="154"/>
      <c r="D113" s="218"/>
      <c r="E113" s="219" t="s">
        <v>84</v>
      </c>
      <c r="G113" s="219" t="str">
        <f xml:space="preserve"> SMU</f>
        <v>€ 000s</v>
      </c>
    </row>
    <row r="114" spans="1:79" s="140" customFormat="1" x14ac:dyDescent="0.2">
      <c r="A114" s="137"/>
      <c r="B114" s="145"/>
      <c r="C114" s="146"/>
      <c r="D114" s="139"/>
      <c r="E114" s="140" t="s">
        <v>85</v>
      </c>
      <c r="G114" s="140" t="str">
        <f xml:space="preserve"> SMU</f>
        <v>€ 000s</v>
      </c>
      <c r="H114" s="140">
        <f>SUM(J114:CA114)</f>
        <v>2496071.6230094829</v>
      </c>
      <c r="J114" s="140">
        <f>SUM(J111:J113)</f>
        <v>0</v>
      </c>
      <c r="K114" s="140">
        <f t="shared" ref="K114:BV114" si="206">SUM(K111:K113)</f>
        <v>0</v>
      </c>
      <c r="L114" s="140">
        <f t="shared" si="206"/>
        <v>0</v>
      </c>
      <c r="M114" s="140">
        <f t="shared" si="206"/>
        <v>0</v>
      </c>
      <c r="N114" s="140">
        <f t="shared" si="206"/>
        <v>0</v>
      </c>
      <c r="O114" s="140">
        <f t="shared" si="206"/>
        <v>28320.769635156234</v>
      </c>
      <c r="P114" s="140">
        <f t="shared" si="206"/>
        <v>28958.426471637678</v>
      </c>
      <c r="Q114" s="140">
        <f t="shared" si="206"/>
        <v>30091.227628847631</v>
      </c>
      <c r="R114" s="140">
        <f t="shared" si="206"/>
        <v>27748.148997131044</v>
      </c>
      <c r="S114" s="140">
        <f t="shared" si="206"/>
        <v>28613.131574876927</v>
      </c>
      <c r="T114" s="140">
        <f t="shared" si="206"/>
        <v>28339.057848639008</v>
      </c>
      <c r="U114" s="140">
        <f t="shared" si="206"/>
        <v>29106.24846271659</v>
      </c>
      <c r="V114" s="140">
        <f t="shared" si="206"/>
        <v>29106.974544247565</v>
      </c>
      <c r="W114" s="140">
        <f t="shared" si="206"/>
        <v>29838.907301767311</v>
      </c>
      <c r="X114" s="140">
        <f t="shared" si="206"/>
        <v>30560.848165026353</v>
      </c>
      <c r="Y114" s="140">
        <f t="shared" si="206"/>
        <v>31263.545256796431</v>
      </c>
      <c r="Z114" s="140">
        <f t="shared" si="206"/>
        <v>31113.243733315645</v>
      </c>
      <c r="AA114" s="140">
        <f t="shared" si="206"/>
        <v>31830.879261692833</v>
      </c>
      <c r="AB114" s="140">
        <f t="shared" si="206"/>
        <v>31891.074826648532</v>
      </c>
      <c r="AC114" s="140">
        <f t="shared" si="206"/>
        <v>32626.651243235148</v>
      </c>
      <c r="AD114" s="140">
        <f t="shared" si="206"/>
        <v>33366.213497050572</v>
      </c>
      <c r="AE114" s="140">
        <f t="shared" si="206"/>
        <v>34164.980293150256</v>
      </c>
      <c r="AF114" s="140">
        <f t="shared" si="206"/>
        <v>34200.368834476823</v>
      </c>
      <c r="AG114" s="140">
        <f t="shared" si="206"/>
        <v>35019.104800479006</v>
      </c>
      <c r="AH114" s="140">
        <f t="shared" si="206"/>
        <v>35055.378055338733</v>
      </c>
      <c r="AI114" s="140">
        <f t="shared" si="206"/>
        <v>35894.582420490966</v>
      </c>
      <c r="AJ114" s="140">
        <f t="shared" si="206"/>
        <v>35931.762506722189</v>
      </c>
      <c r="AK114" s="140">
        <f t="shared" si="206"/>
        <v>36791.946981003231</v>
      </c>
      <c r="AL114" s="140">
        <f t="shared" si="206"/>
        <v>36830.056569390239</v>
      </c>
      <c r="AM114" s="140">
        <f t="shared" si="206"/>
        <v>37711.745655528306</v>
      </c>
      <c r="AN114" s="140">
        <f t="shared" si="206"/>
        <v>38259.00268752328</v>
      </c>
      <c r="AO114" s="140">
        <f t="shared" si="206"/>
        <v>39210.207854456828</v>
      </c>
      <c r="AP114" s="140">
        <f t="shared" si="206"/>
        <v>39215.477754711355</v>
      </c>
      <c r="AQ114" s="140">
        <f t="shared" si="206"/>
        <v>40190.463050818231</v>
      </c>
      <c r="AR114" s="140">
        <f t="shared" si="206"/>
        <v>40195.86469857912</v>
      </c>
      <c r="AS114" s="140">
        <f t="shared" si="206"/>
        <v>41195.224627088675</v>
      </c>
      <c r="AT114" s="140">
        <f t="shared" si="206"/>
        <v>41200.761316043587</v>
      </c>
      <c r="AU114" s="140">
        <f t="shared" si="206"/>
        <v>42225.105242765872</v>
      </c>
      <c r="AV114" s="140">
        <f t="shared" si="206"/>
        <v>42230.780348944667</v>
      </c>
      <c r="AW114" s="140">
        <f t="shared" si="206"/>
        <v>43280.732873835012</v>
      </c>
      <c r="AX114" s="140">
        <f t="shared" si="206"/>
        <v>44074.759350530898</v>
      </c>
      <c r="AY114" s="140">
        <f t="shared" si="206"/>
        <v>45207.321965486022</v>
      </c>
      <c r="AZ114" s="140">
        <f t="shared" si="206"/>
        <v>45176.628334294161</v>
      </c>
      <c r="BA114" s="140">
        <f t="shared" si="206"/>
        <v>46337.505014623166</v>
      </c>
      <c r="BB114" s="140">
        <f t="shared" si="206"/>
        <v>46306.044042651505</v>
      </c>
      <c r="BC114" s="140">
        <f t="shared" si="206"/>
        <v>47495.942639988731</v>
      </c>
      <c r="BD114" s="140">
        <f t="shared" si="206"/>
        <v>47463.695143717778</v>
      </c>
      <c r="BE114" s="140">
        <f t="shared" si="206"/>
        <v>48683.341205988429</v>
      </c>
      <c r="BF114" s="140">
        <f t="shared" si="206"/>
        <v>48470.767838953594</v>
      </c>
      <c r="BG114" s="140">
        <f t="shared" si="206"/>
        <v>49718.674909094319</v>
      </c>
      <c r="BH114" s="140">
        <f t="shared" si="206"/>
        <v>49682.537034927424</v>
      </c>
      <c r="BI114" s="140">
        <f t="shared" si="206"/>
        <v>49064.834495946321</v>
      </c>
      <c r="BJ114" s="140">
        <f t="shared" si="206"/>
        <v>52656.363606258179</v>
      </c>
      <c r="BK114" s="140">
        <f t="shared" si="206"/>
        <v>50100.504446307066</v>
      </c>
      <c r="BL114" s="140">
        <f t="shared" si="206"/>
        <v>53972.772696414628</v>
      </c>
      <c r="BM114" s="140">
        <f t="shared" si="206"/>
        <v>51353.01705746472</v>
      </c>
      <c r="BN114" s="140">
        <f t="shared" si="206"/>
        <v>55322.092013824978</v>
      </c>
      <c r="BO114" s="140">
        <f t="shared" si="206"/>
        <v>52636.842483901331</v>
      </c>
      <c r="BP114" s="140">
        <f t="shared" si="206"/>
        <v>56705.144314170589</v>
      </c>
      <c r="BQ114" s="140">
        <f t="shared" si="206"/>
        <v>53952.763545998852</v>
      </c>
      <c r="BR114" s="140">
        <f t="shared" si="206"/>
        <v>56003.042643330555</v>
      </c>
      <c r="BS114" s="140">
        <f t="shared" si="206"/>
        <v>57447.645976158958</v>
      </c>
      <c r="BT114" s="140">
        <f t="shared" si="206"/>
        <v>58161.308693212399</v>
      </c>
      <c r="BU114" s="140">
        <f t="shared" si="206"/>
        <v>58883.837125562917</v>
      </c>
      <c r="BV114" s="140">
        <f t="shared" si="206"/>
        <v>59615.341410542693</v>
      </c>
      <c r="BW114" s="140">
        <f t="shared" ref="BW114:CA114" si="207">SUM(BW111:BW113)</f>
        <v>0</v>
      </c>
      <c r="BX114" s="140">
        <f t="shared" si="207"/>
        <v>0</v>
      </c>
      <c r="BY114" s="140">
        <f t="shared" si="207"/>
        <v>0</v>
      </c>
      <c r="BZ114" s="140">
        <f t="shared" si="207"/>
        <v>0</v>
      </c>
      <c r="CA114" s="140">
        <f t="shared" si="207"/>
        <v>0</v>
      </c>
    </row>
  </sheetData>
  <phoneticPr fontId="2" type="noConversion"/>
  <printOptions heading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&amp;L&amp;"Arial,Bold"&amp;14Financial Mechanics Training Model&amp;C&amp;"Arial,Bold"&amp;14Sheet: &amp;A&amp;R&amp;"Arial,Bold"&amp;14STRICTLY NOT CONFIDENTIAL</oddHeader>
    <oddFooter>&amp;L&amp;12&amp;F (Printed on &amp;D at &amp;T) &amp;C&amp;12Page &amp;P of &amp;N&amp;R&amp;12© 2008 Financial Mechanics Ltd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34"/>
  <sheetViews>
    <sheetView defaultGridColor="0" colorId="22" workbookViewId="0">
      <pane xSplit="6" ySplit="4" topLeftCell="G5" activePane="bottomRight" state="frozen"/>
      <selection activeCell="G5" sqref="G5"/>
      <selection pane="topRight" activeCell="G5" sqref="G5"/>
      <selection pane="bottomLeft" activeCell="G5" sqref="G5"/>
      <selection pane="bottomRight" activeCell="G5" sqref="G5"/>
    </sheetView>
  </sheetViews>
  <sheetFormatPr defaultColWidth="0" defaultRowHeight="12.75" x14ac:dyDescent="0.2"/>
  <cols>
    <col min="1" max="1" width="1.28515625" style="81" customWidth="1"/>
    <col min="2" max="2" width="1.28515625" style="82" customWidth="1"/>
    <col min="3" max="3" width="1.28515625" style="83" customWidth="1"/>
    <col min="4" max="4" width="1.28515625" style="84" customWidth="1"/>
    <col min="5" max="5" width="40.7109375" style="85" customWidth="1"/>
    <col min="6" max="6" width="12.7109375" style="85" customWidth="1"/>
    <col min="7" max="8" width="11.7109375" style="85" customWidth="1"/>
    <col min="9" max="9" width="2.7109375" style="85" customWidth="1"/>
    <col min="10" max="79" width="11.7109375" style="85" customWidth="1"/>
    <col min="80" max="16384" width="0" style="85" hidden="1"/>
  </cols>
  <sheetData>
    <row r="1" spans="1:79" s="72" customFormat="1" x14ac:dyDescent="0.2">
      <c r="A1" s="69" t="str">
        <f ca="1" xml:space="preserve"> RIGHT(CELL("filename", A1), LEN(CELL("filename", A1)) - SEARCH("]", CELL("filename", A1)))</f>
        <v>Opex</v>
      </c>
      <c r="B1" s="69"/>
      <c r="C1" s="70"/>
      <c r="D1" s="71"/>
      <c r="F1" s="73"/>
      <c r="G1" s="73"/>
      <c r="H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</row>
    <row r="2" spans="1:79" s="74" customFormat="1" x14ac:dyDescent="0.2">
      <c r="A2" s="75"/>
      <c r="B2" s="75"/>
      <c r="C2" s="107"/>
      <c r="D2" s="77"/>
      <c r="E2" s="74" t="str">
        <f xml:space="preserve"> 'T&amp;E'!E$24</f>
        <v>Operating period flag</v>
      </c>
      <c r="F2" s="74">
        <f xml:space="preserve"> 'T&amp;E'!F$24</f>
        <v>0</v>
      </c>
      <c r="G2" s="74" t="str">
        <f xml:space="preserve"> 'T&amp;E'!G$24</f>
        <v>flag</v>
      </c>
      <c r="H2" s="74">
        <f xml:space="preserve"> 'T&amp;E'!H$24</f>
        <v>60</v>
      </c>
      <c r="I2" s="74">
        <f xml:space="preserve"> 'T&amp;E'!I$24</f>
        <v>0</v>
      </c>
      <c r="J2" s="74">
        <f xml:space="preserve"> 'T&amp;E'!J$24</f>
        <v>0</v>
      </c>
      <c r="K2" s="74">
        <f xml:space="preserve"> 'T&amp;E'!K$24</f>
        <v>0</v>
      </c>
      <c r="L2" s="74">
        <f xml:space="preserve"> 'T&amp;E'!L$24</f>
        <v>0</v>
      </c>
      <c r="M2" s="74">
        <f xml:space="preserve"> 'T&amp;E'!M$24</f>
        <v>0</v>
      </c>
      <c r="N2" s="74">
        <f xml:space="preserve"> 'T&amp;E'!N$24</f>
        <v>0</v>
      </c>
      <c r="O2" s="74">
        <f xml:space="preserve"> 'T&amp;E'!O$24</f>
        <v>1</v>
      </c>
      <c r="P2" s="74">
        <f xml:space="preserve"> 'T&amp;E'!P$24</f>
        <v>1</v>
      </c>
      <c r="Q2" s="74">
        <f xml:space="preserve"> 'T&amp;E'!Q$24</f>
        <v>1</v>
      </c>
      <c r="R2" s="74">
        <f xml:space="preserve"> 'T&amp;E'!R$24</f>
        <v>1</v>
      </c>
      <c r="S2" s="74">
        <f xml:space="preserve"> 'T&amp;E'!S$24</f>
        <v>1</v>
      </c>
      <c r="T2" s="74">
        <f xml:space="preserve"> 'T&amp;E'!T$24</f>
        <v>1</v>
      </c>
      <c r="U2" s="74">
        <f xml:space="preserve"> 'T&amp;E'!U$24</f>
        <v>1</v>
      </c>
      <c r="V2" s="74">
        <f xml:space="preserve"> 'T&amp;E'!V$24</f>
        <v>1</v>
      </c>
      <c r="W2" s="74">
        <f xml:space="preserve"> 'T&amp;E'!W$24</f>
        <v>1</v>
      </c>
      <c r="X2" s="74">
        <f xml:space="preserve"> 'T&amp;E'!X$24</f>
        <v>1</v>
      </c>
      <c r="Y2" s="74">
        <f xml:space="preserve"> 'T&amp;E'!Y$24</f>
        <v>1</v>
      </c>
      <c r="Z2" s="74">
        <f xml:space="preserve"> 'T&amp;E'!Z$24</f>
        <v>1</v>
      </c>
      <c r="AA2" s="74">
        <f xml:space="preserve"> 'T&amp;E'!AA$24</f>
        <v>1</v>
      </c>
      <c r="AB2" s="74">
        <f xml:space="preserve"> 'T&amp;E'!AB$24</f>
        <v>1</v>
      </c>
      <c r="AC2" s="74">
        <f xml:space="preserve"> 'T&amp;E'!AC$24</f>
        <v>1</v>
      </c>
      <c r="AD2" s="74">
        <f xml:space="preserve"> 'T&amp;E'!AD$24</f>
        <v>1</v>
      </c>
      <c r="AE2" s="74">
        <f xml:space="preserve"> 'T&amp;E'!AE$24</f>
        <v>1</v>
      </c>
      <c r="AF2" s="74">
        <f xml:space="preserve"> 'T&amp;E'!AF$24</f>
        <v>1</v>
      </c>
      <c r="AG2" s="74">
        <f xml:space="preserve"> 'T&amp;E'!AG$24</f>
        <v>1</v>
      </c>
      <c r="AH2" s="74">
        <f xml:space="preserve"> 'T&amp;E'!AH$24</f>
        <v>1</v>
      </c>
      <c r="AI2" s="74">
        <f xml:space="preserve"> 'T&amp;E'!AI$24</f>
        <v>1</v>
      </c>
      <c r="AJ2" s="74">
        <f xml:space="preserve"> 'T&amp;E'!AJ$24</f>
        <v>1</v>
      </c>
      <c r="AK2" s="74">
        <f xml:space="preserve"> 'T&amp;E'!AK$24</f>
        <v>1</v>
      </c>
      <c r="AL2" s="74">
        <f xml:space="preserve"> 'T&amp;E'!AL$24</f>
        <v>1</v>
      </c>
      <c r="AM2" s="74">
        <f xml:space="preserve"> 'T&amp;E'!AM$24</f>
        <v>1</v>
      </c>
      <c r="AN2" s="74">
        <f xml:space="preserve"> 'T&amp;E'!AN$24</f>
        <v>1</v>
      </c>
      <c r="AO2" s="74">
        <f xml:space="preserve"> 'T&amp;E'!AO$24</f>
        <v>1</v>
      </c>
      <c r="AP2" s="74">
        <f xml:space="preserve"> 'T&amp;E'!AP$24</f>
        <v>1</v>
      </c>
      <c r="AQ2" s="74">
        <f xml:space="preserve"> 'T&amp;E'!AQ$24</f>
        <v>1</v>
      </c>
      <c r="AR2" s="74">
        <f xml:space="preserve"> 'T&amp;E'!AR$24</f>
        <v>1</v>
      </c>
      <c r="AS2" s="74">
        <f xml:space="preserve"> 'T&amp;E'!AS$24</f>
        <v>1</v>
      </c>
      <c r="AT2" s="74">
        <f xml:space="preserve"> 'T&amp;E'!AT$24</f>
        <v>1</v>
      </c>
      <c r="AU2" s="74">
        <f xml:space="preserve"> 'T&amp;E'!AU$24</f>
        <v>1</v>
      </c>
      <c r="AV2" s="74">
        <f xml:space="preserve"> 'T&amp;E'!AV$24</f>
        <v>1</v>
      </c>
      <c r="AW2" s="74">
        <f xml:space="preserve"> 'T&amp;E'!AW$24</f>
        <v>1</v>
      </c>
      <c r="AX2" s="74">
        <f xml:space="preserve"> 'T&amp;E'!AX$24</f>
        <v>1</v>
      </c>
      <c r="AY2" s="74">
        <f xml:space="preserve"> 'T&amp;E'!AY$24</f>
        <v>1</v>
      </c>
      <c r="AZ2" s="74">
        <f xml:space="preserve"> 'T&amp;E'!AZ$24</f>
        <v>1</v>
      </c>
      <c r="BA2" s="74">
        <f xml:space="preserve"> 'T&amp;E'!BA$24</f>
        <v>1</v>
      </c>
      <c r="BB2" s="74">
        <f xml:space="preserve"> 'T&amp;E'!BB$24</f>
        <v>1</v>
      </c>
      <c r="BC2" s="74">
        <f xml:space="preserve"> 'T&amp;E'!BC$24</f>
        <v>1</v>
      </c>
      <c r="BD2" s="74">
        <f xml:space="preserve"> 'T&amp;E'!BD$24</f>
        <v>1</v>
      </c>
      <c r="BE2" s="74">
        <f xml:space="preserve"> 'T&amp;E'!BE$24</f>
        <v>1</v>
      </c>
      <c r="BF2" s="74">
        <f xml:space="preserve"> 'T&amp;E'!BF$24</f>
        <v>1</v>
      </c>
      <c r="BG2" s="74">
        <f xml:space="preserve"> 'T&amp;E'!BG$24</f>
        <v>1</v>
      </c>
      <c r="BH2" s="74">
        <f xml:space="preserve"> 'T&amp;E'!BH$24</f>
        <v>1</v>
      </c>
      <c r="BI2" s="74">
        <f xml:space="preserve"> 'T&amp;E'!BI$24</f>
        <v>1</v>
      </c>
      <c r="BJ2" s="74">
        <f xml:space="preserve"> 'T&amp;E'!BJ$24</f>
        <v>1</v>
      </c>
      <c r="BK2" s="74">
        <f xml:space="preserve"> 'T&amp;E'!BK$24</f>
        <v>1</v>
      </c>
      <c r="BL2" s="74">
        <f xml:space="preserve"> 'T&amp;E'!BL$24</f>
        <v>1</v>
      </c>
      <c r="BM2" s="74">
        <f xml:space="preserve"> 'T&amp;E'!BM$24</f>
        <v>1</v>
      </c>
      <c r="BN2" s="74">
        <f xml:space="preserve"> 'T&amp;E'!BN$24</f>
        <v>1</v>
      </c>
      <c r="BO2" s="74">
        <f xml:space="preserve"> 'T&amp;E'!BO$24</f>
        <v>1</v>
      </c>
      <c r="BP2" s="74">
        <f xml:space="preserve"> 'T&amp;E'!BP$24</f>
        <v>1</v>
      </c>
      <c r="BQ2" s="74">
        <f xml:space="preserve"> 'T&amp;E'!BQ$24</f>
        <v>1</v>
      </c>
      <c r="BR2" s="74">
        <f xml:space="preserve"> 'T&amp;E'!BR$24</f>
        <v>1</v>
      </c>
      <c r="BS2" s="74">
        <f xml:space="preserve"> 'T&amp;E'!BS$24</f>
        <v>1</v>
      </c>
      <c r="BT2" s="74">
        <f xml:space="preserve"> 'T&amp;E'!BT$24</f>
        <v>1</v>
      </c>
      <c r="BU2" s="74">
        <f xml:space="preserve"> 'T&amp;E'!BU$24</f>
        <v>1</v>
      </c>
      <c r="BV2" s="74">
        <f xml:space="preserve"> 'T&amp;E'!BV$24</f>
        <v>1</v>
      </c>
      <c r="BW2" s="74">
        <f xml:space="preserve"> 'T&amp;E'!BW$24</f>
        <v>0</v>
      </c>
      <c r="BX2" s="74">
        <f xml:space="preserve"> 'T&amp;E'!BX$24</f>
        <v>0</v>
      </c>
      <c r="BY2" s="74">
        <f xml:space="preserve"> 'T&amp;E'!BY$24</f>
        <v>0</v>
      </c>
      <c r="BZ2" s="74">
        <f xml:space="preserve"> 'T&amp;E'!BZ$24</f>
        <v>0</v>
      </c>
      <c r="CA2" s="74">
        <f xml:space="preserve"> 'T&amp;E'!CA$24</f>
        <v>0</v>
      </c>
    </row>
    <row r="3" spans="1:79" s="74" customFormat="1" x14ac:dyDescent="0.2">
      <c r="A3" s="75"/>
      <c r="B3" s="75"/>
      <c r="C3" s="107"/>
      <c r="D3" s="77"/>
      <c r="E3" s="74" t="str">
        <f>'T&amp;E'!E$8</f>
        <v>Model column counter</v>
      </c>
      <c r="F3" s="74">
        <f>'T&amp;E'!F$8</f>
        <v>0</v>
      </c>
      <c r="G3" s="74">
        <f>'T&amp;E'!G$8</f>
        <v>0</v>
      </c>
      <c r="H3" s="74">
        <f>'T&amp;E'!H$8</f>
        <v>0</v>
      </c>
      <c r="I3" s="74">
        <f>'T&amp;E'!I$8</f>
        <v>0</v>
      </c>
      <c r="J3" s="74">
        <f>'T&amp;E'!J$8</f>
        <v>1</v>
      </c>
      <c r="K3" s="74">
        <f>'T&amp;E'!K$8</f>
        <v>2</v>
      </c>
      <c r="L3" s="74">
        <f>'T&amp;E'!L$8</f>
        <v>3</v>
      </c>
      <c r="M3" s="74">
        <f>'T&amp;E'!M$8</f>
        <v>4</v>
      </c>
      <c r="N3" s="74">
        <f>'T&amp;E'!N$8</f>
        <v>5</v>
      </c>
      <c r="O3" s="74">
        <f>'T&amp;E'!O$8</f>
        <v>6</v>
      </c>
      <c r="P3" s="74">
        <f>'T&amp;E'!P$8</f>
        <v>7</v>
      </c>
      <c r="Q3" s="74">
        <f>'T&amp;E'!Q$8</f>
        <v>8</v>
      </c>
      <c r="R3" s="74">
        <f>'T&amp;E'!R$8</f>
        <v>9</v>
      </c>
      <c r="S3" s="74">
        <f>'T&amp;E'!S$8</f>
        <v>10</v>
      </c>
      <c r="T3" s="74">
        <f>'T&amp;E'!T$8</f>
        <v>11</v>
      </c>
      <c r="U3" s="74">
        <f>'T&amp;E'!U$8</f>
        <v>12</v>
      </c>
      <c r="V3" s="74">
        <f>'T&amp;E'!V$8</f>
        <v>13</v>
      </c>
      <c r="W3" s="74">
        <f>'T&amp;E'!W$8</f>
        <v>14</v>
      </c>
      <c r="X3" s="74">
        <f>'T&amp;E'!X$8</f>
        <v>15</v>
      </c>
      <c r="Y3" s="74">
        <f>'T&amp;E'!Y$8</f>
        <v>16</v>
      </c>
      <c r="Z3" s="74">
        <f>'T&amp;E'!Z$8</f>
        <v>17</v>
      </c>
      <c r="AA3" s="74">
        <f>'T&amp;E'!AA$8</f>
        <v>18</v>
      </c>
      <c r="AB3" s="74">
        <f>'T&amp;E'!AB$8</f>
        <v>19</v>
      </c>
      <c r="AC3" s="74">
        <f>'T&amp;E'!AC$8</f>
        <v>20</v>
      </c>
      <c r="AD3" s="74">
        <f>'T&amp;E'!AD$8</f>
        <v>21</v>
      </c>
      <c r="AE3" s="74">
        <f>'T&amp;E'!AE$8</f>
        <v>22</v>
      </c>
      <c r="AF3" s="74">
        <f>'T&amp;E'!AF$8</f>
        <v>23</v>
      </c>
      <c r="AG3" s="74">
        <f>'T&amp;E'!AG$8</f>
        <v>24</v>
      </c>
      <c r="AH3" s="74">
        <f>'T&amp;E'!AH$8</f>
        <v>25</v>
      </c>
      <c r="AI3" s="74">
        <f>'T&amp;E'!AI$8</f>
        <v>26</v>
      </c>
      <c r="AJ3" s="74">
        <f>'T&amp;E'!AJ$8</f>
        <v>27</v>
      </c>
      <c r="AK3" s="74">
        <f>'T&amp;E'!AK$8</f>
        <v>28</v>
      </c>
      <c r="AL3" s="74">
        <f>'T&amp;E'!AL$8</f>
        <v>29</v>
      </c>
      <c r="AM3" s="74">
        <f>'T&amp;E'!AM$8</f>
        <v>30</v>
      </c>
      <c r="AN3" s="74">
        <f>'T&amp;E'!AN$8</f>
        <v>31</v>
      </c>
      <c r="AO3" s="74">
        <f>'T&amp;E'!AO$8</f>
        <v>32</v>
      </c>
      <c r="AP3" s="74">
        <f>'T&amp;E'!AP$8</f>
        <v>33</v>
      </c>
      <c r="AQ3" s="74">
        <f>'T&amp;E'!AQ$8</f>
        <v>34</v>
      </c>
      <c r="AR3" s="74">
        <f>'T&amp;E'!AR$8</f>
        <v>35</v>
      </c>
      <c r="AS3" s="74">
        <f>'T&amp;E'!AS$8</f>
        <v>36</v>
      </c>
      <c r="AT3" s="74">
        <f>'T&amp;E'!AT$8</f>
        <v>37</v>
      </c>
      <c r="AU3" s="74">
        <f>'T&amp;E'!AU$8</f>
        <v>38</v>
      </c>
      <c r="AV3" s="74">
        <f>'T&amp;E'!AV$8</f>
        <v>39</v>
      </c>
      <c r="AW3" s="74">
        <f>'T&amp;E'!AW$8</f>
        <v>40</v>
      </c>
      <c r="AX3" s="74">
        <f>'T&amp;E'!AX$8</f>
        <v>41</v>
      </c>
      <c r="AY3" s="74">
        <f>'T&amp;E'!AY$8</f>
        <v>42</v>
      </c>
      <c r="AZ3" s="74">
        <f>'T&amp;E'!AZ$8</f>
        <v>43</v>
      </c>
      <c r="BA3" s="74">
        <f>'T&amp;E'!BA$8</f>
        <v>44</v>
      </c>
      <c r="BB3" s="74">
        <f>'T&amp;E'!BB$8</f>
        <v>45</v>
      </c>
      <c r="BC3" s="74">
        <f>'T&amp;E'!BC$8</f>
        <v>46</v>
      </c>
      <c r="BD3" s="74">
        <f>'T&amp;E'!BD$8</f>
        <v>47</v>
      </c>
      <c r="BE3" s="74">
        <f>'T&amp;E'!BE$8</f>
        <v>48</v>
      </c>
      <c r="BF3" s="74">
        <f>'T&amp;E'!BF$8</f>
        <v>49</v>
      </c>
      <c r="BG3" s="74">
        <f>'T&amp;E'!BG$8</f>
        <v>50</v>
      </c>
      <c r="BH3" s="74">
        <f>'T&amp;E'!BH$8</f>
        <v>51</v>
      </c>
      <c r="BI3" s="74">
        <f>'T&amp;E'!BI$8</f>
        <v>52</v>
      </c>
      <c r="BJ3" s="74">
        <f>'T&amp;E'!BJ$8</f>
        <v>53</v>
      </c>
      <c r="BK3" s="74">
        <f>'T&amp;E'!BK$8</f>
        <v>54</v>
      </c>
      <c r="BL3" s="74">
        <f>'T&amp;E'!BL$8</f>
        <v>55</v>
      </c>
      <c r="BM3" s="74">
        <f>'T&amp;E'!BM$8</f>
        <v>56</v>
      </c>
      <c r="BN3" s="74">
        <f>'T&amp;E'!BN$8</f>
        <v>57</v>
      </c>
      <c r="BO3" s="74">
        <f>'T&amp;E'!BO$8</f>
        <v>58</v>
      </c>
      <c r="BP3" s="74">
        <f>'T&amp;E'!BP$8</f>
        <v>59</v>
      </c>
      <c r="BQ3" s="74">
        <f>'T&amp;E'!BQ$8</f>
        <v>60</v>
      </c>
      <c r="BR3" s="74">
        <f>'T&amp;E'!BR$8</f>
        <v>61</v>
      </c>
      <c r="BS3" s="74">
        <f>'T&amp;E'!BS$8</f>
        <v>62</v>
      </c>
      <c r="BT3" s="74">
        <f>'T&amp;E'!BT$8</f>
        <v>63</v>
      </c>
      <c r="BU3" s="74">
        <f>'T&amp;E'!BU$8</f>
        <v>64</v>
      </c>
      <c r="BV3" s="74">
        <f>'T&amp;E'!BV$8</f>
        <v>65</v>
      </c>
      <c r="BW3" s="74">
        <f>'T&amp;E'!BW$8</f>
        <v>66</v>
      </c>
      <c r="BX3" s="74">
        <f>'T&amp;E'!BX$8</f>
        <v>67</v>
      </c>
      <c r="BY3" s="74">
        <f>'T&amp;E'!BY$8</f>
        <v>68</v>
      </c>
      <c r="BZ3" s="74">
        <f>'T&amp;E'!BZ$8</f>
        <v>69</v>
      </c>
      <c r="CA3" s="74">
        <f>'T&amp;E'!CA$8</f>
        <v>70</v>
      </c>
    </row>
    <row r="4" spans="1:79" s="78" customFormat="1" x14ac:dyDescent="0.2">
      <c r="C4" s="79"/>
      <c r="D4" s="80"/>
      <c r="E4" s="78" t="str">
        <f xml:space="preserve"> 'T&amp;E'!E$12</f>
        <v>Model period ending</v>
      </c>
      <c r="F4" s="80" t="str">
        <f xml:space="preserve"> 'T&amp;E'!F$12</f>
        <v>constant</v>
      </c>
      <c r="G4" s="78" t="str">
        <f xml:space="preserve"> 'T&amp;E'!G$12</f>
        <v>unit</v>
      </c>
      <c r="H4" s="80" t="str">
        <f xml:space="preserve"> 'T&amp;E'!H$12</f>
        <v>total</v>
      </c>
      <c r="I4" s="78">
        <f xml:space="preserve"> 'T&amp;E'!I$12</f>
        <v>0</v>
      </c>
      <c r="J4" s="78">
        <f xml:space="preserve"> 'T&amp;E'!J$12</f>
        <v>41639</v>
      </c>
      <c r="K4" s="78">
        <f xml:space="preserve"> 'T&amp;E'!K$12</f>
        <v>41820</v>
      </c>
      <c r="L4" s="78">
        <f xml:space="preserve"> 'T&amp;E'!L$12</f>
        <v>42004</v>
      </c>
      <c r="M4" s="78">
        <f xml:space="preserve"> 'T&amp;E'!M$12</f>
        <v>42185</v>
      </c>
      <c r="N4" s="78">
        <f xml:space="preserve"> 'T&amp;E'!N$12</f>
        <v>42369</v>
      </c>
      <c r="O4" s="78">
        <f xml:space="preserve"> 'T&amp;E'!O$12</f>
        <v>42551</v>
      </c>
      <c r="P4" s="78">
        <f xml:space="preserve"> 'T&amp;E'!P$12</f>
        <v>42735</v>
      </c>
      <c r="Q4" s="78">
        <f xml:space="preserve"> 'T&amp;E'!Q$12</f>
        <v>42916</v>
      </c>
      <c r="R4" s="78">
        <f xml:space="preserve"> 'T&amp;E'!R$12</f>
        <v>43100</v>
      </c>
      <c r="S4" s="78">
        <f xml:space="preserve"> 'T&amp;E'!S$12</f>
        <v>43281</v>
      </c>
      <c r="T4" s="78">
        <f xml:space="preserve"> 'T&amp;E'!T$12</f>
        <v>43465</v>
      </c>
      <c r="U4" s="78">
        <f xml:space="preserve"> 'T&amp;E'!U$12</f>
        <v>43646</v>
      </c>
      <c r="V4" s="78">
        <f xml:space="preserve"> 'T&amp;E'!V$12</f>
        <v>43830</v>
      </c>
      <c r="W4" s="78">
        <f xml:space="preserve"> 'T&amp;E'!W$12</f>
        <v>44012</v>
      </c>
      <c r="X4" s="78">
        <f xml:space="preserve"> 'T&amp;E'!X$12</f>
        <v>44196</v>
      </c>
      <c r="Y4" s="78">
        <f xml:space="preserve"> 'T&amp;E'!Y$12</f>
        <v>44377</v>
      </c>
      <c r="Z4" s="78">
        <f xml:space="preserve"> 'T&amp;E'!Z$12</f>
        <v>44561</v>
      </c>
      <c r="AA4" s="78">
        <f xml:space="preserve"> 'T&amp;E'!AA$12</f>
        <v>44742</v>
      </c>
      <c r="AB4" s="78">
        <f xml:space="preserve"> 'T&amp;E'!AB$12</f>
        <v>44926</v>
      </c>
      <c r="AC4" s="78">
        <f xml:space="preserve"> 'T&amp;E'!AC$12</f>
        <v>45107</v>
      </c>
      <c r="AD4" s="78">
        <f xml:space="preserve"> 'T&amp;E'!AD$12</f>
        <v>45291</v>
      </c>
      <c r="AE4" s="78">
        <f xml:space="preserve"> 'T&amp;E'!AE$12</f>
        <v>45473</v>
      </c>
      <c r="AF4" s="78">
        <f xml:space="preserve"> 'T&amp;E'!AF$12</f>
        <v>45657</v>
      </c>
      <c r="AG4" s="78">
        <f xml:space="preserve"> 'T&amp;E'!AG$12</f>
        <v>45838</v>
      </c>
      <c r="AH4" s="78">
        <f xml:space="preserve"> 'T&amp;E'!AH$12</f>
        <v>46022</v>
      </c>
      <c r="AI4" s="78">
        <f xml:space="preserve"> 'T&amp;E'!AI$12</f>
        <v>46203</v>
      </c>
      <c r="AJ4" s="78">
        <f xml:space="preserve"> 'T&amp;E'!AJ$12</f>
        <v>46387</v>
      </c>
      <c r="AK4" s="78">
        <f xml:space="preserve"> 'T&amp;E'!AK$12</f>
        <v>46568</v>
      </c>
      <c r="AL4" s="78">
        <f xml:space="preserve"> 'T&amp;E'!AL$12</f>
        <v>46752</v>
      </c>
      <c r="AM4" s="78">
        <f xml:space="preserve"> 'T&amp;E'!AM$12</f>
        <v>46934</v>
      </c>
      <c r="AN4" s="78">
        <f xml:space="preserve"> 'T&amp;E'!AN$12</f>
        <v>47118</v>
      </c>
      <c r="AO4" s="78">
        <f xml:space="preserve"> 'T&amp;E'!AO$12</f>
        <v>47299</v>
      </c>
      <c r="AP4" s="78">
        <f xml:space="preserve"> 'T&amp;E'!AP$12</f>
        <v>47483</v>
      </c>
      <c r="AQ4" s="78">
        <f xml:space="preserve"> 'T&amp;E'!AQ$12</f>
        <v>47664</v>
      </c>
      <c r="AR4" s="78">
        <f xml:space="preserve"> 'T&amp;E'!AR$12</f>
        <v>47848</v>
      </c>
      <c r="AS4" s="78">
        <f xml:space="preserve"> 'T&amp;E'!AS$12</f>
        <v>48029</v>
      </c>
      <c r="AT4" s="78">
        <f xml:space="preserve"> 'T&amp;E'!AT$12</f>
        <v>48213</v>
      </c>
      <c r="AU4" s="78">
        <f xml:space="preserve"> 'T&amp;E'!AU$12</f>
        <v>48395</v>
      </c>
      <c r="AV4" s="78">
        <f xml:space="preserve"> 'T&amp;E'!AV$12</f>
        <v>48579</v>
      </c>
      <c r="AW4" s="78">
        <f xml:space="preserve"> 'T&amp;E'!AW$12</f>
        <v>48760</v>
      </c>
      <c r="AX4" s="78">
        <f xml:space="preserve"> 'T&amp;E'!AX$12</f>
        <v>48944</v>
      </c>
      <c r="AY4" s="78">
        <f xml:space="preserve"> 'T&amp;E'!AY$12</f>
        <v>49125</v>
      </c>
      <c r="AZ4" s="78">
        <f xml:space="preserve"> 'T&amp;E'!AZ$12</f>
        <v>49309</v>
      </c>
      <c r="BA4" s="78">
        <f xml:space="preserve"> 'T&amp;E'!BA$12</f>
        <v>49490</v>
      </c>
      <c r="BB4" s="78">
        <f xml:space="preserve"> 'T&amp;E'!BB$12</f>
        <v>49674</v>
      </c>
      <c r="BC4" s="78">
        <f xml:space="preserve"> 'T&amp;E'!BC$12</f>
        <v>49856</v>
      </c>
      <c r="BD4" s="78">
        <f xml:space="preserve"> 'T&amp;E'!BD$12</f>
        <v>50040</v>
      </c>
      <c r="BE4" s="78">
        <f xml:space="preserve"> 'T&amp;E'!BE$12</f>
        <v>50221</v>
      </c>
      <c r="BF4" s="78">
        <f xml:space="preserve"> 'T&amp;E'!BF$12</f>
        <v>50405</v>
      </c>
      <c r="BG4" s="78">
        <f xml:space="preserve"> 'T&amp;E'!BG$12</f>
        <v>50586</v>
      </c>
      <c r="BH4" s="78">
        <f xml:space="preserve"> 'T&amp;E'!BH$12</f>
        <v>50770</v>
      </c>
      <c r="BI4" s="78">
        <f xml:space="preserve"> 'T&amp;E'!BI$12</f>
        <v>50951</v>
      </c>
      <c r="BJ4" s="78">
        <f xml:space="preserve"> 'T&amp;E'!BJ$12</f>
        <v>51135</v>
      </c>
      <c r="BK4" s="78">
        <f xml:space="preserve"> 'T&amp;E'!BK$12</f>
        <v>51317</v>
      </c>
      <c r="BL4" s="78">
        <f xml:space="preserve"> 'T&amp;E'!BL$12</f>
        <v>51501</v>
      </c>
      <c r="BM4" s="78">
        <f xml:space="preserve"> 'T&amp;E'!BM$12</f>
        <v>51682</v>
      </c>
      <c r="BN4" s="78">
        <f xml:space="preserve"> 'T&amp;E'!BN$12</f>
        <v>51866</v>
      </c>
      <c r="BO4" s="78">
        <f xml:space="preserve"> 'T&amp;E'!BO$12</f>
        <v>52047</v>
      </c>
      <c r="BP4" s="78">
        <f xml:space="preserve"> 'T&amp;E'!BP$12</f>
        <v>52231</v>
      </c>
      <c r="BQ4" s="78">
        <f xml:space="preserve"> 'T&amp;E'!BQ$12</f>
        <v>52412</v>
      </c>
      <c r="BR4" s="78">
        <f xml:space="preserve"> 'T&amp;E'!BR$12</f>
        <v>52596</v>
      </c>
      <c r="BS4" s="78">
        <f xml:space="preserve"> 'T&amp;E'!BS$12</f>
        <v>52778</v>
      </c>
      <c r="BT4" s="78">
        <f xml:space="preserve"> 'T&amp;E'!BT$12</f>
        <v>52962</v>
      </c>
      <c r="BU4" s="78">
        <f xml:space="preserve"> 'T&amp;E'!BU$12</f>
        <v>53143</v>
      </c>
      <c r="BV4" s="78">
        <f xml:space="preserve"> 'T&amp;E'!BV$12</f>
        <v>53327</v>
      </c>
      <c r="BW4" s="78">
        <f xml:space="preserve"> 'T&amp;E'!BW$12</f>
        <v>53508</v>
      </c>
      <c r="BX4" s="78">
        <f xml:space="preserve"> 'T&amp;E'!BX$12</f>
        <v>53692</v>
      </c>
      <c r="BY4" s="78">
        <f xml:space="preserve"> 'T&amp;E'!BY$12</f>
        <v>53873</v>
      </c>
      <c r="BZ4" s="78">
        <f xml:space="preserve"> 'T&amp;E'!BZ$12</f>
        <v>54057</v>
      </c>
      <c r="CA4" s="78">
        <f xml:space="preserve"> 'T&amp;E'!CA$12</f>
        <v>54239</v>
      </c>
    </row>
    <row r="6" spans="1:79" s="87" customFormat="1" x14ac:dyDescent="0.2">
      <c r="A6" s="81" t="s">
        <v>58</v>
      </c>
      <c r="B6" s="82"/>
      <c r="C6" s="151"/>
      <c r="D6" s="86"/>
    </row>
    <row r="7" spans="1:79" s="87" customFormat="1" x14ac:dyDescent="0.2">
      <c r="A7" s="81"/>
      <c r="B7" s="82"/>
      <c r="C7" s="151"/>
      <c r="D7" s="86"/>
    </row>
    <row r="8" spans="1:79" s="203" customFormat="1" x14ac:dyDescent="0.2">
      <c r="A8" s="199"/>
      <c r="B8" s="200"/>
      <c r="C8" s="201"/>
      <c r="D8" s="202"/>
      <c r="E8" s="203" t="str">
        <f>InpC!E$33</f>
        <v>Variable ground handling charge rate</v>
      </c>
      <c r="F8" s="203">
        <f>InpC!F$33</f>
        <v>340</v>
      </c>
      <c r="G8" s="203" t="str">
        <f>InpC!G$33</f>
        <v>€ / landing</v>
      </c>
    </row>
    <row r="9" spans="1:79" s="144" customFormat="1" x14ac:dyDescent="0.2">
      <c r="A9" s="93"/>
      <c r="B9" s="93"/>
      <c r="C9" s="94"/>
      <c r="D9" s="143"/>
      <c r="E9" s="144" t="str">
        <f>Rev!E$35</f>
        <v>Total landings</v>
      </c>
      <c r="F9" s="144">
        <f>Rev!F$35</f>
        <v>0</v>
      </c>
      <c r="G9" s="144" t="str">
        <f>Rev!G$35</f>
        <v>landings</v>
      </c>
      <c r="H9" s="144">
        <f>Rev!H$35</f>
        <v>537250</v>
      </c>
      <c r="I9" s="144">
        <f>Rev!I$35</f>
        <v>0</v>
      </c>
      <c r="J9" s="144">
        <f>Rev!J$35</f>
        <v>0</v>
      </c>
      <c r="K9" s="144">
        <f>Rev!K$35</f>
        <v>0</v>
      </c>
      <c r="L9" s="144">
        <f>Rev!L$35</f>
        <v>0</v>
      </c>
      <c r="M9" s="144">
        <f>Rev!M$35</f>
        <v>0</v>
      </c>
      <c r="N9" s="144">
        <f>Rev!N$35</f>
        <v>0</v>
      </c>
      <c r="O9" s="144">
        <f>Rev!O$35</f>
        <v>9890</v>
      </c>
      <c r="P9" s="144">
        <f>Rev!P$35</f>
        <v>9650</v>
      </c>
      <c r="Q9" s="144">
        <f>Rev!Q$35</f>
        <v>10130</v>
      </c>
      <c r="R9" s="144">
        <f>Rev!R$35</f>
        <v>8630</v>
      </c>
      <c r="S9" s="144">
        <f>Rev!S$35</f>
        <v>9030</v>
      </c>
      <c r="T9" s="144">
        <f>Rev!T$35</f>
        <v>8780</v>
      </c>
      <c r="U9" s="144">
        <f>Rev!U$35</f>
        <v>9180</v>
      </c>
      <c r="V9" s="144">
        <f>Rev!V$35</f>
        <v>8640</v>
      </c>
      <c r="W9" s="144">
        <f>Rev!W$35</f>
        <v>9040</v>
      </c>
      <c r="X9" s="144">
        <f>Rev!X$35</f>
        <v>8790</v>
      </c>
      <c r="Y9" s="144">
        <f>Rev!Y$35</f>
        <v>9190</v>
      </c>
      <c r="Z9" s="144">
        <f>Rev!Z$35</f>
        <v>8700</v>
      </c>
      <c r="AA9" s="144">
        <f>Rev!AA$35</f>
        <v>9100</v>
      </c>
      <c r="AB9" s="144">
        <f>Rev!AB$35</f>
        <v>8700</v>
      </c>
      <c r="AC9" s="144">
        <f>Rev!AC$35</f>
        <v>9100</v>
      </c>
      <c r="AD9" s="144">
        <f>Rev!AD$35</f>
        <v>8700</v>
      </c>
      <c r="AE9" s="144">
        <f>Rev!AE$35</f>
        <v>9100</v>
      </c>
      <c r="AF9" s="144">
        <f>Rev!AF$35</f>
        <v>8700</v>
      </c>
      <c r="AG9" s="144">
        <f>Rev!AG$35</f>
        <v>9100</v>
      </c>
      <c r="AH9" s="144">
        <f>Rev!AH$35</f>
        <v>8700</v>
      </c>
      <c r="AI9" s="144">
        <f>Rev!AI$35</f>
        <v>9100</v>
      </c>
      <c r="AJ9" s="144">
        <f>Rev!AJ$35</f>
        <v>8700</v>
      </c>
      <c r="AK9" s="144">
        <f>Rev!AK$35</f>
        <v>9100</v>
      </c>
      <c r="AL9" s="144">
        <f>Rev!AL$35</f>
        <v>8700</v>
      </c>
      <c r="AM9" s="144">
        <f>Rev!AM$35</f>
        <v>9100</v>
      </c>
      <c r="AN9" s="144">
        <f>Rev!AN$35</f>
        <v>8700</v>
      </c>
      <c r="AO9" s="144">
        <f>Rev!AO$35</f>
        <v>9100</v>
      </c>
      <c r="AP9" s="144">
        <f>Rev!AP$35</f>
        <v>8700</v>
      </c>
      <c r="AQ9" s="144">
        <f>Rev!AQ$35</f>
        <v>9100</v>
      </c>
      <c r="AR9" s="144">
        <f>Rev!AR$35</f>
        <v>8700</v>
      </c>
      <c r="AS9" s="144">
        <f>Rev!AS$35</f>
        <v>9100</v>
      </c>
      <c r="AT9" s="144">
        <f>Rev!AT$35</f>
        <v>8700</v>
      </c>
      <c r="AU9" s="144">
        <f>Rev!AU$35</f>
        <v>9100</v>
      </c>
      <c r="AV9" s="144">
        <f>Rev!AV$35</f>
        <v>8700</v>
      </c>
      <c r="AW9" s="144">
        <f>Rev!AW$35</f>
        <v>9100</v>
      </c>
      <c r="AX9" s="144">
        <f>Rev!AX$35</f>
        <v>8700</v>
      </c>
      <c r="AY9" s="144">
        <f>Rev!AY$35</f>
        <v>9100</v>
      </c>
      <c r="AZ9" s="144">
        <f>Rev!AZ$35</f>
        <v>8700</v>
      </c>
      <c r="BA9" s="144">
        <f>Rev!BA$35</f>
        <v>9100</v>
      </c>
      <c r="BB9" s="144">
        <f>Rev!BB$35</f>
        <v>8700</v>
      </c>
      <c r="BC9" s="144">
        <f>Rev!BC$35</f>
        <v>9100</v>
      </c>
      <c r="BD9" s="144">
        <f>Rev!BD$35</f>
        <v>8700</v>
      </c>
      <c r="BE9" s="144">
        <f>Rev!BE$35</f>
        <v>9100</v>
      </c>
      <c r="BF9" s="144">
        <f>Rev!BF$35</f>
        <v>8700</v>
      </c>
      <c r="BG9" s="144">
        <f>Rev!BG$35</f>
        <v>9100</v>
      </c>
      <c r="BH9" s="144">
        <f>Rev!BH$35</f>
        <v>8700</v>
      </c>
      <c r="BI9" s="144">
        <f>Rev!BI$35</f>
        <v>8700</v>
      </c>
      <c r="BJ9" s="144">
        <f>Rev!BJ$35</f>
        <v>9100</v>
      </c>
      <c r="BK9" s="144">
        <f>Rev!BK$35</f>
        <v>8700</v>
      </c>
      <c r="BL9" s="144">
        <f>Rev!BL$35</f>
        <v>9100</v>
      </c>
      <c r="BM9" s="144">
        <f>Rev!BM$35</f>
        <v>8700</v>
      </c>
      <c r="BN9" s="144">
        <f>Rev!BN$35</f>
        <v>9100</v>
      </c>
      <c r="BO9" s="144">
        <f>Rev!BO$35</f>
        <v>8700</v>
      </c>
      <c r="BP9" s="144">
        <f>Rev!BP$35</f>
        <v>9100</v>
      </c>
      <c r="BQ9" s="144">
        <f>Rev!BQ$35</f>
        <v>8700</v>
      </c>
      <c r="BR9" s="144">
        <f>Rev!BR$35</f>
        <v>8700</v>
      </c>
      <c r="BS9" s="144">
        <f>Rev!BS$35</f>
        <v>9100</v>
      </c>
      <c r="BT9" s="144">
        <f>Rev!BT$35</f>
        <v>9100</v>
      </c>
      <c r="BU9" s="144">
        <f>Rev!BU$35</f>
        <v>9100</v>
      </c>
      <c r="BV9" s="144">
        <f>Rev!BV$35</f>
        <v>9100</v>
      </c>
      <c r="BW9" s="144">
        <f>Rev!BW$35</f>
        <v>0</v>
      </c>
      <c r="BX9" s="144">
        <f>Rev!BX$35</f>
        <v>0</v>
      </c>
      <c r="BY9" s="144">
        <f>Rev!BY$35</f>
        <v>0</v>
      </c>
      <c r="BZ9" s="144">
        <f>Rev!BZ$35</f>
        <v>0</v>
      </c>
      <c r="CA9" s="144">
        <f>Rev!CA$35</f>
        <v>0</v>
      </c>
    </row>
    <row r="10" spans="1:79" s="207" customFormat="1" x14ac:dyDescent="0.2">
      <c r="A10" s="204"/>
      <c r="B10" s="204"/>
      <c r="C10" s="205"/>
      <c r="D10" s="206"/>
      <c r="E10" s="207" t="str">
        <f>'T&amp;E'!E$49</f>
        <v>CPI esc factor</v>
      </c>
      <c r="F10" s="207">
        <f>'T&amp;E'!F$49</f>
        <v>0</v>
      </c>
      <c r="G10" s="207" t="str">
        <f>'T&amp;E'!G$49</f>
        <v>factor</v>
      </c>
      <c r="H10" s="207">
        <f>'T&amp;E'!H$49</f>
        <v>0</v>
      </c>
      <c r="I10" s="207">
        <f>'T&amp;E'!I$49</f>
        <v>0</v>
      </c>
      <c r="J10" s="207">
        <f>'T&amp;E'!J$49</f>
        <v>0</v>
      </c>
      <c r="K10" s="207">
        <f>'T&amp;E'!K$49</f>
        <v>1</v>
      </c>
      <c r="L10" s="207">
        <f>'T&amp;E'!L$49</f>
        <v>1.0124228365658292</v>
      </c>
      <c r="M10" s="207">
        <f>'T&amp;E'!M$49</f>
        <v>1.0249999999999997</v>
      </c>
      <c r="N10" s="207">
        <f>'T&amp;E'!N$49</f>
        <v>1.0377334074799747</v>
      </c>
      <c r="O10" s="207">
        <f>'T&amp;E'!O$49</f>
        <v>1.0506249999999995</v>
      </c>
      <c r="P10" s="207">
        <f>'T&amp;E'!P$49</f>
        <v>1.0636767426669738</v>
      </c>
      <c r="Q10" s="207">
        <f>'T&amp;E'!Q$49</f>
        <v>1.0768906249999992</v>
      </c>
      <c r="R10" s="207">
        <f>'T&amp;E'!R$49</f>
        <v>1.0902686612336479</v>
      </c>
      <c r="S10" s="207">
        <f>'T&amp;E'!S$49</f>
        <v>1.1038128906249989</v>
      </c>
      <c r="T10" s="207">
        <f>'T&amp;E'!T$49</f>
        <v>1.1175253777644887</v>
      </c>
      <c r="U10" s="207">
        <f>'T&amp;E'!U$49</f>
        <v>1.1314082128906235</v>
      </c>
      <c r="V10" s="207">
        <f>'T&amp;E'!V$49</f>
        <v>1.1454635122086008</v>
      </c>
      <c r="W10" s="207">
        <f>'T&amp;E'!W$49</f>
        <v>1.1596934182128888</v>
      </c>
      <c r="X10" s="207">
        <f>'T&amp;E'!X$49</f>
        <v>1.1741001000138154</v>
      </c>
      <c r="Y10" s="207">
        <f>'T&amp;E'!Y$49</f>
        <v>1.1886857536682107</v>
      </c>
      <c r="Z10" s="207">
        <f>'T&amp;E'!Z$49</f>
        <v>1.2034526025141605</v>
      </c>
      <c r="AA10" s="207">
        <f>'T&amp;E'!AA$49</f>
        <v>1.2184028975099157</v>
      </c>
      <c r="AB10" s="207">
        <f>'T&amp;E'!AB$49</f>
        <v>1.2335389175770142</v>
      </c>
      <c r="AC10" s="207">
        <f>'T&amp;E'!AC$49</f>
        <v>1.2488629699476632</v>
      </c>
      <c r="AD10" s="207">
        <f>'T&amp;E'!AD$49</f>
        <v>1.264377390516439</v>
      </c>
      <c r="AE10" s="207">
        <f>'T&amp;E'!AE$49</f>
        <v>1.2800845441963544</v>
      </c>
      <c r="AF10" s="207">
        <f>'T&amp;E'!AF$49</f>
        <v>1.2959868252793496</v>
      </c>
      <c r="AG10" s="207">
        <f>'T&amp;E'!AG$49</f>
        <v>1.3120866578012629</v>
      </c>
      <c r="AH10" s="207">
        <f>'T&amp;E'!AH$49</f>
        <v>1.328386495911333</v>
      </c>
      <c r="AI10" s="207">
        <f>'T&amp;E'!AI$49</f>
        <v>1.344888824246294</v>
      </c>
      <c r="AJ10" s="207">
        <f>'T&amp;E'!AJ$49</f>
        <v>1.3615961583091158</v>
      </c>
      <c r="AK10" s="207">
        <f>'T&amp;E'!AK$49</f>
        <v>1.3785110448524509</v>
      </c>
      <c r="AL10" s="207">
        <f>'T&amp;E'!AL$49</f>
        <v>1.3956360622668433</v>
      </c>
      <c r="AM10" s="207">
        <f>'T&amp;E'!AM$49</f>
        <v>1.4129738209737617</v>
      </c>
      <c r="AN10" s="207">
        <f>'T&amp;E'!AN$49</f>
        <v>1.4305269638235139</v>
      </c>
      <c r="AO10" s="207">
        <f>'T&amp;E'!AO$49</f>
        <v>1.4482981664981052</v>
      </c>
      <c r="AP10" s="207">
        <f>'T&amp;E'!AP$49</f>
        <v>1.4662901379191011</v>
      </c>
      <c r="AQ10" s="207">
        <f>'T&amp;E'!AQ$49</f>
        <v>1.4845056206605574</v>
      </c>
      <c r="AR10" s="207">
        <f>'T&amp;E'!AR$49</f>
        <v>1.5029473913670783</v>
      </c>
      <c r="AS10" s="207">
        <f>'T&amp;E'!AS$49</f>
        <v>1.521618261177071</v>
      </c>
      <c r="AT10" s="207">
        <f>'T&amp;E'!AT$49</f>
        <v>1.5405210761512549</v>
      </c>
      <c r="AU10" s="207">
        <f>'T&amp;E'!AU$49</f>
        <v>1.5596587177064973</v>
      </c>
      <c r="AV10" s="207">
        <f>'T&amp;E'!AV$49</f>
        <v>1.5790341030550359</v>
      </c>
      <c r="AW10" s="207">
        <f>'T&amp;E'!AW$49</f>
        <v>1.5986501856491593</v>
      </c>
      <c r="AX10" s="207">
        <f>'T&amp;E'!AX$49</f>
        <v>1.6185099556314113</v>
      </c>
      <c r="AY10" s="207">
        <f>'T&amp;E'!AY$49</f>
        <v>1.6386164402903878</v>
      </c>
      <c r="AZ10" s="207">
        <f>'T&amp;E'!AZ$49</f>
        <v>1.658972704522196</v>
      </c>
      <c r="BA10" s="207">
        <f>'T&amp;E'!BA$49</f>
        <v>1.679581851297647</v>
      </c>
      <c r="BB10" s="207">
        <f>'T&amp;E'!BB$49</f>
        <v>1.7004470221352506</v>
      </c>
      <c r="BC10" s="207">
        <f>'T&amp;E'!BC$49</f>
        <v>1.7215713975800877</v>
      </c>
      <c r="BD10" s="207">
        <f>'T&amp;E'!BD$49</f>
        <v>1.7429581976886312</v>
      </c>
      <c r="BE10" s="207">
        <f>'T&amp;E'!BE$49</f>
        <v>1.7646106825195893</v>
      </c>
      <c r="BF10" s="207">
        <f>'T&amp;E'!BF$49</f>
        <v>1.7865321526308464</v>
      </c>
      <c r="BG10" s="207">
        <f>'T&amp;E'!BG$49</f>
        <v>1.8087259495825785</v>
      </c>
      <c r="BH10" s="207">
        <f>'T&amp;E'!BH$49</f>
        <v>1.8311954564466171</v>
      </c>
      <c r="BI10" s="207">
        <f>'T&amp;E'!BI$49</f>
        <v>1.8539440983221425</v>
      </c>
      <c r="BJ10" s="207">
        <f>'T&amp;E'!BJ$49</f>
        <v>1.876975342857782</v>
      </c>
      <c r="BK10" s="207">
        <f>'T&amp;E'!BK$49</f>
        <v>1.9002927007801955</v>
      </c>
      <c r="BL10" s="207">
        <f>'T&amp;E'!BL$49</f>
        <v>1.9238997264292261</v>
      </c>
      <c r="BM10" s="207">
        <f>'T&amp;E'!BM$49</f>
        <v>1.9478000182997</v>
      </c>
      <c r="BN10" s="207">
        <f>'T&amp;E'!BN$49</f>
        <v>1.9719972195899562</v>
      </c>
      <c r="BO10" s="207">
        <f>'T&amp;E'!BO$49</f>
        <v>1.9964950187571919</v>
      </c>
      <c r="BP10" s="207">
        <f>'T&amp;E'!BP$49</f>
        <v>2.0212971500797048</v>
      </c>
      <c r="BQ10" s="207">
        <f>'T&amp;E'!BQ$49</f>
        <v>2.0464073942261214</v>
      </c>
      <c r="BR10" s="207">
        <f>'T&amp;E'!BR$49</f>
        <v>2.0718295788316969</v>
      </c>
      <c r="BS10" s="207">
        <f>'T&amp;E'!BS$49</f>
        <v>2.0975675790817738</v>
      </c>
      <c r="BT10" s="207">
        <f>'T&amp;E'!BT$49</f>
        <v>2.1236253183024889</v>
      </c>
      <c r="BU10" s="207">
        <f>'T&amp;E'!BU$49</f>
        <v>2.1500067685588178</v>
      </c>
      <c r="BV10" s="207">
        <f>'T&amp;E'!BV$49</f>
        <v>2.1767159512600505</v>
      </c>
      <c r="BW10" s="207">
        <f>'T&amp;E'!BW$49</f>
        <v>2.2037569377727877</v>
      </c>
      <c r="BX10" s="207">
        <f>'T&amp;E'!BX$49</f>
        <v>2.2311338500415512</v>
      </c>
      <c r="BY10" s="207">
        <f>'T&amp;E'!BY$49</f>
        <v>2.2588508612171068</v>
      </c>
      <c r="BZ10" s="207">
        <f>'T&amp;E'!BZ$49</f>
        <v>2.2869121962925893</v>
      </c>
      <c r="CA10" s="207">
        <f>'T&amp;E'!CA$49</f>
        <v>2.3153221327475335</v>
      </c>
    </row>
    <row r="11" spans="1:79" s="87" customFormat="1" x14ac:dyDescent="0.2">
      <c r="A11" s="81"/>
      <c r="B11" s="82"/>
      <c r="C11" s="151"/>
      <c r="D11" s="86"/>
      <c r="E11" s="87" t="s">
        <v>90</v>
      </c>
      <c r="G11" s="87" t="str">
        <f xml:space="preserve"> SMU</f>
        <v>€ 000s</v>
      </c>
      <c r="H11" s="87">
        <f>SUM(J11:CA11)</f>
        <v>282201.79574257974</v>
      </c>
      <c r="J11" s="87">
        <f xml:space="preserve"> $F8 * J9 * J10 / 1000</f>
        <v>0</v>
      </c>
      <c r="K11" s="87">
        <f t="shared" ref="K11:BV11" si="0" xml:space="preserve"> $F8 * K9 * K10 / 1000</f>
        <v>0</v>
      </c>
      <c r="L11" s="87">
        <f t="shared" si="0"/>
        <v>0</v>
      </c>
      <c r="M11" s="87">
        <f t="shared" si="0"/>
        <v>0</v>
      </c>
      <c r="N11" s="87">
        <f t="shared" si="0"/>
        <v>0</v>
      </c>
      <c r="O11" s="87">
        <f t="shared" si="0"/>
        <v>3532.831624999998</v>
      </c>
      <c r="P11" s="87">
        <f t="shared" si="0"/>
        <v>3489.9233926903412</v>
      </c>
      <c r="Q11" s="87">
        <f t="shared" si="0"/>
        <v>3709.0266906249976</v>
      </c>
      <c r="R11" s="87">
        <f t="shared" si="0"/>
        <v>3199.0663057917695</v>
      </c>
      <c r="S11" s="87">
        <f t="shared" si="0"/>
        <v>3388.9263367968715</v>
      </c>
      <c r="T11" s="87">
        <f t="shared" si="0"/>
        <v>3336.0367577025518</v>
      </c>
      <c r="U11" s="87">
        <f t="shared" si="0"/>
        <v>3531.3513140742139</v>
      </c>
      <c r="V11" s="87">
        <f t="shared" si="0"/>
        <v>3364.9136134639857</v>
      </c>
      <c r="W11" s="87">
        <f t="shared" si="0"/>
        <v>3564.4336902191349</v>
      </c>
      <c r="X11" s="87">
        <f t="shared" si="0"/>
        <v>3508.9155589012885</v>
      </c>
      <c r="Y11" s="87">
        <f t="shared" si="0"/>
        <v>3714.167505911691</v>
      </c>
      <c r="Z11" s="87">
        <f t="shared" si="0"/>
        <v>3559.8127982368869</v>
      </c>
      <c r="AA11" s="87">
        <f t="shared" si="0"/>
        <v>3769.7385648956792</v>
      </c>
      <c r="AB11" s="87">
        <f t="shared" si="0"/>
        <v>3648.8081181928078</v>
      </c>
      <c r="AC11" s="87">
        <f t="shared" si="0"/>
        <v>3863.9820290180701</v>
      </c>
      <c r="AD11" s="87">
        <f t="shared" si="0"/>
        <v>3740.0283211476267</v>
      </c>
      <c r="AE11" s="87">
        <f t="shared" si="0"/>
        <v>3960.5815797435203</v>
      </c>
      <c r="AF11" s="87">
        <f t="shared" si="0"/>
        <v>3833.5290291763163</v>
      </c>
      <c r="AG11" s="87">
        <f t="shared" si="0"/>
        <v>4059.5961192371074</v>
      </c>
      <c r="AH11" s="87">
        <f t="shared" si="0"/>
        <v>3929.3672549057233</v>
      </c>
      <c r="AI11" s="87">
        <f t="shared" si="0"/>
        <v>4161.0860222180336</v>
      </c>
      <c r="AJ11" s="87">
        <f t="shared" si="0"/>
        <v>4027.6014362783644</v>
      </c>
      <c r="AK11" s="87">
        <f t="shared" si="0"/>
        <v>4265.1131727734828</v>
      </c>
      <c r="AL11" s="87">
        <f t="shared" si="0"/>
        <v>4128.2914721853222</v>
      </c>
      <c r="AM11" s="87">
        <f t="shared" si="0"/>
        <v>4371.7410020928191</v>
      </c>
      <c r="AN11" s="87">
        <f t="shared" si="0"/>
        <v>4231.4987589899547</v>
      </c>
      <c r="AO11" s="87">
        <f t="shared" si="0"/>
        <v>4481.034527145137</v>
      </c>
      <c r="AP11" s="87">
        <f t="shared" si="0"/>
        <v>4337.2862279647015</v>
      </c>
      <c r="AQ11" s="87">
        <f t="shared" si="0"/>
        <v>4593.0603903237643</v>
      </c>
      <c r="AR11" s="87">
        <f t="shared" si="0"/>
        <v>4445.7183836638169</v>
      </c>
      <c r="AS11" s="87">
        <f t="shared" si="0"/>
        <v>4707.8869000818577</v>
      </c>
      <c r="AT11" s="87">
        <f t="shared" si="0"/>
        <v>4556.8613432554121</v>
      </c>
      <c r="AU11" s="87">
        <f t="shared" si="0"/>
        <v>4825.5840725839025</v>
      </c>
      <c r="AV11" s="87">
        <f t="shared" si="0"/>
        <v>4670.7828768367963</v>
      </c>
      <c r="AW11" s="87">
        <f t="shared" si="0"/>
        <v>4946.2236743984986</v>
      </c>
      <c r="AX11" s="87">
        <f t="shared" si="0"/>
        <v>4787.552448757715</v>
      </c>
      <c r="AY11" s="87">
        <f t="shared" si="0"/>
        <v>5069.8792662584592</v>
      </c>
      <c r="AZ11" s="87">
        <f t="shared" si="0"/>
        <v>4907.2412599766558</v>
      </c>
      <c r="BA11" s="87">
        <f t="shared" si="0"/>
        <v>5196.62624791492</v>
      </c>
      <c r="BB11" s="87">
        <f t="shared" si="0"/>
        <v>5029.9222914760712</v>
      </c>
      <c r="BC11" s="87">
        <f t="shared" si="0"/>
        <v>5326.5419041127916</v>
      </c>
      <c r="BD11" s="87">
        <f t="shared" si="0"/>
        <v>5155.6703487629711</v>
      </c>
      <c r="BE11" s="87">
        <f t="shared" si="0"/>
        <v>5459.7054517156093</v>
      </c>
      <c r="BF11" s="87">
        <f t="shared" si="0"/>
        <v>5284.5621074820438</v>
      </c>
      <c r="BG11" s="87">
        <f t="shared" si="0"/>
        <v>5596.1980880084975</v>
      </c>
      <c r="BH11" s="87">
        <f t="shared" si="0"/>
        <v>5416.6761601690932</v>
      </c>
      <c r="BI11" s="87">
        <f t="shared" si="0"/>
        <v>5483.9666428368973</v>
      </c>
      <c r="BJ11" s="87">
        <f t="shared" si="0"/>
        <v>5807.361710801978</v>
      </c>
      <c r="BK11" s="87">
        <f t="shared" si="0"/>
        <v>5621.0658089078179</v>
      </c>
      <c r="BL11" s="87">
        <f t="shared" si="0"/>
        <v>5952.5457535720252</v>
      </c>
      <c r="BM11" s="87">
        <f t="shared" si="0"/>
        <v>5761.592454130513</v>
      </c>
      <c r="BN11" s="87">
        <f t="shared" si="0"/>
        <v>6101.3593974113237</v>
      </c>
      <c r="BO11" s="87">
        <f t="shared" si="0"/>
        <v>5905.6322654837732</v>
      </c>
      <c r="BP11" s="87">
        <f t="shared" si="0"/>
        <v>6253.8933823466068</v>
      </c>
      <c r="BQ11" s="87">
        <f t="shared" si="0"/>
        <v>6053.2730721208663</v>
      </c>
      <c r="BR11" s="87">
        <f t="shared" si="0"/>
        <v>6128.4718941841593</v>
      </c>
      <c r="BS11" s="87">
        <f t="shared" si="0"/>
        <v>6489.8740896790086</v>
      </c>
      <c r="BT11" s="87">
        <f t="shared" si="0"/>
        <v>6570.4967348279006</v>
      </c>
      <c r="BU11" s="87">
        <f t="shared" si="0"/>
        <v>6652.1209419209827</v>
      </c>
      <c r="BV11" s="87">
        <f t="shared" si="0"/>
        <v>6734.7591531985963</v>
      </c>
      <c r="BW11" s="87">
        <f t="shared" ref="BW11:CA11" si="1" xml:space="preserve"> $F8 * BW9 * BW10 / 1000</f>
        <v>0</v>
      </c>
      <c r="BX11" s="87">
        <f t="shared" si="1"/>
        <v>0</v>
      </c>
      <c r="BY11" s="87">
        <f t="shared" si="1"/>
        <v>0</v>
      </c>
      <c r="BZ11" s="87">
        <f t="shared" si="1"/>
        <v>0</v>
      </c>
      <c r="CA11" s="87">
        <f t="shared" si="1"/>
        <v>0</v>
      </c>
    </row>
    <row r="12" spans="1:79" s="87" customFormat="1" x14ac:dyDescent="0.2">
      <c r="A12" s="81"/>
      <c r="B12" s="82"/>
      <c r="C12" s="151"/>
      <c r="D12" s="86"/>
    </row>
    <row r="13" spans="1:79" s="87" customFormat="1" x14ac:dyDescent="0.2">
      <c r="A13" s="81"/>
      <c r="B13" s="82"/>
      <c r="C13" s="151"/>
      <c r="D13" s="86"/>
    </row>
    <row r="14" spans="1:79" s="96" customFormat="1" x14ac:dyDescent="0.2">
      <c r="A14" s="92"/>
      <c r="B14" s="93"/>
      <c r="C14" s="94"/>
      <c r="D14" s="95"/>
      <c r="E14" s="96" t="str">
        <f>InpC!E$34</f>
        <v>Fixed ground handling costs</v>
      </c>
      <c r="F14" s="96">
        <f>InpC!F$34</f>
        <v>3600</v>
      </c>
      <c r="G14" s="96" t="str">
        <f>InpC!G$34</f>
        <v>€ 000s p.a.</v>
      </c>
    </row>
    <row r="15" spans="1:79" s="207" customFormat="1" x14ac:dyDescent="0.2">
      <c r="A15" s="204"/>
      <c r="B15" s="204"/>
      <c r="C15" s="205"/>
      <c r="D15" s="206"/>
      <c r="E15" s="207" t="str">
        <f>'T&amp;E'!E$49</f>
        <v>CPI esc factor</v>
      </c>
      <c r="F15" s="207">
        <f>'T&amp;E'!F$49</f>
        <v>0</v>
      </c>
      <c r="G15" s="207" t="str">
        <f>'T&amp;E'!G$49</f>
        <v>factor</v>
      </c>
      <c r="H15" s="207">
        <f>'T&amp;E'!H$49</f>
        <v>0</v>
      </c>
      <c r="I15" s="207">
        <f>'T&amp;E'!I$49</f>
        <v>0</v>
      </c>
      <c r="J15" s="207">
        <f>'T&amp;E'!J$49</f>
        <v>0</v>
      </c>
      <c r="K15" s="207">
        <f>'T&amp;E'!K$49</f>
        <v>1</v>
      </c>
      <c r="L15" s="207">
        <f>'T&amp;E'!L$49</f>
        <v>1.0124228365658292</v>
      </c>
      <c r="M15" s="207">
        <f>'T&amp;E'!M$49</f>
        <v>1.0249999999999997</v>
      </c>
      <c r="N15" s="207">
        <f>'T&amp;E'!N$49</f>
        <v>1.0377334074799747</v>
      </c>
      <c r="O15" s="207">
        <f>'T&amp;E'!O$49</f>
        <v>1.0506249999999995</v>
      </c>
      <c r="P15" s="207">
        <f>'T&amp;E'!P$49</f>
        <v>1.0636767426669738</v>
      </c>
      <c r="Q15" s="207">
        <f>'T&amp;E'!Q$49</f>
        <v>1.0768906249999992</v>
      </c>
      <c r="R15" s="207">
        <f>'T&amp;E'!R$49</f>
        <v>1.0902686612336479</v>
      </c>
      <c r="S15" s="207">
        <f>'T&amp;E'!S$49</f>
        <v>1.1038128906249989</v>
      </c>
      <c r="T15" s="207">
        <f>'T&amp;E'!T$49</f>
        <v>1.1175253777644887</v>
      </c>
      <c r="U15" s="207">
        <f>'T&amp;E'!U$49</f>
        <v>1.1314082128906235</v>
      </c>
      <c r="V15" s="207">
        <f>'T&amp;E'!V$49</f>
        <v>1.1454635122086008</v>
      </c>
      <c r="W15" s="207">
        <f>'T&amp;E'!W$49</f>
        <v>1.1596934182128888</v>
      </c>
      <c r="X15" s="207">
        <f>'T&amp;E'!X$49</f>
        <v>1.1741001000138154</v>
      </c>
      <c r="Y15" s="207">
        <f>'T&amp;E'!Y$49</f>
        <v>1.1886857536682107</v>
      </c>
      <c r="Z15" s="207">
        <f>'T&amp;E'!Z$49</f>
        <v>1.2034526025141605</v>
      </c>
      <c r="AA15" s="207">
        <f>'T&amp;E'!AA$49</f>
        <v>1.2184028975099157</v>
      </c>
      <c r="AB15" s="207">
        <f>'T&amp;E'!AB$49</f>
        <v>1.2335389175770142</v>
      </c>
      <c r="AC15" s="207">
        <f>'T&amp;E'!AC$49</f>
        <v>1.2488629699476632</v>
      </c>
      <c r="AD15" s="207">
        <f>'T&amp;E'!AD$49</f>
        <v>1.264377390516439</v>
      </c>
      <c r="AE15" s="207">
        <f>'T&amp;E'!AE$49</f>
        <v>1.2800845441963544</v>
      </c>
      <c r="AF15" s="207">
        <f>'T&amp;E'!AF$49</f>
        <v>1.2959868252793496</v>
      </c>
      <c r="AG15" s="207">
        <f>'T&amp;E'!AG$49</f>
        <v>1.3120866578012629</v>
      </c>
      <c r="AH15" s="207">
        <f>'T&amp;E'!AH$49</f>
        <v>1.328386495911333</v>
      </c>
      <c r="AI15" s="207">
        <f>'T&amp;E'!AI$49</f>
        <v>1.344888824246294</v>
      </c>
      <c r="AJ15" s="207">
        <f>'T&amp;E'!AJ$49</f>
        <v>1.3615961583091158</v>
      </c>
      <c r="AK15" s="207">
        <f>'T&amp;E'!AK$49</f>
        <v>1.3785110448524509</v>
      </c>
      <c r="AL15" s="207">
        <f>'T&amp;E'!AL$49</f>
        <v>1.3956360622668433</v>
      </c>
      <c r="AM15" s="207">
        <f>'T&amp;E'!AM$49</f>
        <v>1.4129738209737617</v>
      </c>
      <c r="AN15" s="207">
        <f>'T&amp;E'!AN$49</f>
        <v>1.4305269638235139</v>
      </c>
      <c r="AO15" s="207">
        <f>'T&amp;E'!AO$49</f>
        <v>1.4482981664981052</v>
      </c>
      <c r="AP15" s="207">
        <f>'T&amp;E'!AP$49</f>
        <v>1.4662901379191011</v>
      </c>
      <c r="AQ15" s="207">
        <f>'T&amp;E'!AQ$49</f>
        <v>1.4845056206605574</v>
      </c>
      <c r="AR15" s="207">
        <f>'T&amp;E'!AR$49</f>
        <v>1.5029473913670783</v>
      </c>
      <c r="AS15" s="207">
        <f>'T&amp;E'!AS$49</f>
        <v>1.521618261177071</v>
      </c>
      <c r="AT15" s="207">
        <f>'T&amp;E'!AT$49</f>
        <v>1.5405210761512549</v>
      </c>
      <c r="AU15" s="207">
        <f>'T&amp;E'!AU$49</f>
        <v>1.5596587177064973</v>
      </c>
      <c r="AV15" s="207">
        <f>'T&amp;E'!AV$49</f>
        <v>1.5790341030550359</v>
      </c>
      <c r="AW15" s="207">
        <f>'T&amp;E'!AW$49</f>
        <v>1.5986501856491593</v>
      </c>
      <c r="AX15" s="207">
        <f>'T&amp;E'!AX$49</f>
        <v>1.6185099556314113</v>
      </c>
      <c r="AY15" s="207">
        <f>'T&amp;E'!AY$49</f>
        <v>1.6386164402903878</v>
      </c>
      <c r="AZ15" s="207">
        <f>'T&amp;E'!AZ$49</f>
        <v>1.658972704522196</v>
      </c>
      <c r="BA15" s="207">
        <f>'T&amp;E'!BA$49</f>
        <v>1.679581851297647</v>
      </c>
      <c r="BB15" s="207">
        <f>'T&amp;E'!BB$49</f>
        <v>1.7004470221352506</v>
      </c>
      <c r="BC15" s="207">
        <f>'T&amp;E'!BC$49</f>
        <v>1.7215713975800877</v>
      </c>
      <c r="BD15" s="207">
        <f>'T&amp;E'!BD$49</f>
        <v>1.7429581976886312</v>
      </c>
      <c r="BE15" s="207">
        <f>'T&amp;E'!BE$49</f>
        <v>1.7646106825195893</v>
      </c>
      <c r="BF15" s="207">
        <f>'T&amp;E'!BF$49</f>
        <v>1.7865321526308464</v>
      </c>
      <c r="BG15" s="207">
        <f>'T&amp;E'!BG$49</f>
        <v>1.8087259495825785</v>
      </c>
      <c r="BH15" s="207">
        <f>'T&amp;E'!BH$49</f>
        <v>1.8311954564466171</v>
      </c>
      <c r="BI15" s="207">
        <f>'T&amp;E'!BI$49</f>
        <v>1.8539440983221425</v>
      </c>
      <c r="BJ15" s="207">
        <f>'T&amp;E'!BJ$49</f>
        <v>1.876975342857782</v>
      </c>
      <c r="BK15" s="207">
        <f>'T&amp;E'!BK$49</f>
        <v>1.9002927007801955</v>
      </c>
      <c r="BL15" s="207">
        <f>'T&amp;E'!BL$49</f>
        <v>1.9238997264292261</v>
      </c>
      <c r="BM15" s="207">
        <f>'T&amp;E'!BM$49</f>
        <v>1.9478000182997</v>
      </c>
      <c r="BN15" s="207">
        <f>'T&amp;E'!BN$49</f>
        <v>1.9719972195899562</v>
      </c>
      <c r="BO15" s="207">
        <f>'T&amp;E'!BO$49</f>
        <v>1.9964950187571919</v>
      </c>
      <c r="BP15" s="207">
        <f>'T&amp;E'!BP$49</f>
        <v>2.0212971500797048</v>
      </c>
      <c r="BQ15" s="207">
        <f>'T&amp;E'!BQ$49</f>
        <v>2.0464073942261214</v>
      </c>
      <c r="BR15" s="207">
        <f>'T&amp;E'!BR$49</f>
        <v>2.0718295788316969</v>
      </c>
      <c r="BS15" s="207">
        <f>'T&amp;E'!BS$49</f>
        <v>2.0975675790817738</v>
      </c>
      <c r="BT15" s="207">
        <f>'T&amp;E'!BT$49</f>
        <v>2.1236253183024889</v>
      </c>
      <c r="BU15" s="207">
        <f>'T&amp;E'!BU$49</f>
        <v>2.1500067685588178</v>
      </c>
      <c r="BV15" s="207">
        <f>'T&amp;E'!BV$49</f>
        <v>2.1767159512600505</v>
      </c>
      <c r="BW15" s="207">
        <f>'T&amp;E'!BW$49</f>
        <v>2.2037569377727877</v>
      </c>
      <c r="BX15" s="207">
        <f>'T&amp;E'!BX$49</f>
        <v>2.2311338500415512</v>
      </c>
      <c r="BY15" s="207">
        <f>'T&amp;E'!BY$49</f>
        <v>2.2588508612171068</v>
      </c>
      <c r="BZ15" s="207">
        <f>'T&amp;E'!BZ$49</f>
        <v>2.2869121962925893</v>
      </c>
      <c r="CA15" s="207">
        <f>'T&amp;E'!CA$49</f>
        <v>2.3153221327475335</v>
      </c>
    </row>
    <row r="16" spans="1:79" s="124" customFormat="1" x14ac:dyDescent="0.2">
      <c r="A16" s="166"/>
      <c r="B16" s="166"/>
      <c r="C16" s="167"/>
      <c r="D16" s="168"/>
      <c r="E16" s="124" t="str">
        <f xml:space="preserve"> 'T&amp;E'!E$24</f>
        <v>Operating period flag</v>
      </c>
      <c r="F16" s="124">
        <f xml:space="preserve"> 'T&amp;E'!F$24</f>
        <v>0</v>
      </c>
      <c r="G16" s="124" t="str">
        <f xml:space="preserve"> 'T&amp;E'!G$24</f>
        <v>flag</v>
      </c>
      <c r="H16" s="124">
        <f xml:space="preserve"> 'T&amp;E'!H$24</f>
        <v>60</v>
      </c>
      <c r="I16" s="124">
        <f xml:space="preserve"> 'T&amp;E'!I$24</f>
        <v>0</v>
      </c>
      <c r="J16" s="124">
        <f xml:space="preserve"> 'T&amp;E'!J$24</f>
        <v>0</v>
      </c>
      <c r="K16" s="124">
        <f xml:space="preserve"> 'T&amp;E'!K$24</f>
        <v>0</v>
      </c>
      <c r="L16" s="124">
        <f xml:space="preserve"> 'T&amp;E'!L$24</f>
        <v>0</v>
      </c>
      <c r="M16" s="124">
        <f xml:space="preserve"> 'T&amp;E'!M$24</f>
        <v>0</v>
      </c>
      <c r="N16" s="124">
        <f xml:space="preserve"> 'T&amp;E'!N$24</f>
        <v>0</v>
      </c>
      <c r="O16" s="124">
        <f xml:space="preserve"> 'T&amp;E'!O$24</f>
        <v>1</v>
      </c>
      <c r="P16" s="124">
        <f xml:space="preserve"> 'T&amp;E'!P$24</f>
        <v>1</v>
      </c>
      <c r="Q16" s="124">
        <f xml:space="preserve"> 'T&amp;E'!Q$24</f>
        <v>1</v>
      </c>
      <c r="R16" s="124">
        <f xml:space="preserve"> 'T&amp;E'!R$24</f>
        <v>1</v>
      </c>
      <c r="S16" s="124">
        <f xml:space="preserve"> 'T&amp;E'!S$24</f>
        <v>1</v>
      </c>
      <c r="T16" s="124">
        <f xml:space="preserve"> 'T&amp;E'!T$24</f>
        <v>1</v>
      </c>
      <c r="U16" s="124">
        <f xml:space="preserve"> 'T&amp;E'!U$24</f>
        <v>1</v>
      </c>
      <c r="V16" s="124">
        <f xml:space="preserve"> 'T&amp;E'!V$24</f>
        <v>1</v>
      </c>
      <c r="W16" s="124">
        <f xml:space="preserve"> 'T&amp;E'!W$24</f>
        <v>1</v>
      </c>
      <c r="X16" s="124">
        <f xml:space="preserve"> 'T&amp;E'!X$24</f>
        <v>1</v>
      </c>
      <c r="Y16" s="124">
        <f xml:space="preserve"> 'T&amp;E'!Y$24</f>
        <v>1</v>
      </c>
      <c r="Z16" s="124">
        <f xml:space="preserve"> 'T&amp;E'!Z$24</f>
        <v>1</v>
      </c>
      <c r="AA16" s="124">
        <f xml:space="preserve"> 'T&amp;E'!AA$24</f>
        <v>1</v>
      </c>
      <c r="AB16" s="124">
        <f xml:space="preserve"> 'T&amp;E'!AB$24</f>
        <v>1</v>
      </c>
      <c r="AC16" s="124">
        <f xml:space="preserve"> 'T&amp;E'!AC$24</f>
        <v>1</v>
      </c>
      <c r="AD16" s="124">
        <f xml:space="preserve"> 'T&amp;E'!AD$24</f>
        <v>1</v>
      </c>
      <c r="AE16" s="124">
        <f xml:space="preserve"> 'T&amp;E'!AE$24</f>
        <v>1</v>
      </c>
      <c r="AF16" s="124">
        <f xml:space="preserve"> 'T&amp;E'!AF$24</f>
        <v>1</v>
      </c>
      <c r="AG16" s="124">
        <f xml:space="preserve"> 'T&amp;E'!AG$24</f>
        <v>1</v>
      </c>
      <c r="AH16" s="124">
        <f xml:space="preserve"> 'T&amp;E'!AH$24</f>
        <v>1</v>
      </c>
      <c r="AI16" s="124">
        <f xml:space="preserve"> 'T&amp;E'!AI$24</f>
        <v>1</v>
      </c>
      <c r="AJ16" s="124">
        <f xml:space="preserve"> 'T&amp;E'!AJ$24</f>
        <v>1</v>
      </c>
      <c r="AK16" s="124">
        <f xml:space="preserve"> 'T&amp;E'!AK$24</f>
        <v>1</v>
      </c>
      <c r="AL16" s="124">
        <f xml:space="preserve"> 'T&amp;E'!AL$24</f>
        <v>1</v>
      </c>
      <c r="AM16" s="124">
        <f xml:space="preserve"> 'T&amp;E'!AM$24</f>
        <v>1</v>
      </c>
      <c r="AN16" s="124">
        <f xml:space="preserve"> 'T&amp;E'!AN$24</f>
        <v>1</v>
      </c>
      <c r="AO16" s="124">
        <f xml:space="preserve"> 'T&amp;E'!AO$24</f>
        <v>1</v>
      </c>
      <c r="AP16" s="124">
        <f xml:space="preserve"> 'T&amp;E'!AP$24</f>
        <v>1</v>
      </c>
      <c r="AQ16" s="124">
        <f xml:space="preserve"> 'T&amp;E'!AQ$24</f>
        <v>1</v>
      </c>
      <c r="AR16" s="124">
        <f xml:space="preserve"> 'T&amp;E'!AR$24</f>
        <v>1</v>
      </c>
      <c r="AS16" s="124">
        <f xml:space="preserve"> 'T&amp;E'!AS$24</f>
        <v>1</v>
      </c>
      <c r="AT16" s="124">
        <f xml:space="preserve"> 'T&amp;E'!AT$24</f>
        <v>1</v>
      </c>
      <c r="AU16" s="124">
        <f xml:space="preserve"> 'T&amp;E'!AU$24</f>
        <v>1</v>
      </c>
      <c r="AV16" s="124">
        <f xml:space="preserve"> 'T&amp;E'!AV$24</f>
        <v>1</v>
      </c>
      <c r="AW16" s="124">
        <f xml:space="preserve"> 'T&amp;E'!AW$24</f>
        <v>1</v>
      </c>
      <c r="AX16" s="124">
        <f xml:space="preserve"> 'T&amp;E'!AX$24</f>
        <v>1</v>
      </c>
      <c r="AY16" s="124">
        <f xml:space="preserve"> 'T&amp;E'!AY$24</f>
        <v>1</v>
      </c>
      <c r="AZ16" s="124">
        <f xml:space="preserve"> 'T&amp;E'!AZ$24</f>
        <v>1</v>
      </c>
      <c r="BA16" s="124">
        <f xml:space="preserve"> 'T&amp;E'!BA$24</f>
        <v>1</v>
      </c>
      <c r="BB16" s="124">
        <f xml:space="preserve"> 'T&amp;E'!BB$24</f>
        <v>1</v>
      </c>
      <c r="BC16" s="124">
        <f xml:space="preserve"> 'T&amp;E'!BC$24</f>
        <v>1</v>
      </c>
      <c r="BD16" s="124">
        <f xml:space="preserve"> 'T&amp;E'!BD$24</f>
        <v>1</v>
      </c>
      <c r="BE16" s="124">
        <f xml:space="preserve"> 'T&amp;E'!BE$24</f>
        <v>1</v>
      </c>
      <c r="BF16" s="124">
        <f xml:space="preserve"> 'T&amp;E'!BF$24</f>
        <v>1</v>
      </c>
      <c r="BG16" s="124">
        <f xml:space="preserve"> 'T&amp;E'!BG$24</f>
        <v>1</v>
      </c>
      <c r="BH16" s="124">
        <f xml:space="preserve"> 'T&amp;E'!BH$24</f>
        <v>1</v>
      </c>
      <c r="BI16" s="124">
        <f xml:space="preserve"> 'T&amp;E'!BI$24</f>
        <v>1</v>
      </c>
      <c r="BJ16" s="124">
        <f xml:space="preserve"> 'T&amp;E'!BJ$24</f>
        <v>1</v>
      </c>
      <c r="BK16" s="124">
        <f xml:space="preserve"> 'T&amp;E'!BK$24</f>
        <v>1</v>
      </c>
      <c r="BL16" s="124">
        <f xml:space="preserve"> 'T&amp;E'!BL$24</f>
        <v>1</v>
      </c>
      <c r="BM16" s="124">
        <f xml:space="preserve"> 'T&amp;E'!BM$24</f>
        <v>1</v>
      </c>
      <c r="BN16" s="124">
        <f xml:space="preserve"> 'T&amp;E'!BN$24</f>
        <v>1</v>
      </c>
      <c r="BO16" s="124">
        <f xml:space="preserve"> 'T&amp;E'!BO$24</f>
        <v>1</v>
      </c>
      <c r="BP16" s="124">
        <f xml:space="preserve"> 'T&amp;E'!BP$24</f>
        <v>1</v>
      </c>
      <c r="BQ16" s="124">
        <f xml:space="preserve"> 'T&amp;E'!BQ$24</f>
        <v>1</v>
      </c>
      <c r="BR16" s="124">
        <f xml:space="preserve"> 'T&amp;E'!BR$24</f>
        <v>1</v>
      </c>
      <c r="BS16" s="124">
        <f xml:space="preserve"> 'T&amp;E'!BS$24</f>
        <v>1</v>
      </c>
      <c r="BT16" s="124">
        <f xml:space="preserve"> 'T&amp;E'!BT$24</f>
        <v>1</v>
      </c>
      <c r="BU16" s="124">
        <f xml:space="preserve"> 'T&amp;E'!BU$24</f>
        <v>1</v>
      </c>
      <c r="BV16" s="124">
        <f xml:space="preserve"> 'T&amp;E'!BV$24</f>
        <v>1</v>
      </c>
      <c r="BW16" s="124">
        <f xml:space="preserve"> 'T&amp;E'!BW$24</f>
        <v>0</v>
      </c>
      <c r="BX16" s="124">
        <f xml:space="preserve"> 'T&amp;E'!BX$24</f>
        <v>0</v>
      </c>
      <c r="BY16" s="124">
        <f xml:space="preserve"> 'T&amp;E'!BY$24</f>
        <v>0</v>
      </c>
      <c r="BZ16" s="124">
        <f xml:space="preserve"> 'T&amp;E'!BZ$24</f>
        <v>0</v>
      </c>
      <c r="CA16" s="124">
        <f xml:space="preserve"> 'T&amp;E'!CA$24</f>
        <v>0</v>
      </c>
    </row>
    <row r="17" spans="1:79" s="87" customFormat="1" x14ac:dyDescent="0.2">
      <c r="A17" s="81"/>
      <c r="B17" s="82"/>
      <c r="C17" s="151"/>
      <c r="D17" s="86"/>
      <c r="E17" s="87" t="s">
        <v>93</v>
      </c>
      <c r="G17" s="87" t="str">
        <f xml:space="preserve"> SMU</f>
        <v>€ 000s</v>
      </c>
      <c r="H17" s="87">
        <f>SUM(J17:CA17)</f>
        <v>167082.41125061217</v>
      </c>
      <c r="J17" s="87">
        <f xml:space="preserve"> ($F14 / 2) * J15 * J16</f>
        <v>0</v>
      </c>
      <c r="K17" s="87">
        <f t="shared" ref="K17:BV17" si="2" xml:space="preserve"> ($F14 / 2) * K15 * K16</f>
        <v>0</v>
      </c>
      <c r="L17" s="87">
        <f t="shared" si="2"/>
        <v>0</v>
      </c>
      <c r="M17" s="87">
        <f t="shared" si="2"/>
        <v>0</v>
      </c>
      <c r="N17" s="87">
        <f t="shared" si="2"/>
        <v>0</v>
      </c>
      <c r="O17" s="87">
        <f t="shared" si="2"/>
        <v>1891.1249999999991</v>
      </c>
      <c r="P17" s="87">
        <f t="shared" si="2"/>
        <v>1914.6181368005527</v>
      </c>
      <c r="Q17" s="87">
        <f t="shared" si="2"/>
        <v>1938.4031249999987</v>
      </c>
      <c r="R17" s="87">
        <f t="shared" si="2"/>
        <v>1962.4835902205662</v>
      </c>
      <c r="S17" s="87">
        <f t="shared" si="2"/>
        <v>1986.8632031249979</v>
      </c>
      <c r="T17" s="87">
        <f t="shared" si="2"/>
        <v>2011.5456799760796</v>
      </c>
      <c r="U17" s="87">
        <f t="shared" si="2"/>
        <v>2036.5347832031223</v>
      </c>
      <c r="V17" s="87">
        <f t="shared" si="2"/>
        <v>2061.8343219754815</v>
      </c>
      <c r="W17" s="87">
        <f t="shared" si="2"/>
        <v>2087.4481527831999</v>
      </c>
      <c r="X17" s="87">
        <f t="shared" si="2"/>
        <v>2113.3801800248675</v>
      </c>
      <c r="Y17" s="87">
        <f t="shared" si="2"/>
        <v>2139.6343566027795</v>
      </c>
      <c r="Z17" s="87">
        <f t="shared" si="2"/>
        <v>2166.2146845254888</v>
      </c>
      <c r="AA17" s="87">
        <f t="shared" si="2"/>
        <v>2193.1252155178481</v>
      </c>
      <c r="AB17" s="87">
        <f t="shared" si="2"/>
        <v>2220.3700516386257</v>
      </c>
      <c r="AC17" s="87">
        <f t="shared" si="2"/>
        <v>2247.9533459057939</v>
      </c>
      <c r="AD17" s="87">
        <f t="shared" si="2"/>
        <v>2275.8793029295903</v>
      </c>
      <c r="AE17" s="87">
        <f t="shared" si="2"/>
        <v>2304.1521795534381</v>
      </c>
      <c r="AF17" s="87">
        <f t="shared" si="2"/>
        <v>2332.7762855028291</v>
      </c>
      <c r="AG17" s="87">
        <f t="shared" si="2"/>
        <v>2361.7559840422732</v>
      </c>
      <c r="AH17" s="87">
        <f t="shared" si="2"/>
        <v>2391.0956926403992</v>
      </c>
      <c r="AI17" s="87">
        <f t="shared" si="2"/>
        <v>2420.7998836433289</v>
      </c>
      <c r="AJ17" s="87">
        <f t="shared" si="2"/>
        <v>2450.8730849564085</v>
      </c>
      <c r="AK17" s="87">
        <f t="shared" si="2"/>
        <v>2481.3198807344115</v>
      </c>
      <c r="AL17" s="87">
        <f t="shared" si="2"/>
        <v>2512.1449120803181</v>
      </c>
      <c r="AM17" s="87">
        <f t="shared" si="2"/>
        <v>2543.3528777527708</v>
      </c>
      <c r="AN17" s="87">
        <f t="shared" si="2"/>
        <v>2574.948534882325</v>
      </c>
      <c r="AO17" s="87">
        <f t="shared" si="2"/>
        <v>2606.9366996965891</v>
      </c>
      <c r="AP17" s="87">
        <f t="shared" si="2"/>
        <v>2639.322248254382</v>
      </c>
      <c r="AQ17" s="87">
        <f t="shared" si="2"/>
        <v>2672.1101171890032</v>
      </c>
      <c r="AR17" s="87">
        <f t="shared" si="2"/>
        <v>2705.3053044607409</v>
      </c>
      <c r="AS17" s="87">
        <f t="shared" si="2"/>
        <v>2738.9128701187278</v>
      </c>
      <c r="AT17" s="87">
        <f t="shared" si="2"/>
        <v>2772.9379370722586</v>
      </c>
      <c r="AU17" s="87">
        <f t="shared" si="2"/>
        <v>2807.3856918716951</v>
      </c>
      <c r="AV17" s="87">
        <f t="shared" si="2"/>
        <v>2842.2613854990645</v>
      </c>
      <c r="AW17" s="87">
        <f t="shared" si="2"/>
        <v>2877.5703341684866</v>
      </c>
      <c r="AX17" s="87">
        <f t="shared" si="2"/>
        <v>2913.3179201365406</v>
      </c>
      <c r="AY17" s="87">
        <f t="shared" si="2"/>
        <v>2949.5095925226979</v>
      </c>
      <c r="AZ17" s="87">
        <f t="shared" si="2"/>
        <v>2986.1508681399528</v>
      </c>
      <c r="BA17" s="87">
        <f t="shared" si="2"/>
        <v>3023.2473323357644</v>
      </c>
      <c r="BB17" s="87">
        <f t="shared" si="2"/>
        <v>3060.8046398434508</v>
      </c>
      <c r="BC17" s="87">
        <f t="shared" si="2"/>
        <v>3098.828515644158</v>
      </c>
      <c r="BD17" s="87">
        <f t="shared" si="2"/>
        <v>3137.3247558395365</v>
      </c>
      <c r="BE17" s="87">
        <f t="shared" si="2"/>
        <v>3176.2992285352607</v>
      </c>
      <c r="BF17" s="87">
        <f t="shared" si="2"/>
        <v>3215.7578747355237</v>
      </c>
      <c r="BG17" s="87">
        <f t="shared" si="2"/>
        <v>3255.7067092486413</v>
      </c>
      <c r="BH17" s="87">
        <f t="shared" si="2"/>
        <v>3296.1518216039108</v>
      </c>
      <c r="BI17" s="87">
        <f t="shared" si="2"/>
        <v>3337.0993769798565</v>
      </c>
      <c r="BJ17" s="87">
        <f t="shared" si="2"/>
        <v>3378.5556171440076</v>
      </c>
      <c r="BK17" s="87">
        <f t="shared" si="2"/>
        <v>3420.5268614043521</v>
      </c>
      <c r="BL17" s="87">
        <f t="shared" si="2"/>
        <v>3463.0195075726069</v>
      </c>
      <c r="BM17" s="87">
        <f t="shared" si="2"/>
        <v>3506.0400329394597</v>
      </c>
      <c r="BN17" s="87">
        <f t="shared" si="2"/>
        <v>3549.5949952619212</v>
      </c>
      <c r="BO17" s="87">
        <f t="shared" si="2"/>
        <v>3593.6910337629456</v>
      </c>
      <c r="BP17" s="87">
        <f t="shared" si="2"/>
        <v>3638.3348701434688</v>
      </c>
      <c r="BQ17" s="87">
        <f t="shared" si="2"/>
        <v>3683.5333096070185</v>
      </c>
      <c r="BR17" s="87">
        <f t="shared" si="2"/>
        <v>3729.2932418970545</v>
      </c>
      <c r="BS17" s="87">
        <f t="shared" si="2"/>
        <v>3775.6216423471928</v>
      </c>
      <c r="BT17" s="87">
        <f t="shared" si="2"/>
        <v>3822.5255729444802</v>
      </c>
      <c r="BU17" s="87">
        <f t="shared" si="2"/>
        <v>3870.0121834058718</v>
      </c>
      <c r="BV17" s="87">
        <f t="shared" si="2"/>
        <v>3918.0887122680911</v>
      </c>
      <c r="BW17" s="87">
        <f t="shared" ref="BW17:CA17" si="3" xml:space="preserve"> ($F14 / 2) * BW15 * BW16</f>
        <v>0</v>
      </c>
      <c r="BX17" s="87">
        <f t="shared" si="3"/>
        <v>0</v>
      </c>
      <c r="BY17" s="87">
        <f t="shared" si="3"/>
        <v>0</v>
      </c>
      <c r="BZ17" s="87">
        <f t="shared" si="3"/>
        <v>0</v>
      </c>
      <c r="CA17" s="87">
        <f t="shared" si="3"/>
        <v>0</v>
      </c>
    </row>
    <row r="18" spans="1:79" s="87" customFormat="1" x14ac:dyDescent="0.2">
      <c r="A18" s="81"/>
      <c r="B18" s="82"/>
      <c r="C18" s="151"/>
      <c r="D18" s="86"/>
    </row>
    <row r="19" spans="1:79" s="87" customFormat="1" x14ac:dyDescent="0.2">
      <c r="A19" s="81"/>
      <c r="B19" s="82"/>
      <c r="C19" s="151"/>
      <c r="D19" s="86"/>
    </row>
    <row r="20" spans="1:79" s="87" customFormat="1" x14ac:dyDescent="0.2">
      <c r="A20" s="81" t="s">
        <v>59</v>
      </c>
      <c r="B20" s="82"/>
      <c r="C20" s="151"/>
      <c r="D20" s="86"/>
    </row>
    <row r="21" spans="1:79" s="87" customFormat="1" x14ac:dyDescent="0.2">
      <c r="A21" s="81"/>
      <c r="B21" s="82"/>
      <c r="C21" s="151"/>
      <c r="D21" s="86"/>
    </row>
    <row r="22" spans="1:79" s="96" customFormat="1" x14ac:dyDescent="0.2">
      <c r="A22" s="92"/>
      <c r="B22" s="93"/>
      <c r="C22" s="94"/>
      <c r="D22" s="95"/>
      <c r="E22" s="96" t="str">
        <f>InpC!E$35</f>
        <v>Airport terminal O&amp;M contract costs</v>
      </c>
      <c r="F22" s="96">
        <f>InpC!F$35</f>
        <v>2400</v>
      </c>
      <c r="G22" s="96" t="str">
        <f>InpC!G$35</f>
        <v>€ 000s p.a.</v>
      </c>
    </row>
    <row r="23" spans="1:79" s="207" customFormat="1" x14ac:dyDescent="0.2">
      <c r="A23" s="204"/>
      <c r="B23" s="204"/>
      <c r="C23" s="205"/>
      <c r="D23" s="206"/>
      <c r="E23" s="207" t="str">
        <f>'T&amp;E'!E$49</f>
        <v>CPI esc factor</v>
      </c>
      <c r="F23" s="207">
        <f>'T&amp;E'!F$49</f>
        <v>0</v>
      </c>
      <c r="G23" s="207" t="str">
        <f>'T&amp;E'!G$49</f>
        <v>factor</v>
      </c>
      <c r="H23" s="207">
        <f>'T&amp;E'!H$49</f>
        <v>0</v>
      </c>
      <c r="I23" s="207">
        <f>'T&amp;E'!I$49</f>
        <v>0</v>
      </c>
      <c r="J23" s="207">
        <f>'T&amp;E'!J$49</f>
        <v>0</v>
      </c>
      <c r="K23" s="207">
        <f>'T&amp;E'!K$49</f>
        <v>1</v>
      </c>
      <c r="L23" s="207">
        <f>'T&amp;E'!L$49</f>
        <v>1.0124228365658292</v>
      </c>
      <c r="M23" s="207">
        <f>'T&amp;E'!M$49</f>
        <v>1.0249999999999997</v>
      </c>
      <c r="N23" s="207">
        <f>'T&amp;E'!N$49</f>
        <v>1.0377334074799747</v>
      </c>
      <c r="O23" s="207">
        <f>'T&amp;E'!O$49</f>
        <v>1.0506249999999995</v>
      </c>
      <c r="P23" s="207">
        <f>'T&amp;E'!P$49</f>
        <v>1.0636767426669738</v>
      </c>
      <c r="Q23" s="207">
        <f>'T&amp;E'!Q$49</f>
        <v>1.0768906249999992</v>
      </c>
      <c r="R23" s="207">
        <f>'T&amp;E'!R$49</f>
        <v>1.0902686612336479</v>
      </c>
      <c r="S23" s="207">
        <f>'T&amp;E'!S$49</f>
        <v>1.1038128906249989</v>
      </c>
      <c r="T23" s="207">
        <f>'T&amp;E'!T$49</f>
        <v>1.1175253777644887</v>
      </c>
      <c r="U23" s="207">
        <f>'T&amp;E'!U$49</f>
        <v>1.1314082128906235</v>
      </c>
      <c r="V23" s="207">
        <f>'T&amp;E'!V$49</f>
        <v>1.1454635122086008</v>
      </c>
      <c r="W23" s="207">
        <f>'T&amp;E'!W$49</f>
        <v>1.1596934182128888</v>
      </c>
      <c r="X23" s="207">
        <f>'T&amp;E'!X$49</f>
        <v>1.1741001000138154</v>
      </c>
      <c r="Y23" s="207">
        <f>'T&amp;E'!Y$49</f>
        <v>1.1886857536682107</v>
      </c>
      <c r="Z23" s="207">
        <f>'T&amp;E'!Z$49</f>
        <v>1.2034526025141605</v>
      </c>
      <c r="AA23" s="207">
        <f>'T&amp;E'!AA$49</f>
        <v>1.2184028975099157</v>
      </c>
      <c r="AB23" s="207">
        <f>'T&amp;E'!AB$49</f>
        <v>1.2335389175770142</v>
      </c>
      <c r="AC23" s="207">
        <f>'T&amp;E'!AC$49</f>
        <v>1.2488629699476632</v>
      </c>
      <c r="AD23" s="207">
        <f>'T&amp;E'!AD$49</f>
        <v>1.264377390516439</v>
      </c>
      <c r="AE23" s="207">
        <f>'T&amp;E'!AE$49</f>
        <v>1.2800845441963544</v>
      </c>
      <c r="AF23" s="207">
        <f>'T&amp;E'!AF$49</f>
        <v>1.2959868252793496</v>
      </c>
      <c r="AG23" s="207">
        <f>'T&amp;E'!AG$49</f>
        <v>1.3120866578012629</v>
      </c>
      <c r="AH23" s="207">
        <f>'T&amp;E'!AH$49</f>
        <v>1.328386495911333</v>
      </c>
      <c r="AI23" s="207">
        <f>'T&amp;E'!AI$49</f>
        <v>1.344888824246294</v>
      </c>
      <c r="AJ23" s="207">
        <f>'T&amp;E'!AJ$49</f>
        <v>1.3615961583091158</v>
      </c>
      <c r="AK23" s="207">
        <f>'T&amp;E'!AK$49</f>
        <v>1.3785110448524509</v>
      </c>
      <c r="AL23" s="207">
        <f>'T&amp;E'!AL$49</f>
        <v>1.3956360622668433</v>
      </c>
      <c r="AM23" s="207">
        <f>'T&amp;E'!AM$49</f>
        <v>1.4129738209737617</v>
      </c>
      <c r="AN23" s="207">
        <f>'T&amp;E'!AN$49</f>
        <v>1.4305269638235139</v>
      </c>
      <c r="AO23" s="207">
        <f>'T&amp;E'!AO$49</f>
        <v>1.4482981664981052</v>
      </c>
      <c r="AP23" s="207">
        <f>'T&amp;E'!AP$49</f>
        <v>1.4662901379191011</v>
      </c>
      <c r="AQ23" s="207">
        <f>'T&amp;E'!AQ$49</f>
        <v>1.4845056206605574</v>
      </c>
      <c r="AR23" s="207">
        <f>'T&amp;E'!AR$49</f>
        <v>1.5029473913670783</v>
      </c>
      <c r="AS23" s="207">
        <f>'T&amp;E'!AS$49</f>
        <v>1.521618261177071</v>
      </c>
      <c r="AT23" s="207">
        <f>'T&amp;E'!AT$49</f>
        <v>1.5405210761512549</v>
      </c>
      <c r="AU23" s="207">
        <f>'T&amp;E'!AU$49</f>
        <v>1.5596587177064973</v>
      </c>
      <c r="AV23" s="207">
        <f>'T&amp;E'!AV$49</f>
        <v>1.5790341030550359</v>
      </c>
      <c r="AW23" s="207">
        <f>'T&amp;E'!AW$49</f>
        <v>1.5986501856491593</v>
      </c>
      <c r="AX23" s="207">
        <f>'T&amp;E'!AX$49</f>
        <v>1.6185099556314113</v>
      </c>
      <c r="AY23" s="207">
        <f>'T&amp;E'!AY$49</f>
        <v>1.6386164402903878</v>
      </c>
      <c r="AZ23" s="207">
        <f>'T&amp;E'!AZ$49</f>
        <v>1.658972704522196</v>
      </c>
      <c r="BA23" s="207">
        <f>'T&amp;E'!BA$49</f>
        <v>1.679581851297647</v>
      </c>
      <c r="BB23" s="207">
        <f>'T&amp;E'!BB$49</f>
        <v>1.7004470221352506</v>
      </c>
      <c r="BC23" s="207">
        <f>'T&amp;E'!BC$49</f>
        <v>1.7215713975800877</v>
      </c>
      <c r="BD23" s="207">
        <f>'T&amp;E'!BD$49</f>
        <v>1.7429581976886312</v>
      </c>
      <c r="BE23" s="207">
        <f>'T&amp;E'!BE$49</f>
        <v>1.7646106825195893</v>
      </c>
      <c r="BF23" s="207">
        <f>'T&amp;E'!BF$49</f>
        <v>1.7865321526308464</v>
      </c>
      <c r="BG23" s="207">
        <f>'T&amp;E'!BG$49</f>
        <v>1.8087259495825785</v>
      </c>
      <c r="BH23" s="207">
        <f>'T&amp;E'!BH$49</f>
        <v>1.8311954564466171</v>
      </c>
      <c r="BI23" s="207">
        <f>'T&amp;E'!BI$49</f>
        <v>1.8539440983221425</v>
      </c>
      <c r="BJ23" s="207">
        <f>'T&amp;E'!BJ$49</f>
        <v>1.876975342857782</v>
      </c>
      <c r="BK23" s="207">
        <f>'T&amp;E'!BK$49</f>
        <v>1.9002927007801955</v>
      </c>
      <c r="BL23" s="207">
        <f>'T&amp;E'!BL$49</f>
        <v>1.9238997264292261</v>
      </c>
      <c r="BM23" s="207">
        <f>'T&amp;E'!BM$49</f>
        <v>1.9478000182997</v>
      </c>
      <c r="BN23" s="207">
        <f>'T&amp;E'!BN$49</f>
        <v>1.9719972195899562</v>
      </c>
      <c r="BO23" s="207">
        <f>'T&amp;E'!BO$49</f>
        <v>1.9964950187571919</v>
      </c>
      <c r="BP23" s="207">
        <f>'T&amp;E'!BP$49</f>
        <v>2.0212971500797048</v>
      </c>
      <c r="BQ23" s="207">
        <f>'T&amp;E'!BQ$49</f>
        <v>2.0464073942261214</v>
      </c>
      <c r="BR23" s="207">
        <f>'T&amp;E'!BR$49</f>
        <v>2.0718295788316969</v>
      </c>
      <c r="BS23" s="207">
        <f>'T&amp;E'!BS$49</f>
        <v>2.0975675790817738</v>
      </c>
      <c r="BT23" s="207">
        <f>'T&amp;E'!BT$49</f>
        <v>2.1236253183024889</v>
      </c>
      <c r="BU23" s="207">
        <f>'T&amp;E'!BU$49</f>
        <v>2.1500067685588178</v>
      </c>
      <c r="BV23" s="207">
        <f>'T&amp;E'!BV$49</f>
        <v>2.1767159512600505</v>
      </c>
      <c r="BW23" s="207">
        <f>'T&amp;E'!BW$49</f>
        <v>2.2037569377727877</v>
      </c>
      <c r="BX23" s="207">
        <f>'T&amp;E'!BX$49</f>
        <v>2.2311338500415512</v>
      </c>
      <c r="BY23" s="207">
        <f>'T&amp;E'!BY$49</f>
        <v>2.2588508612171068</v>
      </c>
      <c r="BZ23" s="207">
        <f>'T&amp;E'!BZ$49</f>
        <v>2.2869121962925893</v>
      </c>
      <c r="CA23" s="207">
        <f>'T&amp;E'!CA$49</f>
        <v>2.3153221327475335</v>
      </c>
    </row>
    <row r="24" spans="1:79" s="124" customFormat="1" x14ac:dyDescent="0.2">
      <c r="A24" s="166"/>
      <c r="B24" s="166"/>
      <c r="C24" s="167"/>
      <c r="D24" s="168"/>
      <c r="E24" s="124" t="str">
        <f xml:space="preserve"> 'T&amp;E'!E$24</f>
        <v>Operating period flag</v>
      </c>
      <c r="F24" s="124">
        <f xml:space="preserve"> 'T&amp;E'!F$24</f>
        <v>0</v>
      </c>
      <c r="G24" s="124" t="str">
        <f xml:space="preserve"> 'T&amp;E'!G$24</f>
        <v>flag</v>
      </c>
      <c r="H24" s="124">
        <f xml:space="preserve"> 'T&amp;E'!H$24</f>
        <v>60</v>
      </c>
      <c r="I24" s="124">
        <f xml:space="preserve"> 'T&amp;E'!I$24</f>
        <v>0</v>
      </c>
      <c r="J24" s="124">
        <f xml:space="preserve"> 'T&amp;E'!J$24</f>
        <v>0</v>
      </c>
      <c r="K24" s="124">
        <f xml:space="preserve"> 'T&amp;E'!K$24</f>
        <v>0</v>
      </c>
      <c r="L24" s="124">
        <f xml:space="preserve"> 'T&amp;E'!L$24</f>
        <v>0</v>
      </c>
      <c r="M24" s="124">
        <f xml:space="preserve"> 'T&amp;E'!M$24</f>
        <v>0</v>
      </c>
      <c r="N24" s="124">
        <f xml:space="preserve"> 'T&amp;E'!N$24</f>
        <v>0</v>
      </c>
      <c r="O24" s="124">
        <f xml:space="preserve"> 'T&amp;E'!O$24</f>
        <v>1</v>
      </c>
      <c r="P24" s="124">
        <f xml:space="preserve"> 'T&amp;E'!P$24</f>
        <v>1</v>
      </c>
      <c r="Q24" s="124">
        <f xml:space="preserve"> 'T&amp;E'!Q$24</f>
        <v>1</v>
      </c>
      <c r="R24" s="124">
        <f xml:space="preserve"> 'T&amp;E'!R$24</f>
        <v>1</v>
      </c>
      <c r="S24" s="124">
        <f xml:space="preserve"> 'T&amp;E'!S$24</f>
        <v>1</v>
      </c>
      <c r="T24" s="124">
        <f xml:space="preserve"> 'T&amp;E'!T$24</f>
        <v>1</v>
      </c>
      <c r="U24" s="124">
        <f xml:space="preserve"> 'T&amp;E'!U$24</f>
        <v>1</v>
      </c>
      <c r="V24" s="124">
        <f xml:space="preserve"> 'T&amp;E'!V$24</f>
        <v>1</v>
      </c>
      <c r="W24" s="124">
        <f xml:space="preserve"> 'T&amp;E'!W$24</f>
        <v>1</v>
      </c>
      <c r="X24" s="124">
        <f xml:space="preserve"> 'T&amp;E'!X$24</f>
        <v>1</v>
      </c>
      <c r="Y24" s="124">
        <f xml:space="preserve"> 'T&amp;E'!Y$24</f>
        <v>1</v>
      </c>
      <c r="Z24" s="124">
        <f xml:space="preserve"> 'T&amp;E'!Z$24</f>
        <v>1</v>
      </c>
      <c r="AA24" s="124">
        <f xml:space="preserve"> 'T&amp;E'!AA$24</f>
        <v>1</v>
      </c>
      <c r="AB24" s="124">
        <f xml:space="preserve"> 'T&amp;E'!AB$24</f>
        <v>1</v>
      </c>
      <c r="AC24" s="124">
        <f xml:space="preserve"> 'T&amp;E'!AC$24</f>
        <v>1</v>
      </c>
      <c r="AD24" s="124">
        <f xml:space="preserve"> 'T&amp;E'!AD$24</f>
        <v>1</v>
      </c>
      <c r="AE24" s="124">
        <f xml:space="preserve"> 'T&amp;E'!AE$24</f>
        <v>1</v>
      </c>
      <c r="AF24" s="124">
        <f xml:space="preserve"> 'T&amp;E'!AF$24</f>
        <v>1</v>
      </c>
      <c r="AG24" s="124">
        <f xml:space="preserve"> 'T&amp;E'!AG$24</f>
        <v>1</v>
      </c>
      <c r="AH24" s="124">
        <f xml:space="preserve"> 'T&amp;E'!AH$24</f>
        <v>1</v>
      </c>
      <c r="AI24" s="124">
        <f xml:space="preserve"> 'T&amp;E'!AI$24</f>
        <v>1</v>
      </c>
      <c r="AJ24" s="124">
        <f xml:space="preserve"> 'T&amp;E'!AJ$24</f>
        <v>1</v>
      </c>
      <c r="AK24" s="124">
        <f xml:space="preserve"> 'T&amp;E'!AK$24</f>
        <v>1</v>
      </c>
      <c r="AL24" s="124">
        <f xml:space="preserve"> 'T&amp;E'!AL$24</f>
        <v>1</v>
      </c>
      <c r="AM24" s="124">
        <f xml:space="preserve"> 'T&amp;E'!AM$24</f>
        <v>1</v>
      </c>
      <c r="AN24" s="124">
        <f xml:space="preserve"> 'T&amp;E'!AN$24</f>
        <v>1</v>
      </c>
      <c r="AO24" s="124">
        <f xml:space="preserve"> 'T&amp;E'!AO$24</f>
        <v>1</v>
      </c>
      <c r="AP24" s="124">
        <f xml:space="preserve"> 'T&amp;E'!AP$24</f>
        <v>1</v>
      </c>
      <c r="AQ24" s="124">
        <f xml:space="preserve"> 'T&amp;E'!AQ$24</f>
        <v>1</v>
      </c>
      <c r="AR24" s="124">
        <f xml:space="preserve"> 'T&amp;E'!AR$24</f>
        <v>1</v>
      </c>
      <c r="AS24" s="124">
        <f xml:space="preserve"> 'T&amp;E'!AS$24</f>
        <v>1</v>
      </c>
      <c r="AT24" s="124">
        <f xml:space="preserve"> 'T&amp;E'!AT$24</f>
        <v>1</v>
      </c>
      <c r="AU24" s="124">
        <f xml:space="preserve"> 'T&amp;E'!AU$24</f>
        <v>1</v>
      </c>
      <c r="AV24" s="124">
        <f xml:space="preserve"> 'T&amp;E'!AV$24</f>
        <v>1</v>
      </c>
      <c r="AW24" s="124">
        <f xml:space="preserve"> 'T&amp;E'!AW$24</f>
        <v>1</v>
      </c>
      <c r="AX24" s="124">
        <f xml:space="preserve"> 'T&amp;E'!AX$24</f>
        <v>1</v>
      </c>
      <c r="AY24" s="124">
        <f xml:space="preserve"> 'T&amp;E'!AY$24</f>
        <v>1</v>
      </c>
      <c r="AZ24" s="124">
        <f xml:space="preserve"> 'T&amp;E'!AZ$24</f>
        <v>1</v>
      </c>
      <c r="BA24" s="124">
        <f xml:space="preserve"> 'T&amp;E'!BA$24</f>
        <v>1</v>
      </c>
      <c r="BB24" s="124">
        <f xml:space="preserve"> 'T&amp;E'!BB$24</f>
        <v>1</v>
      </c>
      <c r="BC24" s="124">
        <f xml:space="preserve"> 'T&amp;E'!BC$24</f>
        <v>1</v>
      </c>
      <c r="BD24" s="124">
        <f xml:space="preserve"> 'T&amp;E'!BD$24</f>
        <v>1</v>
      </c>
      <c r="BE24" s="124">
        <f xml:space="preserve"> 'T&amp;E'!BE$24</f>
        <v>1</v>
      </c>
      <c r="BF24" s="124">
        <f xml:space="preserve"> 'T&amp;E'!BF$24</f>
        <v>1</v>
      </c>
      <c r="BG24" s="124">
        <f xml:space="preserve"> 'T&amp;E'!BG$24</f>
        <v>1</v>
      </c>
      <c r="BH24" s="124">
        <f xml:space="preserve"> 'T&amp;E'!BH$24</f>
        <v>1</v>
      </c>
      <c r="BI24" s="124">
        <f xml:space="preserve"> 'T&amp;E'!BI$24</f>
        <v>1</v>
      </c>
      <c r="BJ24" s="124">
        <f xml:space="preserve"> 'T&amp;E'!BJ$24</f>
        <v>1</v>
      </c>
      <c r="BK24" s="124">
        <f xml:space="preserve"> 'T&amp;E'!BK$24</f>
        <v>1</v>
      </c>
      <c r="BL24" s="124">
        <f xml:space="preserve"> 'T&amp;E'!BL$24</f>
        <v>1</v>
      </c>
      <c r="BM24" s="124">
        <f xml:space="preserve"> 'T&amp;E'!BM$24</f>
        <v>1</v>
      </c>
      <c r="BN24" s="124">
        <f xml:space="preserve"> 'T&amp;E'!BN$24</f>
        <v>1</v>
      </c>
      <c r="BO24" s="124">
        <f xml:space="preserve"> 'T&amp;E'!BO$24</f>
        <v>1</v>
      </c>
      <c r="BP24" s="124">
        <f xml:space="preserve"> 'T&amp;E'!BP$24</f>
        <v>1</v>
      </c>
      <c r="BQ24" s="124">
        <f xml:space="preserve"> 'T&amp;E'!BQ$24</f>
        <v>1</v>
      </c>
      <c r="BR24" s="124">
        <f xml:space="preserve"> 'T&amp;E'!BR$24</f>
        <v>1</v>
      </c>
      <c r="BS24" s="124">
        <f xml:space="preserve"> 'T&amp;E'!BS$24</f>
        <v>1</v>
      </c>
      <c r="BT24" s="124">
        <f xml:space="preserve"> 'T&amp;E'!BT$24</f>
        <v>1</v>
      </c>
      <c r="BU24" s="124">
        <f xml:space="preserve"> 'T&amp;E'!BU$24</f>
        <v>1</v>
      </c>
      <c r="BV24" s="124">
        <f xml:space="preserve"> 'T&amp;E'!BV$24</f>
        <v>1</v>
      </c>
      <c r="BW24" s="124">
        <f xml:space="preserve"> 'T&amp;E'!BW$24</f>
        <v>0</v>
      </c>
      <c r="BX24" s="124">
        <f xml:space="preserve"> 'T&amp;E'!BX$24</f>
        <v>0</v>
      </c>
      <c r="BY24" s="124">
        <f xml:space="preserve"> 'T&amp;E'!BY$24</f>
        <v>0</v>
      </c>
      <c r="BZ24" s="124">
        <f xml:space="preserve"> 'T&amp;E'!BZ$24</f>
        <v>0</v>
      </c>
      <c r="CA24" s="124">
        <f xml:space="preserve"> 'T&amp;E'!CA$24</f>
        <v>0</v>
      </c>
    </row>
    <row r="25" spans="1:79" s="87" customFormat="1" x14ac:dyDescent="0.2">
      <c r="A25" s="81"/>
      <c r="B25" s="82"/>
      <c r="C25" s="151"/>
      <c r="D25" s="86"/>
      <c r="E25" s="87" t="s">
        <v>94</v>
      </c>
      <c r="G25" s="87" t="str">
        <f xml:space="preserve"> SMU</f>
        <v>€ 000s</v>
      </c>
      <c r="H25" s="87">
        <f>SUM(J25:CA25)</f>
        <v>111388.27416707478</v>
      </c>
      <c r="J25" s="87">
        <f xml:space="preserve"> ($F22 / 2) * J23 * J24</f>
        <v>0</v>
      </c>
      <c r="K25" s="87">
        <f t="shared" ref="K25" si="4" xml:space="preserve"> ($F22 / 2) * K23 * K24</f>
        <v>0</v>
      </c>
      <c r="L25" s="87">
        <f t="shared" ref="L25" si="5" xml:space="preserve"> ($F22 / 2) * L23 * L24</f>
        <v>0</v>
      </c>
      <c r="M25" s="87">
        <f t="shared" ref="M25" si="6" xml:space="preserve"> ($F22 / 2) * M23 * M24</f>
        <v>0</v>
      </c>
      <c r="N25" s="87">
        <f t="shared" ref="N25" si="7" xml:space="preserve"> ($F22 / 2) * N23 * N24</f>
        <v>0</v>
      </c>
      <c r="O25" s="87">
        <f t="shared" ref="O25" si="8" xml:space="preserve"> ($F22 / 2) * O23 * O24</f>
        <v>1260.7499999999993</v>
      </c>
      <c r="P25" s="87">
        <f t="shared" ref="P25" si="9" xml:space="preserve"> ($F22 / 2) * P23 * P24</f>
        <v>1276.4120912003684</v>
      </c>
      <c r="Q25" s="87">
        <f t="shared" ref="Q25" si="10" xml:space="preserve"> ($F22 / 2) * Q23 * Q24</f>
        <v>1292.268749999999</v>
      </c>
      <c r="R25" s="87">
        <f t="shared" ref="R25" si="11" xml:space="preserve"> ($F22 / 2) * R23 * R24</f>
        <v>1308.3223934803775</v>
      </c>
      <c r="S25" s="87">
        <f t="shared" ref="S25" si="12" xml:space="preserve"> ($F22 / 2) * S23 * S24</f>
        <v>1324.5754687499987</v>
      </c>
      <c r="T25" s="87">
        <f t="shared" ref="T25" si="13" xml:space="preserve"> ($F22 / 2) * T23 * T24</f>
        <v>1341.0304533173864</v>
      </c>
      <c r="U25" s="87">
        <f t="shared" ref="U25" si="14" xml:space="preserve"> ($F22 / 2) * U23 * U24</f>
        <v>1357.6898554687482</v>
      </c>
      <c r="V25" s="87">
        <f t="shared" ref="V25" si="15" xml:space="preserve"> ($F22 / 2) * V23 * V24</f>
        <v>1374.556214650321</v>
      </c>
      <c r="W25" s="87">
        <f t="shared" ref="W25" si="16" xml:space="preserve"> ($F22 / 2) * W23 * W24</f>
        <v>1391.6321018554665</v>
      </c>
      <c r="X25" s="87">
        <f t="shared" ref="X25" si="17" xml:space="preserve"> ($F22 / 2) * X23 * X24</f>
        <v>1408.9201200165785</v>
      </c>
      <c r="Y25" s="87">
        <f t="shared" ref="Y25" si="18" xml:space="preserve"> ($F22 / 2) * Y23 * Y24</f>
        <v>1426.422904401853</v>
      </c>
      <c r="Z25" s="87">
        <f t="shared" ref="Z25" si="19" xml:space="preserve"> ($F22 / 2) * Z23 * Z24</f>
        <v>1444.1431230169926</v>
      </c>
      <c r="AA25" s="87">
        <f t="shared" ref="AA25" si="20" xml:space="preserve"> ($F22 / 2) * AA23 * AA24</f>
        <v>1462.0834770118988</v>
      </c>
      <c r="AB25" s="87">
        <f t="shared" ref="AB25" si="21" xml:space="preserve"> ($F22 / 2) * AB23 * AB24</f>
        <v>1480.246701092417</v>
      </c>
      <c r="AC25" s="87">
        <f t="shared" ref="AC25" si="22" xml:space="preserve"> ($F22 / 2) * AC23 * AC24</f>
        <v>1498.6355639371959</v>
      </c>
      <c r="AD25" s="87">
        <f t="shared" ref="AD25" si="23" xml:space="preserve"> ($F22 / 2) * AD23 * AD24</f>
        <v>1517.2528686197268</v>
      </c>
      <c r="AE25" s="87">
        <f t="shared" ref="AE25" si="24" xml:space="preserve"> ($F22 / 2) * AE23 * AE24</f>
        <v>1536.1014530356254</v>
      </c>
      <c r="AF25" s="87">
        <f t="shared" ref="AF25" si="25" xml:space="preserve"> ($F22 / 2) * AF23 * AF24</f>
        <v>1555.1841903352195</v>
      </c>
      <c r="AG25" s="87">
        <f t="shared" ref="AG25" si="26" xml:space="preserve"> ($F22 / 2) * AG23 * AG24</f>
        <v>1574.5039893615156</v>
      </c>
      <c r="AH25" s="87">
        <f t="shared" ref="AH25" si="27" xml:space="preserve"> ($F22 / 2) * AH23 * AH24</f>
        <v>1594.0637950935995</v>
      </c>
      <c r="AI25" s="87">
        <f t="shared" ref="AI25" si="28" xml:space="preserve"> ($F22 / 2) * AI23 * AI24</f>
        <v>1613.8665890955529</v>
      </c>
      <c r="AJ25" s="87">
        <f t="shared" ref="AJ25" si="29" xml:space="preserve"> ($F22 / 2) * AJ23 * AJ24</f>
        <v>1633.915389970939</v>
      </c>
      <c r="AK25" s="87">
        <f t="shared" ref="AK25" si="30" xml:space="preserve"> ($F22 / 2) * AK23 * AK24</f>
        <v>1654.2132538229412</v>
      </c>
      <c r="AL25" s="87">
        <f t="shared" ref="AL25" si="31" xml:space="preserve"> ($F22 / 2) * AL23 * AL24</f>
        <v>1674.7632747202119</v>
      </c>
      <c r="AM25" s="87">
        <f t="shared" ref="AM25" si="32" xml:space="preserve"> ($F22 / 2) * AM23 * AM24</f>
        <v>1695.5685851685141</v>
      </c>
      <c r="AN25" s="87">
        <f t="shared" ref="AN25" si="33" xml:space="preserve"> ($F22 / 2) * AN23 * AN24</f>
        <v>1716.6323565882167</v>
      </c>
      <c r="AO25" s="87">
        <f t="shared" ref="AO25" si="34" xml:space="preserve"> ($F22 / 2) * AO23 * AO24</f>
        <v>1737.9577997977262</v>
      </c>
      <c r="AP25" s="87">
        <f t="shared" ref="AP25" si="35" xml:space="preserve"> ($F22 / 2) * AP23 * AP24</f>
        <v>1759.5481655029214</v>
      </c>
      <c r="AQ25" s="87">
        <f t="shared" ref="AQ25" si="36" xml:space="preserve"> ($F22 / 2) * AQ23 * AQ24</f>
        <v>1781.4067447926689</v>
      </c>
      <c r="AR25" s="87">
        <f t="shared" ref="AR25" si="37" xml:space="preserve"> ($F22 / 2) * AR23 * AR24</f>
        <v>1803.5368696404939</v>
      </c>
      <c r="AS25" s="87">
        <f t="shared" ref="AS25" si="38" xml:space="preserve"> ($F22 / 2) * AS23 * AS24</f>
        <v>1825.9419134124853</v>
      </c>
      <c r="AT25" s="87">
        <f t="shared" ref="AT25" si="39" xml:space="preserve"> ($F22 / 2) * AT23 * AT24</f>
        <v>1848.6252913815058</v>
      </c>
      <c r="AU25" s="87">
        <f t="shared" ref="AU25" si="40" xml:space="preserve"> ($F22 / 2) * AU23 * AU24</f>
        <v>1871.5904612477968</v>
      </c>
      <c r="AV25" s="87">
        <f t="shared" ref="AV25" si="41" xml:space="preserve"> ($F22 / 2) * AV23 * AV24</f>
        <v>1894.840923666043</v>
      </c>
      <c r="AW25" s="87">
        <f t="shared" ref="AW25" si="42" xml:space="preserve"> ($F22 / 2) * AW23 * AW24</f>
        <v>1918.3802227789911</v>
      </c>
      <c r="AX25" s="87">
        <f t="shared" ref="AX25" si="43" xml:space="preserve"> ($F22 / 2) * AX23 * AX24</f>
        <v>1942.2119467576936</v>
      </c>
      <c r="AY25" s="87">
        <f t="shared" ref="AY25" si="44" xml:space="preserve"> ($F22 / 2) * AY23 * AY24</f>
        <v>1966.3397283484653</v>
      </c>
      <c r="AZ25" s="87">
        <f t="shared" ref="AZ25" si="45" xml:space="preserve"> ($F22 / 2) * AZ23 * AZ24</f>
        <v>1990.7672454266353</v>
      </c>
      <c r="BA25" s="87">
        <f t="shared" ref="BA25" si="46" xml:space="preserve"> ($F22 / 2) * BA23 * BA24</f>
        <v>2015.4982215571765</v>
      </c>
      <c r="BB25" s="87">
        <f t="shared" ref="BB25" si="47" xml:space="preserve"> ($F22 / 2) * BB23 * BB24</f>
        <v>2040.5364265623007</v>
      </c>
      <c r="BC25" s="87">
        <f t="shared" ref="BC25" si="48" xml:space="preserve"> ($F22 / 2) * BC23 * BC24</f>
        <v>2065.8856770961052</v>
      </c>
      <c r="BD25" s="87">
        <f t="shared" ref="BD25" si="49" xml:space="preserve"> ($F22 / 2) * BD23 * BD24</f>
        <v>2091.5498372263573</v>
      </c>
      <c r="BE25" s="87">
        <f t="shared" ref="BE25" si="50" xml:space="preserve"> ($F22 / 2) * BE23 * BE24</f>
        <v>2117.5328190235073</v>
      </c>
      <c r="BF25" s="87">
        <f t="shared" ref="BF25" si="51" xml:space="preserve"> ($F22 / 2) * BF23 * BF24</f>
        <v>2143.8385831570158</v>
      </c>
      <c r="BG25" s="87">
        <f t="shared" ref="BG25" si="52" xml:space="preserve"> ($F22 / 2) * BG23 * BG24</f>
        <v>2170.4711394990941</v>
      </c>
      <c r="BH25" s="87">
        <f t="shared" ref="BH25" si="53" xml:space="preserve"> ($F22 / 2) * BH23 * BH24</f>
        <v>2197.4345477359407</v>
      </c>
      <c r="BI25" s="87">
        <f t="shared" ref="BI25" si="54" xml:space="preserve"> ($F22 / 2) * BI23 * BI24</f>
        <v>2224.732917986571</v>
      </c>
      <c r="BJ25" s="87">
        <f t="shared" ref="BJ25" si="55" xml:space="preserve"> ($F22 / 2) * BJ23 * BJ24</f>
        <v>2252.3704114293382</v>
      </c>
      <c r="BK25" s="87">
        <f t="shared" ref="BK25" si="56" xml:space="preserve"> ($F22 / 2) * BK23 * BK24</f>
        <v>2280.3512409362347</v>
      </c>
      <c r="BL25" s="87">
        <f t="shared" ref="BL25" si="57" xml:space="preserve"> ($F22 / 2) * BL23 * BL24</f>
        <v>2308.6796717150714</v>
      </c>
      <c r="BM25" s="87">
        <f t="shared" ref="BM25" si="58" xml:space="preserve"> ($F22 / 2) * BM23 * BM24</f>
        <v>2337.3600219596401</v>
      </c>
      <c r="BN25" s="87">
        <f t="shared" ref="BN25" si="59" xml:space="preserve"> ($F22 / 2) * BN23 * BN24</f>
        <v>2366.3966635079473</v>
      </c>
      <c r="BO25" s="87">
        <f t="shared" ref="BO25" si="60" xml:space="preserve"> ($F22 / 2) * BO23 * BO24</f>
        <v>2395.7940225086304</v>
      </c>
      <c r="BP25" s="87">
        <f t="shared" ref="BP25" si="61" xml:space="preserve"> ($F22 / 2) * BP23 * BP24</f>
        <v>2425.5565800956456</v>
      </c>
      <c r="BQ25" s="87">
        <f t="shared" ref="BQ25" si="62" xml:space="preserve"> ($F22 / 2) * BQ23 * BQ24</f>
        <v>2455.6888730713458</v>
      </c>
      <c r="BR25" s="87">
        <f t="shared" ref="BR25" si="63" xml:space="preserve"> ($F22 / 2) * BR23 * BR24</f>
        <v>2486.1954945980365</v>
      </c>
      <c r="BS25" s="87">
        <f t="shared" ref="BS25" si="64" xml:space="preserve"> ($F22 / 2) * BS23 * BS24</f>
        <v>2517.0810948981284</v>
      </c>
      <c r="BT25" s="87">
        <f t="shared" ref="BT25" si="65" xml:space="preserve"> ($F22 / 2) * BT23 * BT24</f>
        <v>2548.3503819629868</v>
      </c>
      <c r="BU25" s="87">
        <f t="shared" ref="BU25" si="66" xml:space="preserve"> ($F22 / 2) * BU23 * BU24</f>
        <v>2580.0081222705812</v>
      </c>
      <c r="BV25" s="87">
        <f t="shared" ref="BV25" si="67" xml:space="preserve"> ($F22 / 2) * BV23 * BV24</f>
        <v>2612.0591415120607</v>
      </c>
      <c r="BW25" s="87">
        <f t="shared" ref="BW25" si="68" xml:space="preserve"> ($F22 / 2) * BW23 * BW24</f>
        <v>0</v>
      </c>
      <c r="BX25" s="87">
        <f t="shared" ref="BX25" si="69" xml:space="preserve"> ($F22 / 2) * BX23 * BX24</f>
        <v>0</v>
      </c>
      <c r="BY25" s="87">
        <f t="shared" ref="BY25" si="70" xml:space="preserve"> ($F22 / 2) * BY23 * BY24</f>
        <v>0</v>
      </c>
      <c r="BZ25" s="87">
        <f t="shared" ref="BZ25" si="71" xml:space="preserve"> ($F22 / 2) * BZ23 * BZ24</f>
        <v>0</v>
      </c>
      <c r="CA25" s="87">
        <f t="shared" ref="CA25" si="72" xml:space="preserve"> ($F22 / 2) * CA23 * CA24</f>
        <v>0</v>
      </c>
    </row>
    <row r="26" spans="1:79" s="87" customFormat="1" x14ac:dyDescent="0.2">
      <c r="A26" s="81"/>
      <c r="B26" s="82"/>
      <c r="C26" s="151"/>
      <c r="D26" s="86"/>
    </row>
    <row r="27" spans="1:79" s="87" customFormat="1" x14ac:dyDescent="0.2">
      <c r="A27" s="81"/>
      <c r="B27" s="82"/>
      <c r="C27" s="151"/>
      <c r="D27" s="86"/>
    </row>
    <row r="28" spans="1:79" s="87" customFormat="1" x14ac:dyDescent="0.2">
      <c r="A28" s="81" t="s">
        <v>57</v>
      </c>
      <c r="B28" s="82"/>
      <c r="C28" s="151"/>
      <c r="D28" s="86"/>
    </row>
    <row r="29" spans="1:79" s="87" customFormat="1" x14ac:dyDescent="0.2">
      <c r="A29" s="81"/>
      <c r="B29" s="82"/>
      <c r="C29" s="151"/>
      <c r="D29" s="86"/>
    </row>
    <row r="30" spans="1:79" s="87" customFormat="1" x14ac:dyDescent="0.2">
      <c r="A30" s="81"/>
      <c r="B30" s="82"/>
      <c r="C30" s="151"/>
      <c r="D30" s="86"/>
      <c r="E30" s="87" t="str">
        <f xml:space="preserve"> E$11</f>
        <v>Variable ground handling costs</v>
      </c>
      <c r="F30" s="87">
        <f t="shared" ref="F30:BQ30" si="73" xml:space="preserve"> F$11</f>
        <v>0</v>
      </c>
      <c r="G30" s="87" t="str">
        <f t="shared" si="73"/>
        <v>€ 000s</v>
      </c>
      <c r="H30" s="87">
        <f t="shared" si="73"/>
        <v>282201.79574257974</v>
      </c>
      <c r="I30" s="87">
        <f t="shared" si="73"/>
        <v>0</v>
      </c>
      <c r="J30" s="87">
        <f t="shared" si="73"/>
        <v>0</v>
      </c>
      <c r="K30" s="87">
        <f t="shared" si="73"/>
        <v>0</v>
      </c>
      <c r="L30" s="87">
        <f t="shared" si="73"/>
        <v>0</v>
      </c>
      <c r="M30" s="87">
        <f t="shared" si="73"/>
        <v>0</v>
      </c>
      <c r="N30" s="87">
        <f t="shared" si="73"/>
        <v>0</v>
      </c>
      <c r="O30" s="87">
        <f t="shared" si="73"/>
        <v>3532.831624999998</v>
      </c>
      <c r="P30" s="87">
        <f t="shared" si="73"/>
        <v>3489.9233926903412</v>
      </c>
      <c r="Q30" s="87">
        <f t="shared" si="73"/>
        <v>3709.0266906249976</v>
      </c>
      <c r="R30" s="87">
        <f t="shared" si="73"/>
        <v>3199.0663057917695</v>
      </c>
      <c r="S30" s="87">
        <f t="shared" si="73"/>
        <v>3388.9263367968715</v>
      </c>
      <c r="T30" s="87">
        <f t="shared" si="73"/>
        <v>3336.0367577025518</v>
      </c>
      <c r="U30" s="87">
        <f t="shared" si="73"/>
        <v>3531.3513140742139</v>
      </c>
      <c r="V30" s="87">
        <f t="shared" si="73"/>
        <v>3364.9136134639857</v>
      </c>
      <c r="W30" s="87">
        <f t="shared" si="73"/>
        <v>3564.4336902191349</v>
      </c>
      <c r="X30" s="87">
        <f t="shared" si="73"/>
        <v>3508.9155589012885</v>
      </c>
      <c r="Y30" s="87">
        <f t="shared" si="73"/>
        <v>3714.167505911691</v>
      </c>
      <c r="Z30" s="87">
        <f t="shared" si="73"/>
        <v>3559.8127982368869</v>
      </c>
      <c r="AA30" s="87">
        <f t="shared" si="73"/>
        <v>3769.7385648956792</v>
      </c>
      <c r="AB30" s="87">
        <f t="shared" si="73"/>
        <v>3648.8081181928078</v>
      </c>
      <c r="AC30" s="87">
        <f t="shared" si="73"/>
        <v>3863.9820290180701</v>
      </c>
      <c r="AD30" s="87">
        <f t="shared" si="73"/>
        <v>3740.0283211476267</v>
      </c>
      <c r="AE30" s="87">
        <f t="shared" si="73"/>
        <v>3960.5815797435203</v>
      </c>
      <c r="AF30" s="87">
        <f t="shared" si="73"/>
        <v>3833.5290291763163</v>
      </c>
      <c r="AG30" s="87">
        <f t="shared" si="73"/>
        <v>4059.5961192371074</v>
      </c>
      <c r="AH30" s="87">
        <f t="shared" si="73"/>
        <v>3929.3672549057233</v>
      </c>
      <c r="AI30" s="87">
        <f t="shared" si="73"/>
        <v>4161.0860222180336</v>
      </c>
      <c r="AJ30" s="87">
        <f t="shared" si="73"/>
        <v>4027.6014362783644</v>
      </c>
      <c r="AK30" s="87">
        <f t="shared" si="73"/>
        <v>4265.1131727734828</v>
      </c>
      <c r="AL30" s="87">
        <f t="shared" si="73"/>
        <v>4128.2914721853222</v>
      </c>
      <c r="AM30" s="87">
        <f t="shared" si="73"/>
        <v>4371.7410020928191</v>
      </c>
      <c r="AN30" s="87">
        <f t="shared" si="73"/>
        <v>4231.4987589899547</v>
      </c>
      <c r="AO30" s="87">
        <f t="shared" si="73"/>
        <v>4481.034527145137</v>
      </c>
      <c r="AP30" s="87">
        <f t="shared" si="73"/>
        <v>4337.2862279647015</v>
      </c>
      <c r="AQ30" s="87">
        <f t="shared" si="73"/>
        <v>4593.0603903237643</v>
      </c>
      <c r="AR30" s="87">
        <f t="shared" si="73"/>
        <v>4445.7183836638169</v>
      </c>
      <c r="AS30" s="87">
        <f t="shared" si="73"/>
        <v>4707.8869000818577</v>
      </c>
      <c r="AT30" s="87">
        <f t="shared" si="73"/>
        <v>4556.8613432554121</v>
      </c>
      <c r="AU30" s="87">
        <f t="shared" si="73"/>
        <v>4825.5840725839025</v>
      </c>
      <c r="AV30" s="87">
        <f t="shared" si="73"/>
        <v>4670.7828768367963</v>
      </c>
      <c r="AW30" s="87">
        <f t="shared" si="73"/>
        <v>4946.2236743984986</v>
      </c>
      <c r="AX30" s="87">
        <f t="shared" si="73"/>
        <v>4787.552448757715</v>
      </c>
      <c r="AY30" s="87">
        <f t="shared" si="73"/>
        <v>5069.8792662584592</v>
      </c>
      <c r="AZ30" s="87">
        <f t="shared" si="73"/>
        <v>4907.2412599766558</v>
      </c>
      <c r="BA30" s="87">
        <f t="shared" si="73"/>
        <v>5196.62624791492</v>
      </c>
      <c r="BB30" s="87">
        <f t="shared" si="73"/>
        <v>5029.9222914760712</v>
      </c>
      <c r="BC30" s="87">
        <f t="shared" si="73"/>
        <v>5326.5419041127916</v>
      </c>
      <c r="BD30" s="87">
        <f t="shared" si="73"/>
        <v>5155.6703487629711</v>
      </c>
      <c r="BE30" s="87">
        <f t="shared" si="73"/>
        <v>5459.7054517156093</v>
      </c>
      <c r="BF30" s="87">
        <f t="shared" si="73"/>
        <v>5284.5621074820438</v>
      </c>
      <c r="BG30" s="87">
        <f t="shared" si="73"/>
        <v>5596.1980880084975</v>
      </c>
      <c r="BH30" s="87">
        <f t="shared" si="73"/>
        <v>5416.6761601690932</v>
      </c>
      <c r="BI30" s="87">
        <f t="shared" si="73"/>
        <v>5483.9666428368973</v>
      </c>
      <c r="BJ30" s="87">
        <f t="shared" si="73"/>
        <v>5807.361710801978</v>
      </c>
      <c r="BK30" s="87">
        <f t="shared" si="73"/>
        <v>5621.0658089078179</v>
      </c>
      <c r="BL30" s="87">
        <f t="shared" si="73"/>
        <v>5952.5457535720252</v>
      </c>
      <c r="BM30" s="87">
        <f t="shared" si="73"/>
        <v>5761.592454130513</v>
      </c>
      <c r="BN30" s="87">
        <f t="shared" si="73"/>
        <v>6101.3593974113237</v>
      </c>
      <c r="BO30" s="87">
        <f t="shared" si="73"/>
        <v>5905.6322654837732</v>
      </c>
      <c r="BP30" s="87">
        <f t="shared" si="73"/>
        <v>6253.8933823466068</v>
      </c>
      <c r="BQ30" s="87">
        <f t="shared" si="73"/>
        <v>6053.2730721208663</v>
      </c>
      <c r="BR30" s="87">
        <f t="shared" ref="BR30:CA30" si="74" xml:space="preserve"> BR$11</f>
        <v>6128.4718941841593</v>
      </c>
      <c r="BS30" s="87">
        <f t="shared" si="74"/>
        <v>6489.8740896790086</v>
      </c>
      <c r="BT30" s="87">
        <f t="shared" si="74"/>
        <v>6570.4967348279006</v>
      </c>
      <c r="BU30" s="87">
        <f t="shared" si="74"/>
        <v>6652.1209419209827</v>
      </c>
      <c r="BV30" s="87">
        <f t="shared" si="74"/>
        <v>6734.7591531985963</v>
      </c>
      <c r="BW30" s="87">
        <f t="shared" si="74"/>
        <v>0</v>
      </c>
      <c r="BX30" s="87">
        <f t="shared" si="74"/>
        <v>0</v>
      </c>
      <c r="BY30" s="87">
        <f t="shared" si="74"/>
        <v>0</v>
      </c>
      <c r="BZ30" s="87">
        <f t="shared" si="74"/>
        <v>0</v>
      </c>
      <c r="CA30" s="87">
        <f t="shared" si="74"/>
        <v>0</v>
      </c>
    </row>
    <row r="31" spans="1:79" s="87" customFormat="1" x14ac:dyDescent="0.2">
      <c r="A31" s="81"/>
      <c r="B31" s="82"/>
      <c r="C31" s="151"/>
      <c r="D31" s="86"/>
      <c r="E31" s="87" t="str">
        <f xml:space="preserve"> E$17</f>
        <v>Fixed ground handling costs</v>
      </c>
      <c r="F31" s="87">
        <f t="shared" ref="F31:BQ31" si="75" xml:space="preserve"> F$17</f>
        <v>0</v>
      </c>
      <c r="G31" s="87" t="str">
        <f t="shared" si="75"/>
        <v>€ 000s</v>
      </c>
      <c r="H31" s="87">
        <f t="shared" si="75"/>
        <v>167082.41125061217</v>
      </c>
      <c r="I31" s="87">
        <f t="shared" si="75"/>
        <v>0</v>
      </c>
      <c r="J31" s="87">
        <f t="shared" si="75"/>
        <v>0</v>
      </c>
      <c r="K31" s="87">
        <f t="shared" si="75"/>
        <v>0</v>
      </c>
      <c r="L31" s="87">
        <f t="shared" si="75"/>
        <v>0</v>
      </c>
      <c r="M31" s="87">
        <f t="shared" si="75"/>
        <v>0</v>
      </c>
      <c r="N31" s="87">
        <f t="shared" si="75"/>
        <v>0</v>
      </c>
      <c r="O31" s="87">
        <f t="shared" si="75"/>
        <v>1891.1249999999991</v>
      </c>
      <c r="P31" s="87">
        <f t="shared" si="75"/>
        <v>1914.6181368005527</v>
      </c>
      <c r="Q31" s="87">
        <f t="shared" si="75"/>
        <v>1938.4031249999987</v>
      </c>
      <c r="R31" s="87">
        <f t="shared" si="75"/>
        <v>1962.4835902205662</v>
      </c>
      <c r="S31" s="87">
        <f t="shared" si="75"/>
        <v>1986.8632031249979</v>
      </c>
      <c r="T31" s="87">
        <f t="shared" si="75"/>
        <v>2011.5456799760796</v>
      </c>
      <c r="U31" s="87">
        <f t="shared" si="75"/>
        <v>2036.5347832031223</v>
      </c>
      <c r="V31" s="87">
        <f t="shared" si="75"/>
        <v>2061.8343219754815</v>
      </c>
      <c r="W31" s="87">
        <f t="shared" si="75"/>
        <v>2087.4481527831999</v>
      </c>
      <c r="X31" s="87">
        <f t="shared" si="75"/>
        <v>2113.3801800248675</v>
      </c>
      <c r="Y31" s="87">
        <f t="shared" si="75"/>
        <v>2139.6343566027795</v>
      </c>
      <c r="Z31" s="87">
        <f t="shared" si="75"/>
        <v>2166.2146845254888</v>
      </c>
      <c r="AA31" s="87">
        <f t="shared" si="75"/>
        <v>2193.1252155178481</v>
      </c>
      <c r="AB31" s="87">
        <f t="shared" si="75"/>
        <v>2220.3700516386257</v>
      </c>
      <c r="AC31" s="87">
        <f t="shared" si="75"/>
        <v>2247.9533459057939</v>
      </c>
      <c r="AD31" s="87">
        <f t="shared" si="75"/>
        <v>2275.8793029295903</v>
      </c>
      <c r="AE31" s="87">
        <f t="shared" si="75"/>
        <v>2304.1521795534381</v>
      </c>
      <c r="AF31" s="87">
        <f t="shared" si="75"/>
        <v>2332.7762855028291</v>
      </c>
      <c r="AG31" s="87">
        <f t="shared" si="75"/>
        <v>2361.7559840422732</v>
      </c>
      <c r="AH31" s="87">
        <f t="shared" si="75"/>
        <v>2391.0956926403992</v>
      </c>
      <c r="AI31" s="87">
        <f t="shared" si="75"/>
        <v>2420.7998836433289</v>
      </c>
      <c r="AJ31" s="87">
        <f t="shared" si="75"/>
        <v>2450.8730849564085</v>
      </c>
      <c r="AK31" s="87">
        <f t="shared" si="75"/>
        <v>2481.3198807344115</v>
      </c>
      <c r="AL31" s="87">
        <f t="shared" si="75"/>
        <v>2512.1449120803181</v>
      </c>
      <c r="AM31" s="87">
        <f t="shared" si="75"/>
        <v>2543.3528777527708</v>
      </c>
      <c r="AN31" s="87">
        <f t="shared" si="75"/>
        <v>2574.948534882325</v>
      </c>
      <c r="AO31" s="87">
        <f t="shared" si="75"/>
        <v>2606.9366996965891</v>
      </c>
      <c r="AP31" s="87">
        <f t="shared" si="75"/>
        <v>2639.322248254382</v>
      </c>
      <c r="AQ31" s="87">
        <f t="shared" si="75"/>
        <v>2672.1101171890032</v>
      </c>
      <c r="AR31" s="87">
        <f t="shared" si="75"/>
        <v>2705.3053044607409</v>
      </c>
      <c r="AS31" s="87">
        <f t="shared" si="75"/>
        <v>2738.9128701187278</v>
      </c>
      <c r="AT31" s="87">
        <f t="shared" si="75"/>
        <v>2772.9379370722586</v>
      </c>
      <c r="AU31" s="87">
        <f t="shared" si="75"/>
        <v>2807.3856918716951</v>
      </c>
      <c r="AV31" s="87">
        <f t="shared" si="75"/>
        <v>2842.2613854990645</v>
      </c>
      <c r="AW31" s="87">
        <f t="shared" si="75"/>
        <v>2877.5703341684866</v>
      </c>
      <c r="AX31" s="87">
        <f t="shared" si="75"/>
        <v>2913.3179201365406</v>
      </c>
      <c r="AY31" s="87">
        <f t="shared" si="75"/>
        <v>2949.5095925226979</v>
      </c>
      <c r="AZ31" s="87">
        <f t="shared" si="75"/>
        <v>2986.1508681399528</v>
      </c>
      <c r="BA31" s="87">
        <f t="shared" si="75"/>
        <v>3023.2473323357644</v>
      </c>
      <c r="BB31" s="87">
        <f t="shared" si="75"/>
        <v>3060.8046398434508</v>
      </c>
      <c r="BC31" s="87">
        <f t="shared" si="75"/>
        <v>3098.828515644158</v>
      </c>
      <c r="BD31" s="87">
        <f t="shared" si="75"/>
        <v>3137.3247558395365</v>
      </c>
      <c r="BE31" s="87">
        <f t="shared" si="75"/>
        <v>3176.2992285352607</v>
      </c>
      <c r="BF31" s="87">
        <f t="shared" si="75"/>
        <v>3215.7578747355237</v>
      </c>
      <c r="BG31" s="87">
        <f t="shared" si="75"/>
        <v>3255.7067092486413</v>
      </c>
      <c r="BH31" s="87">
        <f t="shared" si="75"/>
        <v>3296.1518216039108</v>
      </c>
      <c r="BI31" s="87">
        <f t="shared" si="75"/>
        <v>3337.0993769798565</v>
      </c>
      <c r="BJ31" s="87">
        <f t="shared" si="75"/>
        <v>3378.5556171440076</v>
      </c>
      <c r="BK31" s="87">
        <f t="shared" si="75"/>
        <v>3420.5268614043521</v>
      </c>
      <c r="BL31" s="87">
        <f t="shared" si="75"/>
        <v>3463.0195075726069</v>
      </c>
      <c r="BM31" s="87">
        <f t="shared" si="75"/>
        <v>3506.0400329394597</v>
      </c>
      <c r="BN31" s="87">
        <f t="shared" si="75"/>
        <v>3549.5949952619212</v>
      </c>
      <c r="BO31" s="87">
        <f t="shared" si="75"/>
        <v>3593.6910337629456</v>
      </c>
      <c r="BP31" s="87">
        <f t="shared" si="75"/>
        <v>3638.3348701434688</v>
      </c>
      <c r="BQ31" s="87">
        <f t="shared" si="75"/>
        <v>3683.5333096070185</v>
      </c>
      <c r="BR31" s="87">
        <f t="shared" ref="BR31:CA31" si="76" xml:space="preserve"> BR$17</f>
        <v>3729.2932418970545</v>
      </c>
      <c r="BS31" s="87">
        <f t="shared" si="76"/>
        <v>3775.6216423471928</v>
      </c>
      <c r="BT31" s="87">
        <f t="shared" si="76"/>
        <v>3822.5255729444802</v>
      </c>
      <c r="BU31" s="87">
        <f t="shared" si="76"/>
        <v>3870.0121834058718</v>
      </c>
      <c r="BV31" s="87">
        <f t="shared" si="76"/>
        <v>3918.0887122680911</v>
      </c>
      <c r="BW31" s="87">
        <f t="shared" si="76"/>
        <v>0</v>
      </c>
      <c r="BX31" s="87">
        <f t="shared" si="76"/>
        <v>0</v>
      </c>
      <c r="BY31" s="87">
        <f t="shared" si="76"/>
        <v>0</v>
      </c>
      <c r="BZ31" s="87">
        <f t="shared" si="76"/>
        <v>0</v>
      </c>
      <c r="CA31" s="87">
        <f t="shared" si="76"/>
        <v>0</v>
      </c>
    </row>
    <row r="32" spans="1:79" s="90" customFormat="1" x14ac:dyDescent="0.2">
      <c r="A32" s="82"/>
      <c r="B32" s="82"/>
      <c r="C32" s="151"/>
      <c r="D32" s="89"/>
      <c r="E32" s="90" t="str">
        <f>E$25</f>
        <v>O&amp;M contract costs</v>
      </c>
      <c r="F32" s="90">
        <f t="shared" ref="F32:BQ32" si="77">F$25</f>
        <v>0</v>
      </c>
      <c r="G32" s="90" t="str">
        <f t="shared" si="77"/>
        <v>€ 000s</v>
      </c>
      <c r="H32" s="90">
        <f t="shared" si="77"/>
        <v>111388.27416707478</v>
      </c>
      <c r="I32" s="90">
        <f t="shared" si="77"/>
        <v>0</v>
      </c>
      <c r="J32" s="90">
        <f t="shared" si="77"/>
        <v>0</v>
      </c>
      <c r="K32" s="90">
        <f t="shared" si="77"/>
        <v>0</v>
      </c>
      <c r="L32" s="90">
        <f t="shared" si="77"/>
        <v>0</v>
      </c>
      <c r="M32" s="90">
        <f t="shared" si="77"/>
        <v>0</v>
      </c>
      <c r="N32" s="90">
        <f t="shared" si="77"/>
        <v>0</v>
      </c>
      <c r="O32" s="90">
        <f t="shared" si="77"/>
        <v>1260.7499999999993</v>
      </c>
      <c r="P32" s="90">
        <f t="shared" si="77"/>
        <v>1276.4120912003684</v>
      </c>
      <c r="Q32" s="90">
        <f t="shared" si="77"/>
        <v>1292.268749999999</v>
      </c>
      <c r="R32" s="90">
        <f t="shared" si="77"/>
        <v>1308.3223934803775</v>
      </c>
      <c r="S32" s="90">
        <f t="shared" si="77"/>
        <v>1324.5754687499987</v>
      </c>
      <c r="T32" s="90">
        <f t="shared" si="77"/>
        <v>1341.0304533173864</v>
      </c>
      <c r="U32" s="90">
        <f t="shared" si="77"/>
        <v>1357.6898554687482</v>
      </c>
      <c r="V32" s="90">
        <f t="shared" si="77"/>
        <v>1374.556214650321</v>
      </c>
      <c r="W32" s="90">
        <f t="shared" si="77"/>
        <v>1391.6321018554665</v>
      </c>
      <c r="X32" s="90">
        <f t="shared" si="77"/>
        <v>1408.9201200165785</v>
      </c>
      <c r="Y32" s="90">
        <f t="shared" si="77"/>
        <v>1426.422904401853</v>
      </c>
      <c r="Z32" s="90">
        <f t="shared" si="77"/>
        <v>1444.1431230169926</v>
      </c>
      <c r="AA32" s="90">
        <f t="shared" si="77"/>
        <v>1462.0834770118988</v>
      </c>
      <c r="AB32" s="90">
        <f t="shared" si="77"/>
        <v>1480.246701092417</v>
      </c>
      <c r="AC32" s="90">
        <f t="shared" si="77"/>
        <v>1498.6355639371959</v>
      </c>
      <c r="AD32" s="90">
        <f t="shared" si="77"/>
        <v>1517.2528686197268</v>
      </c>
      <c r="AE32" s="90">
        <f t="shared" si="77"/>
        <v>1536.1014530356254</v>
      </c>
      <c r="AF32" s="90">
        <f t="shared" si="77"/>
        <v>1555.1841903352195</v>
      </c>
      <c r="AG32" s="90">
        <f t="shared" si="77"/>
        <v>1574.5039893615156</v>
      </c>
      <c r="AH32" s="90">
        <f t="shared" si="77"/>
        <v>1594.0637950935995</v>
      </c>
      <c r="AI32" s="90">
        <f t="shared" si="77"/>
        <v>1613.8665890955529</v>
      </c>
      <c r="AJ32" s="90">
        <f t="shared" si="77"/>
        <v>1633.915389970939</v>
      </c>
      <c r="AK32" s="90">
        <f t="shared" si="77"/>
        <v>1654.2132538229412</v>
      </c>
      <c r="AL32" s="90">
        <f t="shared" si="77"/>
        <v>1674.7632747202119</v>
      </c>
      <c r="AM32" s="90">
        <f t="shared" si="77"/>
        <v>1695.5685851685141</v>
      </c>
      <c r="AN32" s="90">
        <f t="shared" si="77"/>
        <v>1716.6323565882167</v>
      </c>
      <c r="AO32" s="90">
        <f t="shared" si="77"/>
        <v>1737.9577997977262</v>
      </c>
      <c r="AP32" s="90">
        <f t="shared" si="77"/>
        <v>1759.5481655029214</v>
      </c>
      <c r="AQ32" s="90">
        <f t="shared" si="77"/>
        <v>1781.4067447926689</v>
      </c>
      <c r="AR32" s="90">
        <f t="shared" si="77"/>
        <v>1803.5368696404939</v>
      </c>
      <c r="AS32" s="90">
        <f t="shared" si="77"/>
        <v>1825.9419134124853</v>
      </c>
      <c r="AT32" s="90">
        <f t="shared" si="77"/>
        <v>1848.6252913815058</v>
      </c>
      <c r="AU32" s="90">
        <f t="shared" si="77"/>
        <v>1871.5904612477968</v>
      </c>
      <c r="AV32" s="90">
        <f t="shared" si="77"/>
        <v>1894.840923666043</v>
      </c>
      <c r="AW32" s="90">
        <f t="shared" si="77"/>
        <v>1918.3802227789911</v>
      </c>
      <c r="AX32" s="90">
        <f t="shared" si="77"/>
        <v>1942.2119467576936</v>
      </c>
      <c r="AY32" s="90">
        <f t="shared" si="77"/>
        <v>1966.3397283484653</v>
      </c>
      <c r="AZ32" s="90">
        <f t="shared" si="77"/>
        <v>1990.7672454266353</v>
      </c>
      <c r="BA32" s="90">
        <f t="shared" si="77"/>
        <v>2015.4982215571765</v>
      </c>
      <c r="BB32" s="90">
        <f t="shared" si="77"/>
        <v>2040.5364265623007</v>
      </c>
      <c r="BC32" s="90">
        <f t="shared" si="77"/>
        <v>2065.8856770961052</v>
      </c>
      <c r="BD32" s="90">
        <f t="shared" si="77"/>
        <v>2091.5498372263573</v>
      </c>
      <c r="BE32" s="90">
        <f t="shared" si="77"/>
        <v>2117.5328190235073</v>
      </c>
      <c r="BF32" s="90">
        <f t="shared" si="77"/>
        <v>2143.8385831570158</v>
      </c>
      <c r="BG32" s="90">
        <f t="shared" si="77"/>
        <v>2170.4711394990941</v>
      </c>
      <c r="BH32" s="90">
        <f t="shared" si="77"/>
        <v>2197.4345477359407</v>
      </c>
      <c r="BI32" s="90">
        <f t="shared" si="77"/>
        <v>2224.732917986571</v>
      </c>
      <c r="BJ32" s="90">
        <f t="shared" si="77"/>
        <v>2252.3704114293382</v>
      </c>
      <c r="BK32" s="90">
        <f t="shared" si="77"/>
        <v>2280.3512409362347</v>
      </c>
      <c r="BL32" s="90">
        <f t="shared" si="77"/>
        <v>2308.6796717150714</v>
      </c>
      <c r="BM32" s="90">
        <f t="shared" si="77"/>
        <v>2337.3600219596401</v>
      </c>
      <c r="BN32" s="90">
        <f t="shared" si="77"/>
        <v>2366.3966635079473</v>
      </c>
      <c r="BO32" s="90">
        <f t="shared" si="77"/>
        <v>2395.7940225086304</v>
      </c>
      <c r="BP32" s="90">
        <f t="shared" si="77"/>
        <v>2425.5565800956456</v>
      </c>
      <c r="BQ32" s="90">
        <f t="shared" si="77"/>
        <v>2455.6888730713458</v>
      </c>
      <c r="BR32" s="90">
        <f t="shared" ref="BR32:CA32" si="78">BR$25</f>
        <v>2486.1954945980365</v>
      </c>
      <c r="BS32" s="90">
        <f t="shared" si="78"/>
        <v>2517.0810948981284</v>
      </c>
      <c r="BT32" s="90">
        <f t="shared" si="78"/>
        <v>2548.3503819629868</v>
      </c>
      <c r="BU32" s="90">
        <f t="shared" si="78"/>
        <v>2580.0081222705812</v>
      </c>
      <c r="BV32" s="90">
        <f t="shared" si="78"/>
        <v>2612.0591415120607</v>
      </c>
      <c r="BW32" s="90">
        <f t="shared" si="78"/>
        <v>0</v>
      </c>
      <c r="BX32" s="90">
        <f t="shared" si="78"/>
        <v>0</v>
      </c>
      <c r="BY32" s="90">
        <f t="shared" si="78"/>
        <v>0</v>
      </c>
      <c r="BZ32" s="90">
        <f t="shared" si="78"/>
        <v>0</v>
      </c>
      <c r="CA32" s="90">
        <f t="shared" si="78"/>
        <v>0</v>
      </c>
    </row>
    <row r="33" spans="1:79" s="87" customFormat="1" x14ac:dyDescent="0.2">
      <c r="A33" s="81"/>
      <c r="B33" s="82"/>
      <c r="C33" s="151"/>
      <c r="D33" s="86"/>
      <c r="E33" s="87" t="s">
        <v>95</v>
      </c>
      <c r="G33" s="87" t="str">
        <f xml:space="preserve"> SMU</f>
        <v>€ 000s</v>
      </c>
      <c r="H33" s="87">
        <f>SUM(J33:CA33)</f>
        <v>560672.48116026679</v>
      </c>
      <c r="J33" s="150">
        <f>SUM(J30:J32)</f>
        <v>0</v>
      </c>
      <c r="K33" s="150">
        <f t="shared" ref="K33:BV33" si="79">SUM(K30:K32)</f>
        <v>0</v>
      </c>
      <c r="L33" s="150">
        <f t="shared" si="79"/>
        <v>0</v>
      </c>
      <c r="M33" s="150">
        <f t="shared" si="79"/>
        <v>0</v>
      </c>
      <c r="N33" s="150">
        <f t="shared" si="79"/>
        <v>0</v>
      </c>
      <c r="O33" s="150">
        <f t="shared" si="79"/>
        <v>6684.7066249999962</v>
      </c>
      <c r="P33" s="150">
        <f t="shared" si="79"/>
        <v>6680.9536206912626</v>
      </c>
      <c r="Q33" s="150">
        <f t="shared" si="79"/>
        <v>6939.6985656249954</v>
      </c>
      <c r="R33" s="150">
        <f t="shared" si="79"/>
        <v>6469.8722894927132</v>
      </c>
      <c r="S33" s="150">
        <f t="shared" si="79"/>
        <v>6700.3650086718681</v>
      </c>
      <c r="T33" s="150">
        <f t="shared" si="79"/>
        <v>6688.612890996018</v>
      </c>
      <c r="U33" s="150">
        <f t="shared" si="79"/>
        <v>6925.575952746085</v>
      </c>
      <c r="V33" s="150">
        <f t="shared" si="79"/>
        <v>6801.304150089788</v>
      </c>
      <c r="W33" s="150">
        <f t="shared" si="79"/>
        <v>7043.5139448578011</v>
      </c>
      <c r="X33" s="150">
        <f t="shared" si="79"/>
        <v>7031.2158589427345</v>
      </c>
      <c r="Y33" s="150">
        <f t="shared" si="79"/>
        <v>7280.2247669163235</v>
      </c>
      <c r="Z33" s="150">
        <f t="shared" si="79"/>
        <v>7170.170605779369</v>
      </c>
      <c r="AA33" s="150">
        <f t="shared" si="79"/>
        <v>7424.947257425426</v>
      </c>
      <c r="AB33" s="150">
        <f t="shared" si="79"/>
        <v>7349.4248709238509</v>
      </c>
      <c r="AC33" s="150">
        <f t="shared" si="79"/>
        <v>7610.5709388610594</v>
      </c>
      <c r="AD33" s="150">
        <f t="shared" si="79"/>
        <v>7533.1604926969439</v>
      </c>
      <c r="AE33" s="150">
        <f t="shared" si="79"/>
        <v>7800.8352123325831</v>
      </c>
      <c r="AF33" s="150">
        <f t="shared" si="79"/>
        <v>7721.489505014365</v>
      </c>
      <c r="AG33" s="150">
        <f t="shared" si="79"/>
        <v>7995.8560926408963</v>
      </c>
      <c r="AH33" s="150">
        <f t="shared" si="79"/>
        <v>7914.5267426397222</v>
      </c>
      <c r="AI33" s="150">
        <f t="shared" si="79"/>
        <v>8195.7524949569161</v>
      </c>
      <c r="AJ33" s="150">
        <f t="shared" si="79"/>
        <v>8112.3899112057125</v>
      </c>
      <c r="AK33" s="150">
        <f t="shared" si="79"/>
        <v>8400.646307330835</v>
      </c>
      <c r="AL33" s="150">
        <f t="shared" si="79"/>
        <v>8315.1996589858518</v>
      </c>
      <c r="AM33" s="150">
        <f t="shared" si="79"/>
        <v>8610.6624650141039</v>
      </c>
      <c r="AN33" s="150">
        <f t="shared" si="79"/>
        <v>8523.079650460495</v>
      </c>
      <c r="AO33" s="150">
        <f t="shared" si="79"/>
        <v>8825.9290266394528</v>
      </c>
      <c r="AP33" s="150">
        <f t="shared" si="79"/>
        <v>8736.1566417220056</v>
      </c>
      <c r="AQ33" s="150">
        <f t="shared" si="79"/>
        <v>9046.5772523054366</v>
      </c>
      <c r="AR33" s="150">
        <f t="shared" si="79"/>
        <v>8954.5605577650531</v>
      </c>
      <c r="AS33" s="150">
        <f t="shared" si="79"/>
        <v>9272.7416836130706</v>
      </c>
      <c r="AT33" s="150">
        <f t="shared" si="79"/>
        <v>9178.4245717091762</v>
      </c>
      <c r="AU33" s="150">
        <f t="shared" si="79"/>
        <v>9504.5602257033952</v>
      </c>
      <c r="AV33" s="150">
        <f t="shared" si="79"/>
        <v>9407.885186001904</v>
      </c>
      <c r="AW33" s="150">
        <f t="shared" si="79"/>
        <v>9742.1742313459763</v>
      </c>
      <c r="AX33" s="150">
        <f t="shared" si="79"/>
        <v>9643.0823156519491</v>
      </c>
      <c r="AY33" s="150">
        <f t="shared" si="79"/>
        <v>9985.7285871296226</v>
      </c>
      <c r="AZ33" s="150">
        <f t="shared" si="79"/>
        <v>9884.1593735432434</v>
      </c>
      <c r="BA33" s="150">
        <f t="shared" si="79"/>
        <v>10235.371801807862</v>
      </c>
      <c r="BB33" s="150">
        <f t="shared" si="79"/>
        <v>10131.263357881822</v>
      </c>
      <c r="BC33" s="150">
        <f t="shared" si="79"/>
        <v>10491.256096853054</v>
      </c>
      <c r="BD33" s="150">
        <f t="shared" si="79"/>
        <v>10384.544941828864</v>
      </c>
      <c r="BE33" s="150">
        <f t="shared" si="79"/>
        <v>10753.537499274376</v>
      </c>
      <c r="BF33" s="150">
        <f t="shared" si="79"/>
        <v>10644.158565374582</v>
      </c>
      <c r="BG33" s="150">
        <f t="shared" si="79"/>
        <v>11022.375936756232</v>
      </c>
      <c r="BH33" s="150">
        <f t="shared" si="79"/>
        <v>10910.262529508944</v>
      </c>
      <c r="BI33" s="150">
        <f t="shared" si="79"/>
        <v>11045.798937803323</v>
      </c>
      <c r="BJ33" s="150">
        <f t="shared" si="79"/>
        <v>11438.287739375324</v>
      </c>
      <c r="BK33" s="150">
        <f t="shared" si="79"/>
        <v>11321.943911248403</v>
      </c>
      <c r="BL33" s="150">
        <f t="shared" si="79"/>
        <v>11724.244932859703</v>
      </c>
      <c r="BM33" s="150">
        <f t="shared" si="79"/>
        <v>11604.992509029613</v>
      </c>
      <c r="BN33" s="150">
        <f t="shared" si="79"/>
        <v>12017.351056181191</v>
      </c>
      <c r="BO33" s="150">
        <f t="shared" si="79"/>
        <v>11895.117321755348</v>
      </c>
      <c r="BP33" s="150">
        <f t="shared" si="79"/>
        <v>12317.784832585723</v>
      </c>
      <c r="BQ33" s="150">
        <f t="shared" si="79"/>
        <v>12192.495254799231</v>
      </c>
      <c r="BR33" s="150">
        <f t="shared" si="79"/>
        <v>12343.96063067925</v>
      </c>
      <c r="BS33" s="150">
        <f t="shared" si="79"/>
        <v>12782.576826924331</v>
      </c>
      <c r="BT33" s="150">
        <f t="shared" si="79"/>
        <v>12941.372689735366</v>
      </c>
      <c r="BU33" s="150">
        <f t="shared" si="79"/>
        <v>13102.141247597436</v>
      </c>
      <c r="BV33" s="150">
        <f t="shared" si="79"/>
        <v>13264.907006978749</v>
      </c>
      <c r="BW33" s="150">
        <f t="shared" ref="BW33:CA33" si="80">SUM(BW30:BW32)</f>
        <v>0</v>
      </c>
      <c r="BX33" s="150">
        <f t="shared" si="80"/>
        <v>0</v>
      </c>
      <c r="BY33" s="150">
        <f t="shared" si="80"/>
        <v>0</v>
      </c>
      <c r="BZ33" s="150">
        <f t="shared" si="80"/>
        <v>0</v>
      </c>
      <c r="CA33" s="150">
        <f t="shared" si="80"/>
        <v>0</v>
      </c>
    </row>
    <row r="34" spans="1:79" s="140" customFormat="1" x14ac:dyDescent="0.2">
      <c r="A34" s="137"/>
      <c r="B34" s="137"/>
      <c r="C34" s="138"/>
      <c r="D34" s="139"/>
      <c r="E34" s="140" t="str">
        <f xml:space="preserve"> LEFT(E33, LEN(E33) - 4)</f>
        <v>Operating costs</v>
      </c>
      <c r="G34" s="140" t="str">
        <f xml:space="preserve"> G33</f>
        <v>€ 000s</v>
      </c>
      <c r="H34" s="140">
        <f>SUM(J34:CA34)</f>
        <v>-560672.48116026679</v>
      </c>
      <c r="J34" s="140">
        <f t="shared" ref="J34:BU34" si="81" xml:space="preserve"> -1 * J33</f>
        <v>0</v>
      </c>
      <c r="K34" s="140">
        <f t="shared" si="81"/>
        <v>0</v>
      </c>
      <c r="L34" s="140">
        <f t="shared" si="81"/>
        <v>0</v>
      </c>
      <c r="M34" s="140">
        <f t="shared" si="81"/>
        <v>0</v>
      </c>
      <c r="N34" s="140">
        <f t="shared" si="81"/>
        <v>0</v>
      </c>
      <c r="O34" s="140">
        <f t="shared" si="81"/>
        <v>-6684.7066249999962</v>
      </c>
      <c r="P34" s="140">
        <f t="shared" si="81"/>
        <v>-6680.9536206912626</v>
      </c>
      <c r="Q34" s="140">
        <f t="shared" si="81"/>
        <v>-6939.6985656249954</v>
      </c>
      <c r="R34" s="140">
        <f t="shared" si="81"/>
        <v>-6469.8722894927132</v>
      </c>
      <c r="S34" s="140">
        <f t="shared" si="81"/>
        <v>-6700.3650086718681</v>
      </c>
      <c r="T34" s="140">
        <f t="shared" si="81"/>
        <v>-6688.612890996018</v>
      </c>
      <c r="U34" s="140">
        <f t="shared" si="81"/>
        <v>-6925.575952746085</v>
      </c>
      <c r="V34" s="140">
        <f t="shared" si="81"/>
        <v>-6801.304150089788</v>
      </c>
      <c r="W34" s="140">
        <f t="shared" si="81"/>
        <v>-7043.5139448578011</v>
      </c>
      <c r="X34" s="140">
        <f t="shared" si="81"/>
        <v>-7031.2158589427345</v>
      </c>
      <c r="Y34" s="140">
        <f t="shared" si="81"/>
        <v>-7280.2247669163235</v>
      </c>
      <c r="Z34" s="140">
        <f t="shared" si="81"/>
        <v>-7170.170605779369</v>
      </c>
      <c r="AA34" s="140">
        <f t="shared" si="81"/>
        <v>-7424.947257425426</v>
      </c>
      <c r="AB34" s="140">
        <f t="shared" si="81"/>
        <v>-7349.4248709238509</v>
      </c>
      <c r="AC34" s="140">
        <f t="shared" si="81"/>
        <v>-7610.5709388610594</v>
      </c>
      <c r="AD34" s="140">
        <f t="shared" si="81"/>
        <v>-7533.1604926969439</v>
      </c>
      <c r="AE34" s="140">
        <f t="shared" si="81"/>
        <v>-7800.8352123325831</v>
      </c>
      <c r="AF34" s="140">
        <f t="shared" si="81"/>
        <v>-7721.489505014365</v>
      </c>
      <c r="AG34" s="140">
        <f t="shared" si="81"/>
        <v>-7995.8560926408963</v>
      </c>
      <c r="AH34" s="140">
        <f t="shared" si="81"/>
        <v>-7914.5267426397222</v>
      </c>
      <c r="AI34" s="140">
        <f t="shared" si="81"/>
        <v>-8195.7524949569161</v>
      </c>
      <c r="AJ34" s="140">
        <f t="shared" si="81"/>
        <v>-8112.3899112057125</v>
      </c>
      <c r="AK34" s="140">
        <f t="shared" si="81"/>
        <v>-8400.646307330835</v>
      </c>
      <c r="AL34" s="140">
        <f t="shared" si="81"/>
        <v>-8315.1996589858518</v>
      </c>
      <c r="AM34" s="140">
        <f t="shared" si="81"/>
        <v>-8610.6624650141039</v>
      </c>
      <c r="AN34" s="140">
        <f t="shared" si="81"/>
        <v>-8523.079650460495</v>
      </c>
      <c r="AO34" s="140">
        <f t="shared" si="81"/>
        <v>-8825.9290266394528</v>
      </c>
      <c r="AP34" s="140">
        <f t="shared" si="81"/>
        <v>-8736.1566417220056</v>
      </c>
      <c r="AQ34" s="140">
        <f t="shared" si="81"/>
        <v>-9046.5772523054366</v>
      </c>
      <c r="AR34" s="140">
        <f t="shared" si="81"/>
        <v>-8954.5605577650531</v>
      </c>
      <c r="AS34" s="140">
        <f t="shared" si="81"/>
        <v>-9272.7416836130706</v>
      </c>
      <c r="AT34" s="140">
        <f t="shared" si="81"/>
        <v>-9178.4245717091762</v>
      </c>
      <c r="AU34" s="140">
        <f t="shared" si="81"/>
        <v>-9504.5602257033952</v>
      </c>
      <c r="AV34" s="140">
        <f t="shared" si="81"/>
        <v>-9407.885186001904</v>
      </c>
      <c r="AW34" s="140">
        <f t="shared" si="81"/>
        <v>-9742.1742313459763</v>
      </c>
      <c r="AX34" s="140">
        <f t="shared" si="81"/>
        <v>-9643.0823156519491</v>
      </c>
      <c r="AY34" s="140">
        <f t="shared" si="81"/>
        <v>-9985.7285871296226</v>
      </c>
      <c r="AZ34" s="140">
        <f t="shared" si="81"/>
        <v>-9884.1593735432434</v>
      </c>
      <c r="BA34" s="140">
        <f t="shared" si="81"/>
        <v>-10235.371801807862</v>
      </c>
      <c r="BB34" s="140">
        <f t="shared" si="81"/>
        <v>-10131.263357881822</v>
      </c>
      <c r="BC34" s="140">
        <f t="shared" si="81"/>
        <v>-10491.256096853054</v>
      </c>
      <c r="BD34" s="140">
        <f t="shared" si="81"/>
        <v>-10384.544941828864</v>
      </c>
      <c r="BE34" s="140">
        <f t="shared" si="81"/>
        <v>-10753.537499274376</v>
      </c>
      <c r="BF34" s="140">
        <f t="shared" si="81"/>
        <v>-10644.158565374582</v>
      </c>
      <c r="BG34" s="140">
        <f t="shared" si="81"/>
        <v>-11022.375936756232</v>
      </c>
      <c r="BH34" s="140">
        <f t="shared" si="81"/>
        <v>-10910.262529508944</v>
      </c>
      <c r="BI34" s="140">
        <f t="shared" si="81"/>
        <v>-11045.798937803323</v>
      </c>
      <c r="BJ34" s="140">
        <f t="shared" si="81"/>
        <v>-11438.287739375324</v>
      </c>
      <c r="BK34" s="140">
        <f t="shared" si="81"/>
        <v>-11321.943911248403</v>
      </c>
      <c r="BL34" s="140">
        <f t="shared" si="81"/>
        <v>-11724.244932859703</v>
      </c>
      <c r="BM34" s="140">
        <f t="shared" si="81"/>
        <v>-11604.992509029613</v>
      </c>
      <c r="BN34" s="140">
        <f t="shared" si="81"/>
        <v>-12017.351056181191</v>
      </c>
      <c r="BO34" s="140">
        <f t="shared" si="81"/>
        <v>-11895.117321755348</v>
      </c>
      <c r="BP34" s="140">
        <f t="shared" si="81"/>
        <v>-12317.784832585723</v>
      </c>
      <c r="BQ34" s="140">
        <f t="shared" si="81"/>
        <v>-12192.495254799231</v>
      </c>
      <c r="BR34" s="140">
        <f t="shared" si="81"/>
        <v>-12343.96063067925</v>
      </c>
      <c r="BS34" s="140">
        <f t="shared" si="81"/>
        <v>-12782.576826924331</v>
      </c>
      <c r="BT34" s="140">
        <f t="shared" si="81"/>
        <v>-12941.372689735366</v>
      </c>
      <c r="BU34" s="140">
        <f t="shared" si="81"/>
        <v>-13102.141247597436</v>
      </c>
      <c r="BV34" s="140">
        <f t="shared" ref="BV34:CA34" si="82" xml:space="preserve"> -1 * BV33</f>
        <v>-13264.907006978749</v>
      </c>
      <c r="BW34" s="140">
        <f t="shared" si="82"/>
        <v>0</v>
      </c>
      <c r="BX34" s="140">
        <f t="shared" si="82"/>
        <v>0</v>
      </c>
      <c r="BY34" s="140">
        <f t="shared" si="82"/>
        <v>0</v>
      </c>
      <c r="BZ34" s="140">
        <f t="shared" si="82"/>
        <v>0</v>
      </c>
      <c r="CA34" s="140">
        <f t="shared" si="82"/>
        <v>0</v>
      </c>
    </row>
  </sheetData>
  <printOptions heading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&amp;L&amp;"Arial,Bold"&amp;14Financial Mechanics Training Model&amp;C&amp;"Arial,Bold"&amp;14Sheet: &amp;A&amp;R&amp;"Arial,Bold"&amp;14STRICTLY NOT CONFIDENTIAL</oddHeader>
    <oddFooter>&amp;L&amp;12&amp;F (Printed on &amp;D at &amp;T) &amp;C&amp;12Page &amp;P of &amp;N&amp;R&amp;12© 2008 Financial Mechanics Ltd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27"/>
  <sheetViews>
    <sheetView defaultGridColor="0" colorId="22" workbookViewId="0">
      <pane xSplit="6" ySplit="4" topLeftCell="G5" activePane="bottomRight" state="frozen"/>
      <selection activeCell="G5" sqref="G5"/>
      <selection pane="topRight" activeCell="G5" sqref="G5"/>
      <selection pane="bottomLeft" activeCell="G5" sqref="G5"/>
      <selection pane="bottomRight" activeCell="E20" sqref="A20:XFD20"/>
    </sheetView>
  </sheetViews>
  <sheetFormatPr defaultColWidth="0" defaultRowHeight="12.75" x14ac:dyDescent="0.2"/>
  <cols>
    <col min="1" max="1" width="1.28515625" style="81" customWidth="1"/>
    <col min="2" max="2" width="1.28515625" style="82" customWidth="1"/>
    <col min="3" max="3" width="1.28515625" style="83" customWidth="1"/>
    <col min="4" max="4" width="1.28515625" style="84" customWidth="1"/>
    <col min="5" max="5" width="40.7109375" style="85" customWidth="1"/>
    <col min="6" max="6" width="12.7109375" style="85" customWidth="1"/>
    <col min="7" max="8" width="11.7109375" style="85" customWidth="1"/>
    <col min="9" max="9" width="2.7109375" style="85" customWidth="1"/>
    <col min="10" max="79" width="11.7109375" style="85" customWidth="1"/>
    <col min="80" max="16384" width="0" style="85" hidden="1"/>
  </cols>
  <sheetData>
    <row r="1" spans="1:79" s="72" customFormat="1" x14ac:dyDescent="0.2">
      <c r="A1" s="69" t="str">
        <f ca="1" xml:space="preserve"> RIGHT(CELL("filename", A1), LEN(CELL("filename", A1)) - SEARCH("]", CELL("filename", A1)))</f>
        <v>FixAsst</v>
      </c>
      <c r="B1" s="69"/>
      <c r="C1" s="70"/>
      <c r="D1" s="71"/>
      <c r="F1" s="73"/>
      <c r="G1" s="73"/>
      <c r="H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</row>
    <row r="2" spans="1:79" s="74" customFormat="1" x14ac:dyDescent="0.2">
      <c r="A2" s="75"/>
      <c r="B2" s="75"/>
      <c r="C2" s="107"/>
      <c r="D2" s="77"/>
      <c r="E2" s="74" t="str">
        <f xml:space="preserve"> 'T&amp;E'!E$24</f>
        <v>Operating period flag</v>
      </c>
      <c r="F2" s="74">
        <f xml:space="preserve"> 'T&amp;E'!F$24</f>
        <v>0</v>
      </c>
      <c r="G2" s="74" t="str">
        <f xml:space="preserve"> 'T&amp;E'!G$24</f>
        <v>flag</v>
      </c>
      <c r="H2" s="74">
        <f xml:space="preserve"> 'T&amp;E'!H$24</f>
        <v>60</v>
      </c>
      <c r="I2" s="74">
        <f xml:space="preserve"> 'T&amp;E'!I$24</f>
        <v>0</v>
      </c>
      <c r="J2" s="74">
        <f xml:space="preserve"> 'T&amp;E'!J$24</f>
        <v>0</v>
      </c>
      <c r="K2" s="74">
        <f xml:space="preserve"> 'T&amp;E'!K$24</f>
        <v>0</v>
      </c>
      <c r="L2" s="74">
        <f xml:space="preserve"> 'T&amp;E'!L$24</f>
        <v>0</v>
      </c>
      <c r="M2" s="74">
        <f xml:space="preserve"> 'T&amp;E'!M$24</f>
        <v>0</v>
      </c>
      <c r="N2" s="74">
        <f xml:space="preserve"> 'T&amp;E'!N$24</f>
        <v>0</v>
      </c>
      <c r="O2" s="74">
        <f xml:space="preserve"> 'T&amp;E'!O$24</f>
        <v>1</v>
      </c>
      <c r="P2" s="74">
        <f xml:space="preserve"> 'T&amp;E'!P$24</f>
        <v>1</v>
      </c>
      <c r="Q2" s="74">
        <f xml:space="preserve"> 'T&amp;E'!Q$24</f>
        <v>1</v>
      </c>
      <c r="R2" s="74">
        <f xml:space="preserve"> 'T&amp;E'!R$24</f>
        <v>1</v>
      </c>
      <c r="S2" s="74">
        <f xml:space="preserve"> 'T&amp;E'!S$24</f>
        <v>1</v>
      </c>
      <c r="T2" s="74">
        <f xml:space="preserve"> 'T&amp;E'!T$24</f>
        <v>1</v>
      </c>
      <c r="U2" s="74">
        <f xml:space="preserve"> 'T&amp;E'!U$24</f>
        <v>1</v>
      </c>
      <c r="V2" s="74">
        <f xml:space="preserve"> 'T&amp;E'!V$24</f>
        <v>1</v>
      </c>
      <c r="W2" s="74">
        <f xml:space="preserve"> 'T&amp;E'!W$24</f>
        <v>1</v>
      </c>
      <c r="X2" s="74">
        <f xml:space="preserve"> 'T&amp;E'!X$24</f>
        <v>1</v>
      </c>
      <c r="Y2" s="74">
        <f xml:space="preserve"> 'T&amp;E'!Y$24</f>
        <v>1</v>
      </c>
      <c r="Z2" s="74">
        <f xml:space="preserve"> 'T&amp;E'!Z$24</f>
        <v>1</v>
      </c>
      <c r="AA2" s="74">
        <f xml:space="preserve"> 'T&amp;E'!AA$24</f>
        <v>1</v>
      </c>
      <c r="AB2" s="74">
        <f xml:space="preserve"> 'T&amp;E'!AB$24</f>
        <v>1</v>
      </c>
      <c r="AC2" s="74">
        <f xml:space="preserve"> 'T&amp;E'!AC$24</f>
        <v>1</v>
      </c>
      <c r="AD2" s="74">
        <f xml:space="preserve"> 'T&amp;E'!AD$24</f>
        <v>1</v>
      </c>
      <c r="AE2" s="74">
        <f xml:space="preserve"> 'T&amp;E'!AE$24</f>
        <v>1</v>
      </c>
      <c r="AF2" s="74">
        <f xml:space="preserve"> 'T&amp;E'!AF$24</f>
        <v>1</v>
      </c>
      <c r="AG2" s="74">
        <f xml:space="preserve"> 'T&amp;E'!AG$24</f>
        <v>1</v>
      </c>
      <c r="AH2" s="74">
        <f xml:space="preserve"> 'T&amp;E'!AH$24</f>
        <v>1</v>
      </c>
      <c r="AI2" s="74">
        <f xml:space="preserve"> 'T&amp;E'!AI$24</f>
        <v>1</v>
      </c>
      <c r="AJ2" s="74">
        <f xml:space="preserve"> 'T&amp;E'!AJ$24</f>
        <v>1</v>
      </c>
      <c r="AK2" s="74">
        <f xml:space="preserve"> 'T&amp;E'!AK$24</f>
        <v>1</v>
      </c>
      <c r="AL2" s="74">
        <f xml:space="preserve"> 'T&amp;E'!AL$24</f>
        <v>1</v>
      </c>
      <c r="AM2" s="74">
        <f xml:space="preserve"> 'T&amp;E'!AM$24</f>
        <v>1</v>
      </c>
      <c r="AN2" s="74">
        <f xml:space="preserve"> 'T&amp;E'!AN$24</f>
        <v>1</v>
      </c>
      <c r="AO2" s="74">
        <f xml:space="preserve"> 'T&amp;E'!AO$24</f>
        <v>1</v>
      </c>
      <c r="AP2" s="74">
        <f xml:space="preserve"> 'T&amp;E'!AP$24</f>
        <v>1</v>
      </c>
      <c r="AQ2" s="74">
        <f xml:space="preserve"> 'T&amp;E'!AQ$24</f>
        <v>1</v>
      </c>
      <c r="AR2" s="74">
        <f xml:space="preserve"> 'T&amp;E'!AR$24</f>
        <v>1</v>
      </c>
      <c r="AS2" s="74">
        <f xml:space="preserve"> 'T&amp;E'!AS$24</f>
        <v>1</v>
      </c>
      <c r="AT2" s="74">
        <f xml:space="preserve"> 'T&amp;E'!AT$24</f>
        <v>1</v>
      </c>
      <c r="AU2" s="74">
        <f xml:space="preserve"> 'T&amp;E'!AU$24</f>
        <v>1</v>
      </c>
      <c r="AV2" s="74">
        <f xml:space="preserve"> 'T&amp;E'!AV$24</f>
        <v>1</v>
      </c>
      <c r="AW2" s="74">
        <f xml:space="preserve"> 'T&amp;E'!AW$24</f>
        <v>1</v>
      </c>
      <c r="AX2" s="74">
        <f xml:space="preserve"> 'T&amp;E'!AX$24</f>
        <v>1</v>
      </c>
      <c r="AY2" s="74">
        <f xml:space="preserve"> 'T&amp;E'!AY$24</f>
        <v>1</v>
      </c>
      <c r="AZ2" s="74">
        <f xml:space="preserve"> 'T&amp;E'!AZ$24</f>
        <v>1</v>
      </c>
      <c r="BA2" s="74">
        <f xml:space="preserve"> 'T&amp;E'!BA$24</f>
        <v>1</v>
      </c>
      <c r="BB2" s="74">
        <f xml:space="preserve"> 'T&amp;E'!BB$24</f>
        <v>1</v>
      </c>
      <c r="BC2" s="74">
        <f xml:space="preserve"> 'T&amp;E'!BC$24</f>
        <v>1</v>
      </c>
      <c r="BD2" s="74">
        <f xml:space="preserve"> 'T&amp;E'!BD$24</f>
        <v>1</v>
      </c>
      <c r="BE2" s="74">
        <f xml:space="preserve"> 'T&amp;E'!BE$24</f>
        <v>1</v>
      </c>
      <c r="BF2" s="74">
        <f xml:space="preserve"> 'T&amp;E'!BF$24</f>
        <v>1</v>
      </c>
      <c r="BG2" s="74">
        <f xml:space="preserve"> 'T&amp;E'!BG$24</f>
        <v>1</v>
      </c>
      <c r="BH2" s="74">
        <f xml:space="preserve"> 'T&amp;E'!BH$24</f>
        <v>1</v>
      </c>
      <c r="BI2" s="74">
        <f xml:space="preserve"> 'T&amp;E'!BI$24</f>
        <v>1</v>
      </c>
      <c r="BJ2" s="74">
        <f xml:space="preserve"> 'T&amp;E'!BJ$24</f>
        <v>1</v>
      </c>
      <c r="BK2" s="74">
        <f xml:space="preserve"> 'T&amp;E'!BK$24</f>
        <v>1</v>
      </c>
      <c r="BL2" s="74">
        <f xml:space="preserve"> 'T&amp;E'!BL$24</f>
        <v>1</v>
      </c>
      <c r="BM2" s="74">
        <f xml:space="preserve"> 'T&amp;E'!BM$24</f>
        <v>1</v>
      </c>
      <c r="BN2" s="74">
        <f xml:space="preserve"> 'T&amp;E'!BN$24</f>
        <v>1</v>
      </c>
      <c r="BO2" s="74">
        <f xml:space="preserve"> 'T&amp;E'!BO$24</f>
        <v>1</v>
      </c>
      <c r="BP2" s="74">
        <f xml:space="preserve"> 'T&amp;E'!BP$24</f>
        <v>1</v>
      </c>
      <c r="BQ2" s="74">
        <f xml:space="preserve"> 'T&amp;E'!BQ$24</f>
        <v>1</v>
      </c>
      <c r="BR2" s="74">
        <f xml:space="preserve"> 'T&amp;E'!BR$24</f>
        <v>1</v>
      </c>
      <c r="BS2" s="74">
        <f xml:space="preserve"> 'T&amp;E'!BS$24</f>
        <v>1</v>
      </c>
      <c r="BT2" s="74">
        <f xml:space="preserve"> 'T&amp;E'!BT$24</f>
        <v>1</v>
      </c>
      <c r="BU2" s="74">
        <f xml:space="preserve"> 'T&amp;E'!BU$24</f>
        <v>1</v>
      </c>
      <c r="BV2" s="74">
        <f xml:space="preserve"> 'T&amp;E'!BV$24</f>
        <v>1</v>
      </c>
      <c r="BW2" s="74">
        <f xml:space="preserve"> 'T&amp;E'!BW$24</f>
        <v>0</v>
      </c>
      <c r="BX2" s="74">
        <f xml:space="preserve"> 'T&amp;E'!BX$24</f>
        <v>0</v>
      </c>
      <c r="BY2" s="74">
        <f xml:space="preserve"> 'T&amp;E'!BY$24</f>
        <v>0</v>
      </c>
      <c r="BZ2" s="74">
        <f xml:space="preserve"> 'T&amp;E'!BZ$24</f>
        <v>0</v>
      </c>
      <c r="CA2" s="74">
        <f xml:space="preserve"> 'T&amp;E'!CA$24</f>
        <v>0</v>
      </c>
    </row>
    <row r="3" spans="1:79" s="74" customFormat="1" x14ac:dyDescent="0.2">
      <c r="A3" s="75"/>
      <c r="B3" s="75"/>
      <c r="C3" s="107"/>
      <c r="D3" s="77"/>
      <c r="E3" s="74" t="str">
        <f>'T&amp;E'!E$8</f>
        <v>Model column counter</v>
      </c>
      <c r="F3" s="74">
        <f>'T&amp;E'!F$8</f>
        <v>0</v>
      </c>
      <c r="G3" s="74">
        <f>'T&amp;E'!G$8</f>
        <v>0</v>
      </c>
      <c r="H3" s="74">
        <f>'T&amp;E'!H$8</f>
        <v>0</v>
      </c>
      <c r="I3" s="74">
        <f>'T&amp;E'!I$8</f>
        <v>0</v>
      </c>
      <c r="J3" s="74">
        <f>'T&amp;E'!J$8</f>
        <v>1</v>
      </c>
      <c r="K3" s="74">
        <f>'T&amp;E'!K$8</f>
        <v>2</v>
      </c>
      <c r="L3" s="74">
        <f>'T&amp;E'!L$8</f>
        <v>3</v>
      </c>
      <c r="M3" s="74">
        <f>'T&amp;E'!M$8</f>
        <v>4</v>
      </c>
      <c r="N3" s="74">
        <f>'T&amp;E'!N$8</f>
        <v>5</v>
      </c>
      <c r="O3" s="74">
        <f>'T&amp;E'!O$8</f>
        <v>6</v>
      </c>
      <c r="P3" s="74">
        <f>'T&amp;E'!P$8</f>
        <v>7</v>
      </c>
      <c r="Q3" s="74">
        <f>'T&amp;E'!Q$8</f>
        <v>8</v>
      </c>
      <c r="R3" s="74">
        <f>'T&amp;E'!R$8</f>
        <v>9</v>
      </c>
      <c r="S3" s="74">
        <f>'T&amp;E'!S$8</f>
        <v>10</v>
      </c>
      <c r="T3" s="74">
        <f>'T&amp;E'!T$8</f>
        <v>11</v>
      </c>
      <c r="U3" s="74">
        <f>'T&amp;E'!U$8</f>
        <v>12</v>
      </c>
      <c r="V3" s="74">
        <f>'T&amp;E'!V$8</f>
        <v>13</v>
      </c>
      <c r="W3" s="74">
        <f>'T&amp;E'!W$8</f>
        <v>14</v>
      </c>
      <c r="X3" s="74">
        <f>'T&amp;E'!X$8</f>
        <v>15</v>
      </c>
      <c r="Y3" s="74">
        <f>'T&amp;E'!Y$8</f>
        <v>16</v>
      </c>
      <c r="Z3" s="74">
        <f>'T&amp;E'!Z$8</f>
        <v>17</v>
      </c>
      <c r="AA3" s="74">
        <f>'T&amp;E'!AA$8</f>
        <v>18</v>
      </c>
      <c r="AB3" s="74">
        <f>'T&amp;E'!AB$8</f>
        <v>19</v>
      </c>
      <c r="AC3" s="74">
        <f>'T&amp;E'!AC$8</f>
        <v>20</v>
      </c>
      <c r="AD3" s="74">
        <f>'T&amp;E'!AD$8</f>
        <v>21</v>
      </c>
      <c r="AE3" s="74">
        <f>'T&amp;E'!AE$8</f>
        <v>22</v>
      </c>
      <c r="AF3" s="74">
        <f>'T&amp;E'!AF$8</f>
        <v>23</v>
      </c>
      <c r="AG3" s="74">
        <f>'T&amp;E'!AG$8</f>
        <v>24</v>
      </c>
      <c r="AH3" s="74">
        <f>'T&amp;E'!AH$8</f>
        <v>25</v>
      </c>
      <c r="AI3" s="74">
        <f>'T&amp;E'!AI$8</f>
        <v>26</v>
      </c>
      <c r="AJ3" s="74">
        <f>'T&amp;E'!AJ$8</f>
        <v>27</v>
      </c>
      <c r="AK3" s="74">
        <f>'T&amp;E'!AK$8</f>
        <v>28</v>
      </c>
      <c r="AL3" s="74">
        <f>'T&amp;E'!AL$8</f>
        <v>29</v>
      </c>
      <c r="AM3" s="74">
        <f>'T&amp;E'!AM$8</f>
        <v>30</v>
      </c>
      <c r="AN3" s="74">
        <f>'T&amp;E'!AN$8</f>
        <v>31</v>
      </c>
      <c r="AO3" s="74">
        <f>'T&amp;E'!AO$8</f>
        <v>32</v>
      </c>
      <c r="AP3" s="74">
        <f>'T&amp;E'!AP$8</f>
        <v>33</v>
      </c>
      <c r="AQ3" s="74">
        <f>'T&amp;E'!AQ$8</f>
        <v>34</v>
      </c>
      <c r="AR3" s="74">
        <f>'T&amp;E'!AR$8</f>
        <v>35</v>
      </c>
      <c r="AS3" s="74">
        <f>'T&amp;E'!AS$8</f>
        <v>36</v>
      </c>
      <c r="AT3" s="74">
        <f>'T&amp;E'!AT$8</f>
        <v>37</v>
      </c>
      <c r="AU3" s="74">
        <f>'T&amp;E'!AU$8</f>
        <v>38</v>
      </c>
      <c r="AV3" s="74">
        <f>'T&amp;E'!AV$8</f>
        <v>39</v>
      </c>
      <c r="AW3" s="74">
        <f>'T&amp;E'!AW$8</f>
        <v>40</v>
      </c>
      <c r="AX3" s="74">
        <f>'T&amp;E'!AX$8</f>
        <v>41</v>
      </c>
      <c r="AY3" s="74">
        <f>'T&amp;E'!AY$8</f>
        <v>42</v>
      </c>
      <c r="AZ3" s="74">
        <f>'T&amp;E'!AZ$8</f>
        <v>43</v>
      </c>
      <c r="BA3" s="74">
        <f>'T&amp;E'!BA$8</f>
        <v>44</v>
      </c>
      <c r="BB3" s="74">
        <f>'T&amp;E'!BB$8</f>
        <v>45</v>
      </c>
      <c r="BC3" s="74">
        <f>'T&amp;E'!BC$8</f>
        <v>46</v>
      </c>
      <c r="BD3" s="74">
        <f>'T&amp;E'!BD$8</f>
        <v>47</v>
      </c>
      <c r="BE3" s="74">
        <f>'T&amp;E'!BE$8</f>
        <v>48</v>
      </c>
      <c r="BF3" s="74">
        <f>'T&amp;E'!BF$8</f>
        <v>49</v>
      </c>
      <c r="BG3" s="74">
        <f>'T&amp;E'!BG$8</f>
        <v>50</v>
      </c>
      <c r="BH3" s="74">
        <f>'T&amp;E'!BH$8</f>
        <v>51</v>
      </c>
      <c r="BI3" s="74">
        <f>'T&amp;E'!BI$8</f>
        <v>52</v>
      </c>
      <c r="BJ3" s="74">
        <f>'T&amp;E'!BJ$8</f>
        <v>53</v>
      </c>
      <c r="BK3" s="74">
        <f>'T&amp;E'!BK$8</f>
        <v>54</v>
      </c>
      <c r="BL3" s="74">
        <f>'T&amp;E'!BL$8</f>
        <v>55</v>
      </c>
      <c r="BM3" s="74">
        <f>'T&amp;E'!BM$8</f>
        <v>56</v>
      </c>
      <c r="BN3" s="74">
        <f>'T&amp;E'!BN$8</f>
        <v>57</v>
      </c>
      <c r="BO3" s="74">
        <f>'T&amp;E'!BO$8</f>
        <v>58</v>
      </c>
      <c r="BP3" s="74">
        <f>'T&amp;E'!BP$8</f>
        <v>59</v>
      </c>
      <c r="BQ3" s="74">
        <f>'T&amp;E'!BQ$8</f>
        <v>60</v>
      </c>
      <c r="BR3" s="74">
        <f>'T&amp;E'!BR$8</f>
        <v>61</v>
      </c>
      <c r="BS3" s="74">
        <f>'T&amp;E'!BS$8</f>
        <v>62</v>
      </c>
      <c r="BT3" s="74">
        <f>'T&amp;E'!BT$8</f>
        <v>63</v>
      </c>
      <c r="BU3" s="74">
        <f>'T&amp;E'!BU$8</f>
        <v>64</v>
      </c>
      <c r="BV3" s="74">
        <f>'T&amp;E'!BV$8</f>
        <v>65</v>
      </c>
      <c r="BW3" s="74">
        <f>'T&amp;E'!BW$8</f>
        <v>66</v>
      </c>
      <c r="BX3" s="74">
        <f>'T&amp;E'!BX$8</f>
        <v>67</v>
      </c>
      <c r="BY3" s="74">
        <f>'T&amp;E'!BY$8</f>
        <v>68</v>
      </c>
      <c r="BZ3" s="74">
        <f>'T&amp;E'!BZ$8</f>
        <v>69</v>
      </c>
      <c r="CA3" s="74">
        <f>'T&amp;E'!CA$8</f>
        <v>70</v>
      </c>
    </row>
    <row r="4" spans="1:79" s="78" customFormat="1" x14ac:dyDescent="0.2">
      <c r="C4" s="79"/>
      <c r="D4" s="80"/>
      <c r="E4" s="78" t="str">
        <f xml:space="preserve"> 'T&amp;E'!E$12</f>
        <v>Model period ending</v>
      </c>
      <c r="F4" s="80" t="str">
        <f xml:space="preserve"> 'T&amp;E'!F$12</f>
        <v>constant</v>
      </c>
      <c r="G4" s="78" t="str">
        <f xml:space="preserve"> 'T&amp;E'!G$12</f>
        <v>unit</v>
      </c>
      <c r="H4" s="80" t="str">
        <f xml:space="preserve"> 'T&amp;E'!H$12</f>
        <v>total</v>
      </c>
      <c r="I4" s="78">
        <f xml:space="preserve"> 'T&amp;E'!I$12</f>
        <v>0</v>
      </c>
      <c r="J4" s="78">
        <f xml:space="preserve"> 'T&amp;E'!J$12</f>
        <v>41639</v>
      </c>
      <c r="K4" s="78">
        <f xml:space="preserve"> 'T&amp;E'!K$12</f>
        <v>41820</v>
      </c>
      <c r="L4" s="78">
        <f xml:space="preserve"> 'T&amp;E'!L$12</f>
        <v>42004</v>
      </c>
      <c r="M4" s="78">
        <f xml:space="preserve"> 'T&amp;E'!M$12</f>
        <v>42185</v>
      </c>
      <c r="N4" s="78">
        <f xml:space="preserve"> 'T&amp;E'!N$12</f>
        <v>42369</v>
      </c>
      <c r="O4" s="78">
        <f xml:space="preserve"> 'T&amp;E'!O$12</f>
        <v>42551</v>
      </c>
      <c r="P4" s="78">
        <f xml:space="preserve"> 'T&amp;E'!P$12</f>
        <v>42735</v>
      </c>
      <c r="Q4" s="78">
        <f xml:space="preserve"> 'T&amp;E'!Q$12</f>
        <v>42916</v>
      </c>
      <c r="R4" s="78">
        <f xml:space="preserve"> 'T&amp;E'!R$12</f>
        <v>43100</v>
      </c>
      <c r="S4" s="78">
        <f xml:space="preserve"> 'T&amp;E'!S$12</f>
        <v>43281</v>
      </c>
      <c r="T4" s="78">
        <f xml:space="preserve"> 'T&amp;E'!T$12</f>
        <v>43465</v>
      </c>
      <c r="U4" s="78">
        <f xml:space="preserve"> 'T&amp;E'!U$12</f>
        <v>43646</v>
      </c>
      <c r="V4" s="78">
        <f xml:space="preserve"> 'T&amp;E'!V$12</f>
        <v>43830</v>
      </c>
      <c r="W4" s="78">
        <f xml:space="preserve"> 'T&amp;E'!W$12</f>
        <v>44012</v>
      </c>
      <c r="X4" s="78">
        <f xml:space="preserve"> 'T&amp;E'!X$12</f>
        <v>44196</v>
      </c>
      <c r="Y4" s="78">
        <f xml:space="preserve"> 'T&amp;E'!Y$12</f>
        <v>44377</v>
      </c>
      <c r="Z4" s="78">
        <f xml:space="preserve"> 'T&amp;E'!Z$12</f>
        <v>44561</v>
      </c>
      <c r="AA4" s="78">
        <f xml:space="preserve"> 'T&amp;E'!AA$12</f>
        <v>44742</v>
      </c>
      <c r="AB4" s="78">
        <f xml:space="preserve"> 'T&amp;E'!AB$12</f>
        <v>44926</v>
      </c>
      <c r="AC4" s="78">
        <f xml:space="preserve"> 'T&amp;E'!AC$12</f>
        <v>45107</v>
      </c>
      <c r="AD4" s="78">
        <f xml:space="preserve"> 'T&amp;E'!AD$12</f>
        <v>45291</v>
      </c>
      <c r="AE4" s="78">
        <f xml:space="preserve"> 'T&amp;E'!AE$12</f>
        <v>45473</v>
      </c>
      <c r="AF4" s="78">
        <f xml:space="preserve"> 'T&amp;E'!AF$12</f>
        <v>45657</v>
      </c>
      <c r="AG4" s="78">
        <f xml:space="preserve"> 'T&amp;E'!AG$12</f>
        <v>45838</v>
      </c>
      <c r="AH4" s="78">
        <f xml:space="preserve"> 'T&amp;E'!AH$12</f>
        <v>46022</v>
      </c>
      <c r="AI4" s="78">
        <f xml:space="preserve"> 'T&amp;E'!AI$12</f>
        <v>46203</v>
      </c>
      <c r="AJ4" s="78">
        <f xml:space="preserve"> 'T&amp;E'!AJ$12</f>
        <v>46387</v>
      </c>
      <c r="AK4" s="78">
        <f xml:space="preserve"> 'T&amp;E'!AK$12</f>
        <v>46568</v>
      </c>
      <c r="AL4" s="78">
        <f xml:space="preserve"> 'T&amp;E'!AL$12</f>
        <v>46752</v>
      </c>
      <c r="AM4" s="78">
        <f xml:space="preserve"> 'T&amp;E'!AM$12</f>
        <v>46934</v>
      </c>
      <c r="AN4" s="78">
        <f xml:space="preserve"> 'T&amp;E'!AN$12</f>
        <v>47118</v>
      </c>
      <c r="AO4" s="78">
        <f xml:space="preserve"> 'T&amp;E'!AO$12</f>
        <v>47299</v>
      </c>
      <c r="AP4" s="78">
        <f xml:space="preserve"> 'T&amp;E'!AP$12</f>
        <v>47483</v>
      </c>
      <c r="AQ4" s="78">
        <f xml:space="preserve"> 'T&amp;E'!AQ$12</f>
        <v>47664</v>
      </c>
      <c r="AR4" s="78">
        <f xml:space="preserve"> 'T&amp;E'!AR$12</f>
        <v>47848</v>
      </c>
      <c r="AS4" s="78">
        <f xml:space="preserve"> 'T&amp;E'!AS$12</f>
        <v>48029</v>
      </c>
      <c r="AT4" s="78">
        <f xml:space="preserve"> 'T&amp;E'!AT$12</f>
        <v>48213</v>
      </c>
      <c r="AU4" s="78">
        <f xml:space="preserve"> 'T&amp;E'!AU$12</f>
        <v>48395</v>
      </c>
      <c r="AV4" s="78">
        <f xml:space="preserve"> 'T&amp;E'!AV$12</f>
        <v>48579</v>
      </c>
      <c r="AW4" s="78">
        <f xml:space="preserve"> 'T&amp;E'!AW$12</f>
        <v>48760</v>
      </c>
      <c r="AX4" s="78">
        <f xml:space="preserve"> 'T&amp;E'!AX$12</f>
        <v>48944</v>
      </c>
      <c r="AY4" s="78">
        <f xml:space="preserve"> 'T&amp;E'!AY$12</f>
        <v>49125</v>
      </c>
      <c r="AZ4" s="78">
        <f xml:space="preserve"> 'T&amp;E'!AZ$12</f>
        <v>49309</v>
      </c>
      <c r="BA4" s="78">
        <f xml:space="preserve"> 'T&amp;E'!BA$12</f>
        <v>49490</v>
      </c>
      <c r="BB4" s="78">
        <f xml:space="preserve"> 'T&amp;E'!BB$12</f>
        <v>49674</v>
      </c>
      <c r="BC4" s="78">
        <f xml:space="preserve"> 'T&amp;E'!BC$12</f>
        <v>49856</v>
      </c>
      <c r="BD4" s="78">
        <f xml:space="preserve"> 'T&amp;E'!BD$12</f>
        <v>50040</v>
      </c>
      <c r="BE4" s="78">
        <f xml:space="preserve"> 'T&amp;E'!BE$12</f>
        <v>50221</v>
      </c>
      <c r="BF4" s="78">
        <f xml:space="preserve"> 'T&amp;E'!BF$12</f>
        <v>50405</v>
      </c>
      <c r="BG4" s="78">
        <f xml:space="preserve"> 'T&amp;E'!BG$12</f>
        <v>50586</v>
      </c>
      <c r="BH4" s="78">
        <f xml:space="preserve"> 'T&amp;E'!BH$12</f>
        <v>50770</v>
      </c>
      <c r="BI4" s="78">
        <f xml:space="preserve"> 'T&amp;E'!BI$12</f>
        <v>50951</v>
      </c>
      <c r="BJ4" s="78">
        <f xml:space="preserve"> 'T&amp;E'!BJ$12</f>
        <v>51135</v>
      </c>
      <c r="BK4" s="78">
        <f xml:space="preserve"> 'T&amp;E'!BK$12</f>
        <v>51317</v>
      </c>
      <c r="BL4" s="78">
        <f xml:space="preserve"> 'T&amp;E'!BL$12</f>
        <v>51501</v>
      </c>
      <c r="BM4" s="78">
        <f xml:space="preserve"> 'T&amp;E'!BM$12</f>
        <v>51682</v>
      </c>
      <c r="BN4" s="78">
        <f xml:space="preserve"> 'T&amp;E'!BN$12</f>
        <v>51866</v>
      </c>
      <c r="BO4" s="78">
        <f xml:space="preserve"> 'T&amp;E'!BO$12</f>
        <v>52047</v>
      </c>
      <c r="BP4" s="78">
        <f xml:space="preserve"> 'T&amp;E'!BP$12</f>
        <v>52231</v>
      </c>
      <c r="BQ4" s="78">
        <f xml:space="preserve"> 'T&amp;E'!BQ$12</f>
        <v>52412</v>
      </c>
      <c r="BR4" s="78">
        <f xml:space="preserve"> 'T&amp;E'!BR$12</f>
        <v>52596</v>
      </c>
      <c r="BS4" s="78">
        <f xml:space="preserve"> 'T&amp;E'!BS$12</f>
        <v>52778</v>
      </c>
      <c r="BT4" s="78">
        <f xml:space="preserve"> 'T&amp;E'!BT$12</f>
        <v>52962</v>
      </c>
      <c r="BU4" s="78">
        <f xml:space="preserve"> 'T&amp;E'!BU$12</f>
        <v>53143</v>
      </c>
      <c r="BV4" s="78">
        <f xml:space="preserve"> 'T&amp;E'!BV$12</f>
        <v>53327</v>
      </c>
      <c r="BW4" s="78">
        <f xml:space="preserve"> 'T&amp;E'!BW$12</f>
        <v>53508</v>
      </c>
      <c r="BX4" s="78">
        <f xml:space="preserve"> 'T&amp;E'!BX$12</f>
        <v>53692</v>
      </c>
      <c r="BY4" s="78">
        <f xml:space="preserve"> 'T&amp;E'!BY$12</f>
        <v>53873</v>
      </c>
      <c r="BZ4" s="78">
        <f xml:space="preserve"> 'T&amp;E'!BZ$12</f>
        <v>54057</v>
      </c>
      <c r="CA4" s="78">
        <f xml:space="preserve"> 'T&amp;E'!CA$12</f>
        <v>54239</v>
      </c>
    </row>
    <row r="6" spans="1:79" x14ac:dyDescent="0.2">
      <c r="A6" s="81" t="s">
        <v>101</v>
      </c>
    </row>
    <row r="8" spans="1:79" s="118" customFormat="1" x14ac:dyDescent="0.2">
      <c r="A8" s="115"/>
      <c r="B8" s="115"/>
      <c r="C8" s="116"/>
      <c r="D8" s="117"/>
      <c r="E8" s="197" t="str">
        <f>ConFin!E$128</f>
        <v>Additions to fixed assets DC total</v>
      </c>
      <c r="F8" s="197">
        <f>ConFin!F$128</f>
        <v>395404.94468287478</v>
      </c>
      <c r="G8" s="197" t="str">
        <f>ConFin!G$128</f>
        <v>€ 000s</v>
      </c>
    </row>
    <row r="9" spans="1:79" s="96" customFormat="1" x14ac:dyDescent="0.2">
      <c r="A9" s="92"/>
      <c r="B9" s="93"/>
      <c r="C9" s="94"/>
      <c r="D9" s="95"/>
      <c r="E9" s="96" t="str">
        <f>InpC!E$44</f>
        <v>Useful life input</v>
      </c>
      <c r="F9" s="96">
        <f>InpC!F$44</f>
        <v>25</v>
      </c>
      <c r="G9" s="96" t="str">
        <f>InpC!G$44</f>
        <v>years</v>
      </c>
    </row>
    <row r="10" spans="1:79" x14ac:dyDescent="0.2">
      <c r="E10" s="85" t="s">
        <v>103</v>
      </c>
      <c r="F10" s="85">
        <f xml:space="preserve"> F8 / (2 * F9)</f>
        <v>7908.0988936574959</v>
      </c>
      <c r="G10" s="85" t="str">
        <f xml:space="preserve"> SMU</f>
        <v>€ 000s</v>
      </c>
    </row>
    <row r="12" spans="1:79" x14ac:dyDescent="0.2">
      <c r="E12" s="85" t="str">
        <f xml:space="preserve"> E$10</f>
        <v>Period amount of depreciation</v>
      </c>
      <c r="F12" s="85">
        <f t="shared" ref="F12:G12" si="0" xml:space="preserve"> F$10</f>
        <v>7908.0988936574959</v>
      </c>
      <c r="G12" s="85" t="str">
        <f t="shared" si="0"/>
        <v>€ 000s</v>
      </c>
    </row>
    <row r="13" spans="1:79" s="144" customFormat="1" x14ac:dyDescent="0.2">
      <c r="A13" s="93"/>
      <c r="B13" s="93"/>
      <c r="C13" s="94"/>
      <c r="D13" s="143"/>
      <c r="E13" s="144" t="str">
        <f>'T&amp;E'!E$34</f>
        <v>Accounting useful life period flag</v>
      </c>
      <c r="F13" s="144">
        <f>'T&amp;E'!F$34</f>
        <v>0</v>
      </c>
      <c r="G13" s="144" t="str">
        <f>'T&amp;E'!G$34</f>
        <v>flag</v>
      </c>
      <c r="H13" s="144">
        <f>'T&amp;E'!H$34</f>
        <v>50</v>
      </c>
      <c r="I13" s="144">
        <f>'T&amp;E'!I$34</f>
        <v>0</v>
      </c>
      <c r="J13" s="144">
        <f>'T&amp;E'!J$34</f>
        <v>0</v>
      </c>
      <c r="K13" s="144">
        <f>'T&amp;E'!K$34</f>
        <v>0</v>
      </c>
      <c r="L13" s="144">
        <f>'T&amp;E'!L$34</f>
        <v>0</v>
      </c>
      <c r="M13" s="144">
        <f>'T&amp;E'!M$34</f>
        <v>0</v>
      </c>
      <c r="N13" s="144">
        <f>'T&amp;E'!N$34</f>
        <v>0</v>
      </c>
      <c r="O13" s="144">
        <f>'T&amp;E'!O$34</f>
        <v>1</v>
      </c>
      <c r="P13" s="144">
        <f>'T&amp;E'!P$34</f>
        <v>1</v>
      </c>
      <c r="Q13" s="144">
        <f>'T&amp;E'!Q$34</f>
        <v>1</v>
      </c>
      <c r="R13" s="144">
        <f>'T&amp;E'!R$34</f>
        <v>1</v>
      </c>
      <c r="S13" s="144">
        <f>'T&amp;E'!S$34</f>
        <v>1</v>
      </c>
      <c r="T13" s="144">
        <f>'T&amp;E'!T$34</f>
        <v>1</v>
      </c>
      <c r="U13" s="144">
        <f>'T&amp;E'!U$34</f>
        <v>1</v>
      </c>
      <c r="V13" s="144">
        <f>'T&amp;E'!V$34</f>
        <v>1</v>
      </c>
      <c r="W13" s="144">
        <f>'T&amp;E'!W$34</f>
        <v>1</v>
      </c>
      <c r="X13" s="144">
        <f>'T&amp;E'!X$34</f>
        <v>1</v>
      </c>
      <c r="Y13" s="144">
        <f>'T&amp;E'!Y$34</f>
        <v>1</v>
      </c>
      <c r="Z13" s="144">
        <f>'T&amp;E'!Z$34</f>
        <v>1</v>
      </c>
      <c r="AA13" s="144">
        <f>'T&amp;E'!AA$34</f>
        <v>1</v>
      </c>
      <c r="AB13" s="144">
        <f>'T&amp;E'!AB$34</f>
        <v>1</v>
      </c>
      <c r="AC13" s="144">
        <f>'T&amp;E'!AC$34</f>
        <v>1</v>
      </c>
      <c r="AD13" s="144">
        <f>'T&amp;E'!AD$34</f>
        <v>1</v>
      </c>
      <c r="AE13" s="144">
        <f>'T&amp;E'!AE$34</f>
        <v>1</v>
      </c>
      <c r="AF13" s="144">
        <f>'T&amp;E'!AF$34</f>
        <v>1</v>
      </c>
      <c r="AG13" s="144">
        <f>'T&amp;E'!AG$34</f>
        <v>1</v>
      </c>
      <c r="AH13" s="144">
        <f>'T&amp;E'!AH$34</f>
        <v>1</v>
      </c>
      <c r="AI13" s="144">
        <f>'T&amp;E'!AI$34</f>
        <v>1</v>
      </c>
      <c r="AJ13" s="144">
        <f>'T&amp;E'!AJ$34</f>
        <v>1</v>
      </c>
      <c r="AK13" s="144">
        <f>'T&amp;E'!AK$34</f>
        <v>1</v>
      </c>
      <c r="AL13" s="144">
        <f>'T&amp;E'!AL$34</f>
        <v>1</v>
      </c>
      <c r="AM13" s="144">
        <f>'T&amp;E'!AM$34</f>
        <v>1</v>
      </c>
      <c r="AN13" s="144">
        <f>'T&amp;E'!AN$34</f>
        <v>1</v>
      </c>
      <c r="AO13" s="144">
        <f>'T&amp;E'!AO$34</f>
        <v>1</v>
      </c>
      <c r="AP13" s="144">
        <f>'T&amp;E'!AP$34</f>
        <v>1</v>
      </c>
      <c r="AQ13" s="144">
        <f>'T&amp;E'!AQ$34</f>
        <v>1</v>
      </c>
      <c r="AR13" s="144">
        <f>'T&amp;E'!AR$34</f>
        <v>1</v>
      </c>
      <c r="AS13" s="144">
        <f>'T&amp;E'!AS$34</f>
        <v>1</v>
      </c>
      <c r="AT13" s="144">
        <f>'T&amp;E'!AT$34</f>
        <v>1</v>
      </c>
      <c r="AU13" s="144">
        <f>'T&amp;E'!AU$34</f>
        <v>1</v>
      </c>
      <c r="AV13" s="144">
        <f>'T&amp;E'!AV$34</f>
        <v>1</v>
      </c>
      <c r="AW13" s="144">
        <f>'T&amp;E'!AW$34</f>
        <v>1</v>
      </c>
      <c r="AX13" s="144">
        <f>'T&amp;E'!AX$34</f>
        <v>1</v>
      </c>
      <c r="AY13" s="144">
        <f>'T&amp;E'!AY$34</f>
        <v>1</v>
      </c>
      <c r="AZ13" s="144">
        <f>'T&amp;E'!AZ$34</f>
        <v>1</v>
      </c>
      <c r="BA13" s="144">
        <f>'T&amp;E'!BA$34</f>
        <v>1</v>
      </c>
      <c r="BB13" s="144">
        <f>'T&amp;E'!BB$34</f>
        <v>1</v>
      </c>
      <c r="BC13" s="144">
        <f>'T&amp;E'!BC$34</f>
        <v>1</v>
      </c>
      <c r="BD13" s="144">
        <f>'T&amp;E'!BD$34</f>
        <v>1</v>
      </c>
      <c r="BE13" s="144">
        <f>'T&amp;E'!BE$34</f>
        <v>1</v>
      </c>
      <c r="BF13" s="144">
        <f>'T&amp;E'!BF$34</f>
        <v>1</v>
      </c>
      <c r="BG13" s="144">
        <f>'T&amp;E'!BG$34</f>
        <v>1</v>
      </c>
      <c r="BH13" s="144">
        <f>'T&amp;E'!BH$34</f>
        <v>1</v>
      </c>
      <c r="BI13" s="144">
        <f>'T&amp;E'!BI$34</f>
        <v>1</v>
      </c>
      <c r="BJ13" s="144">
        <f>'T&amp;E'!BJ$34</f>
        <v>1</v>
      </c>
      <c r="BK13" s="144">
        <f>'T&amp;E'!BK$34</f>
        <v>1</v>
      </c>
      <c r="BL13" s="144">
        <f>'T&amp;E'!BL$34</f>
        <v>1</v>
      </c>
      <c r="BM13" s="144">
        <f>'T&amp;E'!BM$34</f>
        <v>0</v>
      </c>
      <c r="BN13" s="144">
        <f>'T&amp;E'!BN$34</f>
        <v>0</v>
      </c>
      <c r="BO13" s="144">
        <f>'T&amp;E'!BO$34</f>
        <v>0</v>
      </c>
      <c r="BP13" s="144">
        <f>'T&amp;E'!BP$34</f>
        <v>0</v>
      </c>
      <c r="BQ13" s="144">
        <f>'T&amp;E'!BQ$34</f>
        <v>0</v>
      </c>
      <c r="BR13" s="144">
        <f>'T&amp;E'!BR$34</f>
        <v>0</v>
      </c>
      <c r="BS13" s="144">
        <f>'T&amp;E'!BS$34</f>
        <v>0</v>
      </c>
      <c r="BT13" s="144">
        <f>'T&amp;E'!BT$34</f>
        <v>0</v>
      </c>
      <c r="BU13" s="144">
        <f>'T&amp;E'!BU$34</f>
        <v>0</v>
      </c>
      <c r="BV13" s="144">
        <f>'T&amp;E'!BV$34</f>
        <v>0</v>
      </c>
      <c r="BW13" s="144">
        <f>'T&amp;E'!BW$34</f>
        <v>0</v>
      </c>
      <c r="BX13" s="144">
        <f>'T&amp;E'!BX$34</f>
        <v>0</v>
      </c>
      <c r="BY13" s="144">
        <f>'T&amp;E'!BY$34</f>
        <v>0</v>
      </c>
      <c r="BZ13" s="144">
        <f>'T&amp;E'!BZ$34</f>
        <v>0</v>
      </c>
      <c r="CA13" s="144">
        <f>'T&amp;E'!CA$34</f>
        <v>0</v>
      </c>
    </row>
    <row r="14" spans="1:79" x14ac:dyDescent="0.2">
      <c r="E14" s="85" t="s">
        <v>104</v>
      </c>
      <c r="G14" s="85" t="str">
        <f xml:space="preserve"> SMU</f>
        <v>€ 000s</v>
      </c>
      <c r="H14" s="85">
        <f>SUM(J14:CA14)</f>
        <v>395404.94468287501</v>
      </c>
      <c r="J14" s="85">
        <f xml:space="preserve"> $F12 * J13</f>
        <v>0</v>
      </c>
      <c r="K14" s="85">
        <f t="shared" ref="K14:BV14" si="1" xml:space="preserve"> $F12 * K13</f>
        <v>0</v>
      </c>
      <c r="L14" s="85">
        <f t="shared" si="1"/>
        <v>0</v>
      </c>
      <c r="M14" s="85">
        <f t="shared" si="1"/>
        <v>0</v>
      </c>
      <c r="N14" s="85">
        <f t="shared" si="1"/>
        <v>0</v>
      </c>
      <c r="O14" s="85">
        <f t="shared" si="1"/>
        <v>7908.0988936574959</v>
      </c>
      <c r="P14" s="85">
        <f t="shared" si="1"/>
        <v>7908.0988936574959</v>
      </c>
      <c r="Q14" s="85">
        <f t="shared" si="1"/>
        <v>7908.0988936574959</v>
      </c>
      <c r="R14" s="85">
        <f t="shared" si="1"/>
        <v>7908.0988936574959</v>
      </c>
      <c r="S14" s="85">
        <f t="shared" si="1"/>
        <v>7908.0988936574959</v>
      </c>
      <c r="T14" s="85">
        <f t="shared" si="1"/>
        <v>7908.0988936574959</v>
      </c>
      <c r="U14" s="85">
        <f t="shared" si="1"/>
        <v>7908.0988936574959</v>
      </c>
      <c r="V14" s="85">
        <f t="shared" si="1"/>
        <v>7908.0988936574959</v>
      </c>
      <c r="W14" s="85">
        <f t="shared" si="1"/>
        <v>7908.0988936574959</v>
      </c>
      <c r="X14" s="85">
        <f t="shared" si="1"/>
        <v>7908.0988936574959</v>
      </c>
      <c r="Y14" s="85">
        <f t="shared" si="1"/>
        <v>7908.0988936574959</v>
      </c>
      <c r="Z14" s="85">
        <f t="shared" si="1"/>
        <v>7908.0988936574959</v>
      </c>
      <c r="AA14" s="85">
        <f t="shared" si="1"/>
        <v>7908.0988936574959</v>
      </c>
      <c r="AB14" s="85">
        <f t="shared" si="1"/>
        <v>7908.0988936574959</v>
      </c>
      <c r="AC14" s="85">
        <f t="shared" si="1"/>
        <v>7908.0988936574959</v>
      </c>
      <c r="AD14" s="85">
        <f t="shared" si="1"/>
        <v>7908.0988936574959</v>
      </c>
      <c r="AE14" s="85">
        <f t="shared" si="1"/>
        <v>7908.0988936574959</v>
      </c>
      <c r="AF14" s="85">
        <f t="shared" si="1"/>
        <v>7908.0988936574959</v>
      </c>
      <c r="AG14" s="85">
        <f t="shared" si="1"/>
        <v>7908.0988936574959</v>
      </c>
      <c r="AH14" s="85">
        <f t="shared" si="1"/>
        <v>7908.0988936574959</v>
      </c>
      <c r="AI14" s="85">
        <f t="shared" si="1"/>
        <v>7908.0988936574959</v>
      </c>
      <c r="AJ14" s="85">
        <f t="shared" si="1"/>
        <v>7908.0988936574959</v>
      </c>
      <c r="AK14" s="85">
        <f t="shared" si="1"/>
        <v>7908.0988936574959</v>
      </c>
      <c r="AL14" s="85">
        <f t="shared" si="1"/>
        <v>7908.0988936574959</v>
      </c>
      <c r="AM14" s="85">
        <f t="shared" si="1"/>
        <v>7908.0988936574959</v>
      </c>
      <c r="AN14" s="85">
        <f t="shared" si="1"/>
        <v>7908.0988936574959</v>
      </c>
      <c r="AO14" s="85">
        <f t="shared" si="1"/>
        <v>7908.0988936574959</v>
      </c>
      <c r="AP14" s="85">
        <f t="shared" si="1"/>
        <v>7908.0988936574959</v>
      </c>
      <c r="AQ14" s="85">
        <f t="shared" si="1"/>
        <v>7908.0988936574959</v>
      </c>
      <c r="AR14" s="85">
        <f t="shared" si="1"/>
        <v>7908.0988936574959</v>
      </c>
      <c r="AS14" s="85">
        <f t="shared" si="1"/>
        <v>7908.0988936574959</v>
      </c>
      <c r="AT14" s="85">
        <f t="shared" si="1"/>
        <v>7908.0988936574959</v>
      </c>
      <c r="AU14" s="85">
        <f t="shared" si="1"/>
        <v>7908.0988936574959</v>
      </c>
      <c r="AV14" s="85">
        <f t="shared" si="1"/>
        <v>7908.0988936574959</v>
      </c>
      <c r="AW14" s="85">
        <f t="shared" si="1"/>
        <v>7908.0988936574959</v>
      </c>
      <c r="AX14" s="85">
        <f t="shared" si="1"/>
        <v>7908.0988936574959</v>
      </c>
      <c r="AY14" s="85">
        <f t="shared" si="1"/>
        <v>7908.0988936574959</v>
      </c>
      <c r="AZ14" s="85">
        <f t="shared" si="1"/>
        <v>7908.0988936574959</v>
      </c>
      <c r="BA14" s="85">
        <f t="shared" si="1"/>
        <v>7908.0988936574959</v>
      </c>
      <c r="BB14" s="85">
        <f t="shared" si="1"/>
        <v>7908.0988936574959</v>
      </c>
      <c r="BC14" s="85">
        <f t="shared" si="1"/>
        <v>7908.0988936574959</v>
      </c>
      <c r="BD14" s="85">
        <f t="shared" si="1"/>
        <v>7908.0988936574959</v>
      </c>
      <c r="BE14" s="85">
        <f t="shared" si="1"/>
        <v>7908.0988936574959</v>
      </c>
      <c r="BF14" s="85">
        <f t="shared" si="1"/>
        <v>7908.0988936574959</v>
      </c>
      <c r="BG14" s="85">
        <f t="shared" si="1"/>
        <v>7908.0988936574959</v>
      </c>
      <c r="BH14" s="85">
        <f t="shared" si="1"/>
        <v>7908.0988936574959</v>
      </c>
      <c r="BI14" s="85">
        <f t="shared" si="1"/>
        <v>7908.0988936574959</v>
      </c>
      <c r="BJ14" s="85">
        <f t="shared" si="1"/>
        <v>7908.0988936574959</v>
      </c>
      <c r="BK14" s="85">
        <f t="shared" si="1"/>
        <v>7908.0988936574959</v>
      </c>
      <c r="BL14" s="85">
        <f t="shared" si="1"/>
        <v>7908.0988936574959</v>
      </c>
      <c r="BM14" s="85">
        <f t="shared" si="1"/>
        <v>0</v>
      </c>
      <c r="BN14" s="85">
        <f t="shared" si="1"/>
        <v>0</v>
      </c>
      <c r="BO14" s="85">
        <f t="shared" si="1"/>
        <v>0</v>
      </c>
      <c r="BP14" s="85">
        <f t="shared" si="1"/>
        <v>0</v>
      </c>
      <c r="BQ14" s="85">
        <f t="shared" si="1"/>
        <v>0</v>
      </c>
      <c r="BR14" s="85">
        <f t="shared" si="1"/>
        <v>0</v>
      </c>
      <c r="BS14" s="85">
        <f t="shared" si="1"/>
        <v>0</v>
      </c>
      <c r="BT14" s="85">
        <f t="shared" si="1"/>
        <v>0</v>
      </c>
      <c r="BU14" s="85">
        <f t="shared" si="1"/>
        <v>0</v>
      </c>
      <c r="BV14" s="85">
        <f t="shared" si="1"/>
        <v>0</v>
      </c>
      <c r="BW14" s="85">
        <f t="shared" ref="BW14:CA14" si="2" xml:space="preserve"> $F12 * BW13</f>
        <v>0</v>
      </c>
      <c r="BX14" s="85">
        <f t="shared" si="2"/>
        <v>0</v>
      </c>
      <c r="BY14" s="85">
        <f t="shared" si="2"/>
        <v>0</v>
      </c>
      <c r="BZ14" s="85">
        <f t="shared" si="2"/>
        <v>0</v>
      </c>
      <c r="CA14" s="85">
        <f t="shared" si="2"/>
        <v>0</v>
      </c>
    </row>
    <row r="15" spans="1:79" s="140" customFormat="1" x14ac:dyDescent="0.2">
      <c r="A15" s="137"/>
      <c r="B15" s="137"/>
      <c r="C15" s="138"/>
      <c r="D15" s="139"/>
      <c r="E15" s="140" t="str">
        <f xml:space="preserve"> LEFT(E14, LEN(E14) - 4)</f>
        <v>Book depreciation</v>
      </c>
      <c r="G15" s="140" t="str">
        <f xml:space="preserve"> G14</f>
        <v>€ 000s</v>
      </c>
      <c r="H15" s="140">
        <f>SUM(J15:CA15)</f>
        <v>-395404.94468287501</v>
      </c>
      <c r="J15" s="140">
        <f t="shared" ref="J15:BU15" si="3" xml:space="preserve"> -1 * J14</f>
        <v>0</v>
      </c>
      <c r="K15" s="140">
        <f t="shared" si="3"/>
        <v>0</v>
      </c>
      <c r="L15" s="140">
        <f t="shared" si="3"/>
        <v>0</v>
      </c>
      <c r="M15" s="140">
        <f t="shared" si="3"/>
        <v>0</v>
      </c>
      <c r="N15" s="140">
        <f t="shared" si="3"/>
        <v>0</v>
      </c>
      <c r="O15" s="140">
        <f t="shared" si="3"/>
        <v>-7908.0988936574959</v>
      </c>
      <c r="P15" s="140">
        <f t="shared" si="3"/>
        <v>-7908.0988936574959</v>
      </c>
      <c r="Q15" s="140">
        <f t="shared" si="3"/>
        <v>-7908.0988936574959</v>
      </c>
      <c r="R15" s="140">
        <f t="shared" si="3"/>
        <v>-7908.0988936574959</v>
      </c>
      <c r="S15" s="140">
        <f t="shared" si="3"/>
        <v>-7908.0988936574959</v>
      </c>
      <c r="T15" s="140">
        <f t="shared" si="3"/>
        <v>-7908.0988936574959</v>
      </c>
      <c r="U15" s="140">
        <f t="shared" si="3"/>
        <v>-7908.0988936574959</v>
      </c>
      <c r="V15" s="140">
        <f t="shared" si="3"/>
        <v>-7908.0988936574959</v>
      </c>
      <c r="W15" s="140">
        <f t="shared" si="3"/>
        <v>-7908.0988936574959</v>
      </c>
      <c r="X15" s="140">
        <f t="shared" si="3"/>
        <v>-7908.0988936574959</v>
      </c>
      <c r="Y15" s="140">
        <f t="shared" si="3"/>
        <v>-7908.0988936574959</v>
      </c>
      <c r="Z15" s="140">
        <f t="shared" si="3"/>
        <v>-7908.0988936574959</v>
      </c>
      <c r="AA15" s="140">
        <f t="shared" si="3"/>
        <v>-7908.0988936574959</v>
      </c>
      <c r="AB15" s="140">
        <f t="shared" si="3"/>
        <v>-7908.0988936574959</v>
      </c>
      <c r="AC15" s="140">
        <f t="shared" si="3"/>
        <v>-7908.0988936574959</v>
      </c>
      <c r="AD15" s="140">
        <f t="shared" si="3"/>
        <v>-7908.0988936574959</v>
      </c>
      <c r="AE15" s="140">
        <f t="shared" si="3"/>
        <v>-7908.0988936574959</v>
      </c>
      <c r="AF15" s="140">
        <f t="shared" si="3"/>
        <v>-7908.0988936574959</v>
      </c>
      <c r="AG15" s="140">
        <f t="shared" si="3"/>
        <v>-7908.0988936574959</v>
      </c>
      <c r="AH15" s="140">
        <f t="shared" si="3"/>
        <v>-7908.0988936574959</v>
      </c>
      <c r="AI15" s="140">
        <f t="shared" si="3"/>
        <v>-7908.0988936574959</v>
      </c>
      <c r="AJ15" s="140">
        <f t="shared" si="3"/>
        <v>-7908.0988936574959</v>
      </c>
      <c r="AK15" s="140">
        <f t="shared" si="3"/>
        <v>-7908.0988936574959</v>
      </c>
      <c r="AL15" s="140">
        <f t="shared" si="3"/>
        <v>-7908.0988936574959</v>
      </c>
      <c r="AM15" s="140">
        <f t="shared" si="3"/>
        <v>-7908.0988936574959</v>
      </c>
      <c r="AN15" s="140">
        <f t="shared" si="3"/>
        <v>-7908.0988936574959</v>
      </c>
      <c r="AO15" s="140">
        <f t="shared" si="3"/>
        <v>-7908.0988936574959</v>
      </c>
      <c r="AP15" s="140">
        <f t="shared" si="3"/>
        <v>-7908.0988936574959</v>
      </c>
      <c r="AQ15" s="140">
        <f t="shared" si="3"/>
        <v>-7908.0988936574959</v>
      </c>
      <c r="AR15" s="140">
        <f t="shared" si="3"/>
        <v>-7908.0988936574959</v>
      </c>
      <c r="AS15" s="140">
        <f t="shared" si="3"/>
        <v>-7908.0988936574959</v>
      </c>
      <c r="AT15" s="140">
        <f t="shared" si="3"/>
        <v>-7908.0988936574959</v>
      </c>
      <c r="AU15" s="140">
        <f t="shared" si="3"/>
        <v>-7908.0988936574959</v>
      </c>
      <c r="AV15" s="140">
        <f t="shared" si="3"/>
        <v>-7908.0988936574959</v>
      </c>
      <c r="AW15" s="140">
        <f t="shared" si="3"/>
        <v>-7908.0988936574959</v>
      </c>
      <c r="AX15" s="140">
        <f t="shared" si="3"/>
        <v>-7908.0988936574959</v>
      </c>
      <c r="AY15" s="140">
        <f t="shared" si="3"/>
        <v>-7908.0988936574959</v>
      </c>
      <c r="AZ15" s="140">
        <f t="shared" si="3"/>
        <v>-7908.0988936574959</v>
      </c>
      <c r="BA15" s="140">
        <f t="shared" si="3"/>
        <v>-7908.0988936574959</v>
      </c>
      <c r="BB15" s="140">
        <f t="shared" si="3"/>
        <v>-7908.0988936574959</v>
      </c>
      <c r="BC15" s="140">
        <f t="shared" si="3"/>
        <v>-7908.0988936574959</v>
      </c>
      <c r="BD15" s="140">
        <f t="shared" si="3"/>
        <v>-7908.0988936574959</v>
      </c>
      <c r="BE15" s="140">
        <f t="shared" si="3"/>
        <v>-7908.0988936574959</v>
      </c>
      <c r="BF15" s="140">
        <f t="shared" si="3"/>
        <v>-7908.0988936574959</v>
      </c>
      <c r="BG15" s="140">
        <f t="shared" si="3"/>
        <v>-7908.0988936574959</v>
      </c>
      <c r="BH15" s="140">
        <f t="shared" si="3"/>
        <v>-7908.0988936574959</v>
      </c>
      <c r="BI15" s="140">
        <f t="shared" si="3"/>
        <v>-7908.0988936574959</v>
      </c>
      <c r="BJ15" s="140">
        <f t="shared" si="3"/>
        <v>-7908.0988936574959</v>
      </c>
      <c r="BK15" s="140">
        <f t="shared" si="3"/>
        <v>-7908.0988936574959</v>
      </c>
      <c r="BL15" s="140">
        <f t="shared" si="3"/>
        <v>-7908.0988936574959</v>
      </c>
      <c r="BM15" s="140">
        <f t="shared" si="3"/>
        <v>0</v>
      </c>
      <c r="BN15" s="140">
        <f t="shared" si="3"/>
        <v>0</v>
      </c>
      <c r="BO15" s="140">
        <f t="shared" si="3"/>
        <v>0</v>
      </c>
      <c r="BP15" s="140">
        <f t="shared" si="3"/>
        <v>0</v>
      </c>
      <c r="BQ15" s="140">
        <f t="shared" si="3"/>
        <v>0</v>
      </c>
      <c r="BR15" s="140">
        <f t="shared" si="3"/>
        <v>0</v>
      </c>
      <c r="BS15" s="140">
        <f t="shared" si="3"/>
        <v>0</v>
      </c>
      <c r="BT15" s="140">
        <f t="shared" si="3"/>
        <v>0</v>
      </c>
      <c r="BU15" s="140">
        <f t="shared" si="3"/>
        <v>0</v>
      </c>
      <c r="BV15" s="140">
        <f t="shared" ref="BV15:CA15" si="4" xml:space="preserve"> -1 * BV14</f>
        <v>0</v>
      </c>
      <c r="BW15" s="140">
        <f t="shared" si="4"/>
        <v>0</v>
      </c>
      <c r="BX15" s="140">
        <f t="shared" si="4"/>
        <v>0</v>
      </c>
      <c r="BY15" s="140">
        <f t="shared" si="4"/>
        <v>0</v>
      </c>
      <c r="BZ15" s="140">
        <f t="shared" si="4"/>
        <v>0</v>
      </c>
      <c r="CA15" s="140">
        <f t="shared" si="4"/>
        <v>0</v>
      </c>
    </row>
    <row r="18" spans="1:79" x14ac:dyDescent="0.2">
      <c r="A18" s="81" t="s">
        <v>106</v>
      </c>
    </row>
    <row r="20" spans="1:79" s="165" customFormat="1" x14ac:dyDescent="0.2">
      <c r="A20" s="161"/>
      <c r="B20" s="161"/>
      <c r="C20" s="162"/>
      <c r="D20" s="163"/>
      <c r="E20" s="164" t="str">
        <f>ConFin!E$128</f>
        <v>Additions to fixed assets DC total</v>
      </c>
      <c r="F20" s="164">
        <f>ConFin!F$128</f>
        <v>395404.94468287478</v>
      </c>
      <c r="G20" s="164" t="str">
        <f>ConFin!G$128</f>
        <v>€ 000s</v>
      </c>
    </row>
    <row r="21" spans="1:79" s="118" customFormat="1" x14ac:dyDescent="0.2">
      <c r="A21" s="115"/>
      <c r="B21" s="115"/>
      <c r="C21" s="116"/>
      <c r="D21" s="117"/>
      <c r="E21" s="118" t="str">
        <f>'T&amp;E'!E$19</f>
        <v>Initial operations date flag</v>
      </c>
      <c r="F21" s="118">
        <f>'T&amp;E'!F$19</f>
        <v>0</v>
      </c>
      <c r="G21" s="118" t="str">
        <f>'T&amp;E'!G$19</f>
        <v>flag</v>
      </c>
      <c r="H21" s="118">
        <f>'T&amp;E'!H$19</f>
        <v>1</v>
      </c>
      <c r="I21" s="118">
        <f>'T&amp;E'!I$19</f>
        <v>0</v>
      </c>
      <c r="J21" s="118">
        <f>'T&amp;E'!J$19</f>
        <v>0</v>
      </c>
      <c r="K21" s="118">
        <f>'T&amp;E'!K$19</f>
        <v>0</v>
      </c>
      <c r="L21" s="118">
        <f>'T&amp;E'!L$19</f>
        <v>0</v>
      </c>
      <c r="M21" s="118">
        <f>'T&amp;E'!M$19</f>
        <v>0</v>
      </c>
      <c r="N21" s="118">
        <f>'T&amp;E'!N$19</f>
        <v>1</v>
      </c>
      <c r="O21" s="118">
        <f>'T&amp;E'!O$19</f>
        <v>0</v>
      </c>
      <c r="P21" s="118">
        <f>'T&amp;E'!P$19</f>
        <v>0</v>
      </c>
      <c r="Q21" s="118">
        <f>'T&amp;E'!Q$19</f>
        <v>0</v>
      </c>
      <c r="R21" s="118">
        <f>'T&amp;E'!R$19</f>
        <v>0</v>
      </c>
      <c r="S21" s="118">
        <f>'T&amp;E'!S$19</f>
        <v>0</v>
      </c>
      <c r="T21" s="118">
        <f>'T&amp;E'!T$19</f>
        <v>0</v>
      </c>
      <c r="U21" s="118">
        <f>'T&amp;E'!U$19</f>
        <v>0</v>
      </c>
      <c r="V21" s="118">
        <f>'T&amp;E'!V$19</f>
        <v>0</v>
      </c>
      <c r="W21" s="118">
        <f>'T&amp;E'!W$19</f>
        <v>0</v>
      </c>
      <c r="X21" s="118">
        <f>'T&amp;E'!X$19</f>
        <v>0</v>
      </c>
      <c r="Y21" s="118">
        <f>'T&amp;E'!Y$19</f>
        <v>0</v>
      </c>
      <c r="Z21" s="118">
        <f>'T&amp;E'!Z$19</f>
        <v>0</v>
      </c>
      <c r="AA21" s="118">
        <f>'T&amp;E'!AA$19</f>
        <v>0</v>
      </c>
      <c r="AB21" s="118">
        <f>'T&amp;E'!AB$19</f>
        <v>0</v>
      </c>
      <c r="AC21" s="118">
        <f>'T&amp;E'!AC$19</f>
        <v>0</v>
      </c>
      <c r="AD21" s="118">
        <f>'T&amp;E'!AD$19</f>
        <v>0</v>
      </c>
      <c r="AE21" s="118">
        <f>'T&amp;E'!AE$19</f>
        <v>0</v>
      </c>
      <c r="AF21" s="118">
        <f>'T&amp;E'!AF$19</f>
        <v>0</v>
      </c>
      <c r="AG21" s="118">
        <f>'T&amp;E'!AG$19</f>
        <v>0</v>
      </c>
      <c r="AH21" s="118">
        <f>'T&amp;E'!AH$19</f>
        <v>0</v>
      </c>
      <c r="AI21" s="118">
        <f>'T&amp;E'!AI$19</f>
        <v>0</v>
      </c>
      <c r="AJ21" s="118">
        <f>'T&amp;E'!AJ$19</f>
        <v>0</v>
      </c>
      <c r="AK21" s="118">
        <f>'T&amp;E'!AK$19</f>
        <v>0</v>
      </c>
      <c r="AL21" s="118">
        <f>'T&amp;E'!AL$19</f>
        <v>0</v>
      </c>
      <c r="AM21" s="118">
        <f>'T&amp;E'!AM$19</f>
        <v>0</v>
      </c>
      <c r="AN21" s="118">
        <f>'T&amp;E'!AN$19</f>
        <v>0</v>
      </c>
      <c r="AO21" s="118">
        <f>'T&amp;E'!AO$19</f>
        <v>0</v>
      </c>
      <c r="AP21" s="118">
        <f>'T&amp;E'!AP$19</f>
        <v>0</v>
      </c>
      <c r="AQ21" s="118">
        <f>'T&amp;E'!AQ$19</f>
        <v>0</v>
      </c>
      <c r="AR21" s="118">
        <f>'T&amp;E'!AR$19</f>
        <v>0</v>
      </c>
      <c r="AS21" s="118">
        <f>'T&amp;E'!AS$19</f>
        <v>0</v>
      </c>
      <c r="AT21" s="118">
        <f>'T&amp;E'!AT$19</f>
        <v>0</v>
      </c>
      <c r="AU21" s="118">
        <f>'T&amp;E'!AU$19</f>
        <v>0</v>
      </c>
      <c r="AV21" s="118">
        <f>'T&amp;E'!AV$19</f>
        <v>0</v>
      </c>
      <c r="AW21" s="118">
        <f>'T&amp;E'!AW$19</f>
        <v>0</v>
      </c>
      <c r="AX21" s="118">
        <f>'T&amp;E'!AX$19</f>
        <v>0</v>
      </c>
      <c r="AY21" s="118">
        <f>'T&amp;E'!AY$19</f>
        <v>0</v>
      </c>
      <c r="AZ21" s="118">
        <f>'T&amp;E'!AZ$19</f>
        <v>0</v>
      </c>
      <c r="BA21" s="118">
        <f>'T&amp;E'!BA$19</f>
        <v>0</v>
      </c>
      <c r="BB21" s="118">
        <f>'T&amp;E'!BB$19</f>
        <v>0</v>
      </c>
      <c r="BC21" s="118">
        <f>'T&amp;E'!BC$19</f>
        <v>0</v>
      </c>
      <c r="BD21" s="118">
        <f>'T&amp;E'!BD$19</f>
        <v>0</v>
      </c>
      <c r="BE21" s="118">
        <f>'T&amp;E'!BE$19</f>
        <v>0</v>
      </c>
      <c r="BF21" s="118">
        <f>'T&amp;E'!BF$19</f>
        <v>0</v>
      </c>
      <c r="BG21" s="118">
        <f>'T&amp;E'!BG$19</f>
        <v>0</v>
      </c>
      <c r="BH21" s="118">
        <f>'T&amp;E'!BH$19</f>
        <v>0</v>
      </c>
      <c r="BI21" s="118">
        <f>'T&amp;E'!BI$19</f>
        <v>0</v>
      </c>
      <c r="BJ21" s="118">
        <f>'T&amp;E'!BJ$19</f>
        <v>0</v>
      </c>
      <c r="BK21" s="118">
        <f>'T&amp;E'!BK$19</f>
        <v>0</v>
      </c>
      <c r="BL21" s="118">
        <f>'T&amp;E'!BL$19</f>
        <v>0</v>
      </c>
      <c r="BM21" s="118">
        <f>'T&amp;E'!BM$19</f>
        <v>0</v>
      </c>
      <c r="BN21" s="118">
        <f>'T&amp;E'!BN$19</f>
        <v>0</v>
      </c>
      <c r="BO21" s="118">
        <f>'T&amp;E'!BO$19</f>
        <v>0</v>
      </c>
      <c r="BP21" s="118">
        <f>'T&amp;E'!BP$19</f>
        <v>0</v>
      </c>
      <c r="BQ21" s="118">
        <f>'T&amp;E'!BQ$19</f>
        <v>0</v>
      </c>
      <c r="BR21" s="118">
        <f>'T&amp;E'!BR$19</f>
        <v>0</v>
      </c>
      <c r="BS21" s="118">
        <f>'T&amp;E'!BS$19</f>
        <v>0</v>
      </c>
      <c r="BT21" s="118">
        <f>'T&amp;E'!BT$19</f>
        <v>0</v>
      </c>
      <c r="BU21" s="118">
        <f>'T&amp;E'!BU$19</f>
        <v>0</v>
      </c>
      <c r="BV21" s="118">
        <f>'T&amp;E'!BV$19</f>
        <v>0</v>
      </c>
      <c r="BW21" s="118">
        <f>'T&amp;E'!BW$19</f>
        <v>0</v>
      </c>
      <c r="BX21" s="118">
        <f>'T&amp;E'!BX$19</f>
        <v>0</v>
      </c>
      <c r="BY21" s="118">
        <f>'T&amp;E'!BY$19</f>
        <v>0</v>
      </c>
      <c r="BZ21" s="118">
        <f>'T&amp;E'!BZ$19</f>
        <v>0</v>
      </c>
      <c r="CA21" s="118">
        <f>'T&amp;E'!CA$19</f>
        <v>0</v>
      </c>
    </row>
    <row r="22" spans="1:79" s="122" customFormat="1" x14ac:dyDescent="0.2">
      <c r="A22" s="119"/>
      <c r="B22" s="119"/>
      <c r="C22" s="120"/>
      <c r="D22" s="121"/>
    </row>
    <row r="23" spans="1:79" s="122" customFormat="1" x14ac:dyDescent="0.2">
      <c r="A23" s="119"/>
      <c r="B23" s="119"/>
      <c r="C23" s="120"/>
      <c r="D23" s="121"/>
      <c r="E23" s="124" t="s">
        <v>97</v>
      </c>
      <c r="G23" s="124" t="str">
        <f xml:space="preserve"> SMU</f>
        <v>€ 000s</v>
      </c>
      <c r="J23" s="122">
        <f t="shared" ref="J23:BU23" si="5" xml:space="preserve"> I26</f>
        <v>0</v>
      </c>
      <c r="K23" s="122">
        <f t="shared" si="5"/>
        <v>0</v>
      </c>
      <c r="L23" s="122">
        <f t="shared" si="5"/>
        <v>0</v>
      </c>
      <c r="M23" s="122">
        <f t="shared" si="5"/>
        <v>0</v>
      </c>
      <c r="N23" s="122">
        <f t="shared" si="5"/>
        <v>0</v>
      </c>
      <c r="O23" s="122">
        <f t="shared" si="5"/>
        <v>395404.94468287478</v>
      </c>
      <c r="P23" s="122">
        <f t="shared" si="5"/>
        <v>387496.84578921727</v>
      </c>
      <c r="Q23" s="122">
        <f t="shared" si="5"/>
        <v>379588.74689555977</v>
      </c>
      <c r="R23" s="122">
        <f t="shared" si="5"/>
        <v>371680.64800190227</v>
      </c>
      <c r="S23" s="122">
        <f t="shared" si="5"/>
        <v>363772.54910824477</v>
      </c>
      <c r="T23" s="122">
        <f t="shared" si="5"/>
        <v>355864.45021458727</v>
      </c>
      <c r="U23" s="122">
        <f t="shared" si="5"/>
        <v>347956.35132092977</v>
      </c>
      <c r="V23" s="122">
        <f t="shared" si="5"/>
        <v>340048.25242727227</v>
      </c>
      <c r="W23" s="122">
        <f t="shared" si="5"/>
        <v>332140.15353361476</v>
      </c>
      <c r="X23" s="122">
        <f t="shared" si="5"/>
        <v>324232.05463995726</v>
      </c>
      <c r="Y23" s="122">
        <f t="shared" si="5"/>
        <v>316323.95574629976</v>
      </c>
      <c r="Z23" s="122">
        <f t="shared" si="5"/>
        <v>308415.85685264226</v>
      </c>
      <c r="AA23" s="122">
        <f t="shared" si="5"/>
        <v>300507.75795898476</v>
      </c>
      <c r="AB23" s="122">
        <f t="shared" si="5"/>
        <v>292599.65906532726</v>
      </c>
      <c r="AC23" s="122">
        <f t="shared" si="5"/>
        <v>284691.56017166976</v>
      </c>
      <c r="AD23" s="122">
        <f t="shared" si="5"/>
        <v>276783.46127801226</v>
      </c>
      <c r="AE23" s="122">
        <f t="shared" si="5"/>
        <v>268875.36238435475</v>
      </c>
      <c r="AF23" s="122">
        <f t="shared" si="5"/>
        <v>260967.26349069725</v>
      </c>
      <c r="AG23" s="122">
        <f t="shared" si="5"/>
        <v>253059.16459703975</v>
      </c>
      <c r="AH23" s="122">
        <f t="shared" si="5"/>
        <v>245151.06570338225</v>
      </c>
      <c r="AI23" s="122">
        <f t="shared" si="5"/>
        <v>237242.96680972475</v>
      </c>
      <c r="AJ23" s="122">
        <f t="shared" si="5"/>
        <v>229334.86791606725</v>
      </c>
      <c r="AK23" s="122">
        <f t="shared" si="5"/>
        <v>221426.76902240975</v>
      </c>
      <c r="AL23" s="122">
        <f t="shared" si="5"/>
        <v>213518.67012875224</v>
      </c>
      <c r="AM23" s="122">
        <f t="shared" si="5"/>
        <v>205610.57123509474</v>
      </c>
      <c r="AN23" s="122">
        <f t="shared" si="5"/>
        <v>197702.47234143724</v>
      </c>
      <c r="AO23" s="122">
        <f t="shared" si="5"/>
        <v>189794.37344777974</v>
      </c>
      <c r="AP23" s="122">
        <f t="shared" si="5"/>
        <v>181886.27455412224</v>
      </c>
      <c r="AQ23" s="122">
        <f t="shared" si="5"/>
        <v>173978.17566046474</v>
      </c>
      <c r="AR23" s="122">
        <f t="shared" si="5"/>
        <v>166070.07676680724</v>
      </c>
      <c r="AS23" s="122">
        <f t="shared" si="5"/>
        <v>158161.97787314974</v>
      </c>
      <c r="AT23" s="122">
        <f t="shared" si="5"/>
        <v>150253.87897949223</v>
      </c>
      <c r="AU23" s="122">
        <f t="shared" si="5"/>
        <v>142345.78008583473</v>
      </c>
      <c r="AV23" s="122">
        <f t="shared" si="5"/>
        <v>134437.68119217723</v>
      </c>
      <c r="AW23" s="122">
        <f t="shared" si="5"/>
        <v>126529.58229851973</v>
      </c>
      <c r="AX23" s="122">
        <f t="shared" si="5"/>
        <v>118621.48340486223</v>
      </c>
      <c r="AY23" s="122">
        <f t="shared" si="5"/>
        <v>110713.38451120473</v>
      </c>
      <c r="AZ23" s="122">
        <f t="shared" si="5"/>
        <v>102805.28561754723</v>
      </c>
      <c r="BA23" s="122">
        <f t="shared" si="5"/>
        <v>94897.186723889725</v>
      </c>
      <c r="BB23" s="122">
        <f t="shared" si="5"/>
        <v>86989.087830232223</v>
      </c>
      <c r="BC23" s="122">
        <f t="shared" si="5"/>
        <v>79080.988936574722</v>
      </c>
      <c r="BD23" s="122">
        <f t="shared" si="5"/>
        <v>71172.890042917221</v>
      </c>
      <c r="BE23" s="122">
        <f t="shared" si="5"/>
        <v>63264.791149259727</v>
      </c>
      <c r="BF23" s="122">
        <f t="shared" si="5"/>
        <v>55356.692255602233</v>
      </c>
      <c r="BG23" s="122">
        <f t="shared" si="5"/>
        <v>47448.593361944739</v>
      </c>
      <c r="BH23" s="122">
        <f t="shared" si="5"/>
        <v>39540.494468287245</v>
      </c>
      <c r="BI23" s="122">
        <f t="shared" si="5"/>
        <v>31632.395574629751</v>
      </c>
      <c r="BJ23" s="122">
        <f t="shared" si="5"/>
        <v>23724.296680972257</v>
      </c>
      <c r="BK23" s="122">
        <f t="shared" si="5"/>
        <v>15816.197787314761</v>
      </c>
      <c r="BL23" s="122">
        <f t="shared" si="5"/>
        <v>7908.0988936572649</v>
      </c>
      <c r="BM23" s="122">
        <f t="shared" si="5"/>
        <v>-2.3101165425032377E-10</v>
      </c>
      <c r="BN23" s="122">
        <f t="shared" si="5"/>
        <v>-2.3101165425032377E-10</v>
      </c>
      <c r="BO23" s="122">
        <f t="shared" si="5"/>
        <v>-2.3101165425032377E-10</v>
      </c>
      <c r="BP23" s="122">
        <f t="shared" si="5"/>
        <v>-2.3101165425032377E-10</v>
      </c>
      <c r="BQ23" s="122">
        <f t="shared" si="5"/>
        <v>-2.3101165425032377E-10</v>
      </c>
      <c r="BR23" s="122">
        <f t="shared" si="5"/>
        <v>-2.3101165425032377E-10</v>
      </c>
      <c r="BS23" s="122">
        <f t="shared" si="5"/>
        <v>-2.3101165425032377E-10</v>
      </c>
      <c r="BT23" s="122">
        <f t="shared" si="5"/>
        <v>-2.3101165425032377E-10</v>
      </c>
      <c r="BU23" s="122">
        <f t="shared" si="5"/>
        <v>-2.3101165425032377E-10</v>
      </c>
      <c r="BV23" s="122">
        <f t="shared" ref="BV23:CA23" si="6" xml:space="preserve"> BU26</f>
        <v>-2.3101165425032377E-10</v>
      </c>
      <c r="BW23" s="122">
        <f t="shared" si="6"/>
        <v>-2.3101165425032377E-10</v>
      </c>
      <c r="BX23" s="122">
        <f t="shared" si="6"/>
        <v>-2.3101165425032377E-10</v>
      </c>
      <c r="BY23" s="122">
        <f t="shared" si="6"/>
        <v>-2.3101165425032377E-10</v>
      </c>
      <c r="BZ23" s="122">
        <f t="shared" si="6"/>
        <v>-2.3101165425032377E-10</v>
      </c>
      <c r="CA23" s="122">
        <f t="shared" si="6"/>
        <v>-2.3101165425032377E-10</v>
      </c>
    </row>
    <row r="24" spans="1:79" s="123" customFormat="1" x14ac:dyDescent="0.2">
      <c r="A24" s="125"/>
      <c r="B24" s="125"/>
      <c r="C24" s="126"/>
      <c r="D24" s="127" t="s">
        <v>23</v>
      </c>
      <c r="E24" s="123" t="s">
        <v>96</v>
      </c>
      <c r="G24" s="123" t="str">
        <f xml:space="preserve"> SMU</f>
        <v>€ 000s</v>
      </c>
    </row>
    <row r="25" spans="1:79" s="124" customFormat="1" x14ac:dyDescent="0.2">
      <c r="A25" s="166"/>
      <c r="B25" s="166"/>
      <c r="C25" s="167"/>
      <c r="D25" s="168" t="s">
        <v>24</v>
      </c>
      <c r="E25" s="124" t="str">
        <f>E$14</f>
        <v>Book depreciation POS</v>
      </c>
      <c r="F25" s="124">
        <f t="shared" ref="F25:BQ25" si="7">F$14</f>
        <v>0</v>
      </c>
      <c r="G25" s="124" t="str">
        <f t="shared" si="7"/>
        <v>€ 000s</v>
      </c>
      <c r="H25" s="124">
        <f t="shared" si="7"/>
        <v>395404.94468287501</v>
      </c>
      <c r="I25" s="124">
        <f t="shared" si="7"/>
        <v>0</v>
      </c>
      <c r="J25" s="124">
        <f t="shared" si="7"/>
        <v>0</v>
      </c>
      <c r="K25" s="124">
        <f t="shared" si="7"/>
        <v>0</v>
      </c>
      <c r="L25" s="124">
        <f t="shared" si="7"/>
        <v>0</v>
      </c>
      <c r="M25" s="124">
        <f t="shared" si="7"/>
        <v>0</v>
      </c>
      <c r="N25" s="124">
        <f t="shared" si="7"/>
        <v>0</v>
      </c>
      <c r="O25" s="124">
        <f t="shared" si="7"/>
        <v>7908.0988936574959</v>
      </c>
      <c r="P25" s="124">
        <f t="shared" si="7"/>
        <v>7908.0988936574959</v>
      </c>
      <c r="Q25" s="124">
        <f t="shared" si="7"/>
        <v>7908.0988936574959</v>
      </c>
      <c r="R25" s="124">
        <f t="shared" si="7"/>
        <v>7908.0988936574959</v>
      </c>
      <c r="S25" s="124">
        <f t="shared" si="7"/>
        <v>7908.0988936574959</v>
      </c>
      <c r="T25" s="124">
        <f t="shared" si="7"/>
        <v>7908.0988936574959</v>
      </c>
      <c r="U25" s="124">
        <f t="shared" si="7"/>
        <v>7908.0988936574959</v>
      </c>
      <c r="V25" s="124">
        <f t="shared" si="7"/>
        <v>7908.0988936574959</v>
      </c>
      <c r="W25" s="124">
        <f t="shared" si="7"/>
        <v>7908.0988936574959</v>
      </c>
      <c r="X25" s="124">
        <f t="shared" si="7"/>
        <v>7908.0988936574959</v>
      </c>
      <c r="Y25" s="124">
        <f t="shared" si="7"/>
        <v>7908.0988936574959</v>
      </c>
      <c r="Z25" s="124">
        <f t="shared" si="7"/>
        <v>7908.0988936574959</v>
      </c>
      <c r="AA25" s="124">
        <f t="shared" si="7"/>
        <v>7908.0988936574959</v>
      </c>
      <c r="AB25" s="124">
        <f t="shared" si="7"/>
        <v>7908.0988936574959</v>
      </c>
      <c r="AC25" s="124">
        <f t="shared" si="7"/>
        <v>7908.0988936574959</v>
      </c>
      <c r="AD25" s="124">
        <f t="shared" si="7"/>
        <v>7908.0988936574959</v>
      </c>
      <c r="AE25" s="124">
        <f t="shared" si="7"/>
        <v>7908.0988936574959</v>
      </c>
      <c r="AF25" s="124">
        <f t="shared" si="7"/>
        <v>7908.0988936574959</v>
      </c>
      <c r="AG25" s="124">
        <f t="shared" si="7"/>
        <v>7908.0988936574959</v>
      </c>
      <c r="AH25" s="124">
        <f t="shared" si="7"/>
        <v>7908.0988936574959</v>
      </c>
      <c r="AI25" s="124">
        <f t="shared" si="7"/>
        <v>7908.0988936574959</v>
      </c>
      <c r="AJ25" s="124">
        <f t="shared" si="7"/>
        <v>7908.0988936574959</v>
      </c>
      <c r="AK25" s="124">
        <f t="shared" si="7"/>
        <v>7908.0988936574959</v>
      </c>
      <c r="AL25" s="124">
        <f t="shared" si="7"/>
        <v>7908.0988936574959</v>
      </c>
      <c r="AM25" s="124">
        <f t="shared" si="7"/>
        <v>7908.0988936574959</v>
      </c>
      <c r="AN25" s="124">
        <f t="shared" si="7"/>
        <v>7908.0988936574959</v>
      </c>
      <c r="AO25" s="124">
        <f t="shared" si="7"/>
        <v>7908.0988936574959</v>
      </c>
      <c r="AP25" s="124">
        <f t="shared" si="7"/>
        <v>7908.0988936574959</v>
      </c>
      <c r="AQ25" s="124">
        <f t="shared" si="7"/>
        <v>7908.0988936574959</v>
      </c>
      <c r="AR25" s="124">
        <f t="shared" si="7"/>
        <v>7908.0988936574959</v>
      </c>
      <c r="AS25" s="124">
        <f t="shared" si="7"/>
        <v>7908.0988936574959</v>
      </c>
      <c r="AT25" s="124">
        <f t="shared" si="7"/>
        <v>7908.0988936574959</v>
      </c>
      <c r="AU25" s="124">
        <f t="shared" si="7"/>
        <v>7908.0988936574959</v>
      </c>
      <c r="AV25" s="124">
        <f t="shared" si="7"/>
        <v>7908.0988936574959</v>
      </c>
      <c r="AW25" s="124">
        <f t="shared" si="7"/>
        <v>7908.0988936574959</v>
      </c>
      <c r="AX25" s="124">
        <f t="shared" si="7"/>
        <v>7908.0988936574959</v>
      </c>
      <c r="AY25" s="124">
        <f t="shared" si="7"/>
        <v>7908.0988936574959</v>
      </c>
      <c r="AZ25" s="124">
        <f t="shared" si="7"/>
        <v>7908.0988936574959</v>
      </c>
      <c r="BA25" s="124">
        <f t="shared" si="7"/>
        <v>7908.0988936574959</v>
      </c>
      <c r="BB25" s="124">
        <f t="shared" si="7"/>
        <v>7908.0988936574959</v>
      </c>
      <c r="BC25" s="124">
        <f t="shared" si="7"/>
        <v>7908.0988936574959</v>
      </c>
      <c r="BD25" s="124">
        <f t="shared" si="7"/>
        <v>7908.0988936574959</v>
      </c>
      <c r="BE25" s="124">
        <f t="shared" si="7"/>
        <v>7908.0988936574959</v>
      </c>
      <c r="BF25" s="124">
        <f t="shared" si="7"/>
        <v>7908.0988936574959</v>
      </c>
      <c r="BG25" s="124">
        <f t="shared" si="7"/>
        <v>7908.0988936574959</v>
      </c>
      <c r="BH25" s="124">
        <f t="shared" si="7"/>
        <v>7908.0988936574959</v>
      </c>
      <c r="BI25" s="124">
        <f t="shared" si="7"/>
        <v>7908.0988936574959</v>
      </c>
      <c r="BJ25" s="124">
        <f t="shared" si="7"/>
        <v>7908.0988936574959</v>
      </c>
      <c r="BK25" s="124">
        <f t="shared" si="7"/>
        <v>7908.0988936574959</v>
      </c>
      <c r="BL25" s="124">
        <f t="shared" si="7"/>
        <v>7908.0988936574959</v>
      </c>
      <c r="BM25" s="124">
        <f t="shared" si="7"/>
        <v>0</v>
      </c>
      <c r="BN25" s="124">
        <f t="shared" si="7"/>
        <v>0</v>
      </c>
      <c r="BO25" s="124">
        <f t="shared" si="7"/>
        <v>0</v>
      </c>
      <c r="BP25" s="124">
        <f t="shared" si="7"/>
        <v>0</v>
      </c>
      <c r="BQ25" s="124">
        <f t="shared" si="7"/>
        <v>0</v>
      </c>
      <c r="BR25" s="124">
        <f t="shared" ref="BR25:CA25" si="8">BR$14</f>
        <v>0</v>
      </c>
      <c r="BS25" s="124">
        <f t="shared" si="8"/>
        <v>0</v>
      </c>
      <c r="BT25" s="124">
        <f t="shared" si="8"/>
        <v>0</v>
      </c>
      <c r="BU25" s="124">
        <f t="shared" si="8"/>
        <v>0</v>
      </c>
      <c r="BV25" s="124">
        <f t="shared" si="8"/>
        <v>0</v>
      </c>
      <c r="BW25" s="124">
        <f t="shared" si="8"/>
        <v>0</v>
      </c>
      <c r="BX25" s="124">
        <f t="shared" si="8"/>
        <v>0</v>
      </c>
      <c r="BY25" s="124">
        <f t="shared" si="8"/>
        <v>0</v>
      </c>
      <c r="BZ25" s="124">
        <f t="shared" si="8"/>
        <v>0</v>
      </c>
      <c r="CA25" s="124">
        <f t="shared" si="8"/>
        <v>0</v>
      </c>
    </row>
    <row r="26" spans="1:79" s="173" customFormat="1" x14ac:dyDescent="0.2">
      <c r="A26" s="169"/>
      <c r="B26" s="169"/>
      <c r="C26" s="170"/>
      <c r="D26" s="171"/>
      <c r="E26" s="172" t="s">
        <v>98</v>
      </c>
      <c r="G26" s="172" t="str">
        <f xml:space="preserve"> SMU</f>
        <v>€ 000s</v>
      </c>
      <c r="I26" s="174"/>
      <c r="J26" s="173">
        <f t="shared" ref="J26:BU26" si="9" xml:space="preserve"> IF( J21 = 1, $F20, J23 + J24 - J25)</f>
        <v>0</v>
      </c>
      <c r="K26" s="173">
        <f t="shared" si="9"/>
        <v>0</v>
      </c>
      <c r="L26" s="173">
        <f t="shared" si="9"/>
        <v>0</v>
      </c>
      <c r="M26" s="173">
        <f t="shared" si="9"/>
        <v>0</v>
      </c>
      <c r="N26" s="173">
        <f t="shared" si="9"/>
        <v>395404.94468287478</v>
      </c>
      <c r="O26" s="173">
        <f t="shared" si="9"/>
        <v>387496.84578921727</v>
      </c>
      <c r="P26" s="173">
        <f t="shared" si="9"/>
        <v>379588.74689555977</v>
      </c>
      <c r="Q26" s="173">
        <f t="shared" si="9"/>
        <v>371680.64800190227</v>
      </c>
      <c r="R26" s="173">
        <f t="shared" si="9"/>
        <v>363772.54910824477</v>
      </c>
      <c r="S26" s="173">
        <f t="shared" si="9"/>
        <v>355864.45021458727</v>
      </c>
      <c r="T26" s="173">
        <f t="shared" si="9"/>
        <v>347956.35132092977</v>
      </c>
      <c r="U26" s="173">
        <f t="shared" si="9"/>
        <v>340048.25242727227</v>
      </c>
      <c r="V26" s="173">
        <f t="shared" si="9"/>
        <v>332140.15353361476</v>
      </c>
      <c r="W26" s="173">
        <f t="shared" si="9"/>
        <v>324232.05463995726</v>
      </c>
      <c r="X26" s="173">
        <f t="shared" si="9"/>
        <v>316323.95574629976</v>
      </c>
      <c r="Y26" s="173">
        <f t="shared" si="9"/>
        <v>308415.85685264226</v>
      </c>
      <c r="Z26" s="173">
        <f t="shared" si="9"/>
        <v>300507.75795898476</v>
      </c>
      <c r="AA26" s="173">
        <f t="shared" si="9"/>
        <v>292599.65906532726</v>
      </c>
      <c r="AB26" s="173">
        <f t="shared" si="9"/>
        <v>284691.56017166976</v>
      </c>
      <c r="AC26" s="173">
        <f t="shared" si="9"/>
        <v>276783.46127801226</v>
      </c>
      <c r="AD26" s="173">
        <f t="shared" si="9"/>
        <v>268875.36238435475</v>
      </c>
      <c r="AE26" s="173">
        <f t="shared" si="9"/>
        <v>260967.26349069725</v>
      </c>
      <c r="AF26" s="173">
        <f t="shared" si="9"/>
        <v>253059.16459703975</v>
      </c>
      <c r="AG26" s="173">
        <f t="shared" si="9"/>
        <v>245151.06570338225</v>
      </c>
      <c r="AH26" s="173">
        <f t="shared" si="9"/>
        <v>237242.96680972475</v>
      </c>
      <c r="AI26" s="173">
        <f t="shared" si="9"/>
        <v>229334.86791606725</v>
      </c>
      <c r="AJ26" s="173">
        <f t="shared" si="9"/>
        <v>221426.76902240975</v>
      </c>
      <c r="AK26" s="173">
        <f t="shared" si="9"/>
        <v>213518.67012875224</v>
      </c>
      <c r="AL26" s="173">
        <f t="shared" si="9"/>
        <v>205610.57123509474</v>
      </c>
      <c r="AM26" s="173">
        <f t="shared" si="9"/>
        <v>197702.47234143724</v>
      </c>
      <c r="AN26" s="173">
        <f t="shared" si="9"/>
        <v>189794.37344777974</v>
      </c>
      <c r="AO26" s="173">
        <f t="shared" si="9"/>
        <v>181886.27455412224</v>
      </c>
      <c r="AP26" s="173">
        <f t="shared" si="9"/>
        <v>173978.17566046474</v>
      </c>
      <c r="AQ26" s="173">
        <f t="shared" si="9"/>
        <v>166070.07676680724</v>
      </c>
      <c r="AR26" s="173">
        <f t="shared" si="9"/>
        <v>158161.97787314974</v>
      </c>
      <c r="AS26" s="173">
        <f t="shared" si="9"/>
        <v>150253.87897949223</v>
      </c>
      <c r="AT26" s="173">
        <f t="shared" si="9"/>
        <v>142345.78008583473</v>
      </c>
      <c r="AU26" s="173">
        <f t="shared" si="9"/>
        <v>134437.68119217723</v>
      </c>
      <c r="AV26" s="173">
        <f t="shared" si="9"/>
        <v>126529.58229851973</v>
      </c>
      <c r="AW26" s="173">
        <f t="shared" si="9"/>
        <v>118621.48340486223</v>
      </c>
      <c r="AX26" s="173">
        <f t="shared" si="9"/>
        <v>110713.38451120473</v>
      </c>
      <c r="AY26" s="173">
        <f t="shared" si="9"/>
        <v>102805.28561754723</v>
      </c>
      <c r="AZ26" s="173">
        <f t="shared" si="9"/>
        <v>94897.186723889725</v>
      </c>
      <c r="BA26" s="173">
        <f t="shared" si="9"/>
        <v>86989.087830232223</v>
      </c>
      <c r="BB26" s="173">
        <f t="shared" si="9"/>
        <v>79080.988936574722</v>
      </c>
      <c r="BC26" s="173">
        <f t="shared" si="9"/>
        <v>71172.890042917221</v>
      </c>
      <c r="BD26" s="173">
        <f t="shared" si="9"/>
        <v>63264.791149259727</v>
      </c>
      <c r="BE26" s="173">
        <f t="shared" si="9"/>
        <v>55356.692255602233</v>
      </c>
      <c r="BF26" s="173">
        <f t="shared" si="9"/>
        <v>47448.593361944739</v>
      </c>
      <c r="BG26" s="173">
        <f t="shared" si="9"/>
        <v>39540.494468287245</v>
      </c>
      <c r="BH26" s="173">
        <f t="shared" si="9"/>
        <v>31632.395574629751</v>
      </c>
      <c r="BI26" s="173">
        <f t="shared" si="9"/>
        <v>23724.296680972257</v>
      </c>
      <c r="BJ26" s="173">
        <f t="shared" si="9"/>
        <v>15816.197787314761</v>
      </c>
      <c r="BK26" s="173">
        <f t="shared" si="9"/>
        <v>7908.0988936572649</v>
      </c>
      <c r="BL26" s="173">
        <f t="shared" si="9"/>
        <v>-2.3101165425032377E-10</v>
      </c>
      <c r="BM26" s="173">
        <f t="shared" si="9"/>
        <v>-2.3101165425032377E-10</v>
      </c>
      <c r="BN26" s="173">
        <f t="shared" si="9"/>
        <v>-2.3101165425032377E-10</v>
      </c>
      <c r="BO26" s="173">
        <f t="shared" si="9"/>
        <v>-2.3101165425032377E-10</v>
      </c>
      <c r="BP26" s="173">
        <f t="shared" si="9"/>
        <v>-2.3101165425032377E-10</v>
      </c>
      <c r="BQ26" s="173">
        <f t="shared" si="9"/>
        <v>-2.3101165425032377E-10</v>
      </c>
      <c r="BR26" s="173">
        <f t="shared" si="9"/>
        <v>-2.3101165425032377E-10</v>
      </c>
      <c r="BS26" s="173">
        <f t="shared" si="9"/>
        <v>-2.3101165425032377E-10</v>
      </c>
      <c r="BT26" s="173">
        <f t="shared" si="9"/>
        <v>-2.3101165425032377E-10</v>
      </c>
      <c r="BU26" s="173">
        <f t="shared" si="9"/>
        <v>-2.3101165425032377E-10</v>
      </c>
      <c r="BV26" s="173">
        <f t="shared" ref="BV26:CA26" si="10" xml:space="preserve"> IF( BV21 = 1, $F20, BV23 + BV24 - BV25)</f>
        <v>-2.3101165425032377E-10</v>
      </c>
      <c r="BW26" s="173">
        <f t="shared" si="10"/>
        <v>-2.3101165425032377E-10</v>
      </c>
      <c r="BX26" s="173">
        <f t="shared" si="10"/>
        <v>-2.3101165425032377E-10</v>
      </c>
      <c r="BY26" s="173">
        <f t="shared" si="10"/>
        <v>-2.3101165425032377E-10</v>
      </c>
      <c r="BZ26" s="173">
        <f t="shared" si="10"/>
        <v>-2.3101165425032377E-10</v>
      </c>
      <c r="CA26" s="173">
        <f t="shared" si="10"/>
        <v>-2.3101165425032377E-10</v>
      </c>
    </row>
    <row r="27" spans="1:79" s="114" customFormat="1" x14ac:dyDescent="0.2">
      <c r="A27" s="108"/>
      <c r="B27" s="175"/>
      <c r="C27" s="176"/>
      <c r="D27" s="110"/>
    </row>
  </sheetData>
  <printOptions heading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&amp;L&amp;"Arial,Bold"&amp;14Financial Mechanics Training Model&amp;C&amp;"Arial,Bold"&amp;14Sheet: &amp;A&amp;R&amp;"Arial,Bold"&amp;14STRICTLY NOT CONFIDENTIAL</oddHeader>
    <oddFooter>&amp;L&amp;12&amp;F (Printed on &amp;D at &amp;T) &amp;C&amp;12Page &amp;P of &amp;N&amp;R&amp;12© 2008 Financial Mechanics Ltd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79"/>
  <sheetViews>
    <sheetView defaultGridColor="0" colorId="22" workbookViewId="0">
      <pane xSplit="6" ySplit="4" topLeftCell="G33" activePane="bottomRight" state="frozen"/>
      <selection activeCell="G5" sqref="G5"/>
      <selection pane="topRight" activeCell="G5" sqref="G5"/>
      <selection pane="bottomLeft" activeCell="G5" sqref="G5"/>
      <selection pane="bottomRight" activeCell="F54" sqref="F54"/>
    </sheetView>
  </sheetViews>
  <sheetFormatPr defaultColWidth="0" defaultRowHeight="12.75" x14ac:dyDescent="0.2"/>
  <cols>
    <col min="1" max="1" width="1.28515625" style="81" customWidth="1"/>
    <col min="2" max="2" width="1.28515625" style="82" customWidth="1"/>
    <col min="3" max="3" width="1.28515625" style="83" customWidth="1"/>
    <col min="4" max="4" width="1.28515625" style="84" customWidth="1"/>
    <col min="5" max="5" width="40.7109375" style="85" customWidth="1"/>
    <col min="6" max="6" width="12.7109375" style="85" customWidth="1"/>
    <col min="7" max="8" width="11.7109375" style="85" customWidth="1"/>
    <col min="9" max="9" width="2.7109375" style="85" customWidth="1"/>
    <col min="10" max="79" width="11.7109375" style="85" customWidth="1"/>
    <col min="80" max="16384" width="0" style="85" hidden="1"/>
  </cols>
  <sheetData>
    <row r="1" spans="1:79" s="72" customFormat="1" x14ac:dyDescent="0.2">
      <c r="A1" s="69" t="str">
        <f ca="1" xml:space="preserve"> RIGHT(CELL("filename", A1), LEN(CELL("filename", A1)) - SEARCH("]", CELL("filename", A1)))</f>
        <v>SrDebt</v>
      </c>
      <c r="B1" s="69"/>
      <c r="C1" s="70"/>
      <c r="D1" s="71"/>
      <c r="F1" s="73"/>
      <c r="G1" s="73"/>
      <c r="H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</row>
    <row r="2" spans="1:79" s="74" customFormat="1" x14ac:dyDescent="0.2">
      <c r="A2" s="75"/>
      <c r="B2" s="75"/>
      <c r="C2" s="107"/>
      <c r="D2" s="77"/>
      <c r="E2" s="74" t="str">
        <f xml:space="preserve"> 'T&amp;E'!E$24</f>
        <v>Operating period flag</v>
      </c>
      <c r="F2" s="74">
        <f xml:space="preserve"> 'T&amp;E'!F$24</f>
        <v>0</v>
      </c>
      <c r="G2" s="74" t="str">
        <f xml:space="preserve"> 'T&amp;E'!G$24</f>
        <v>flag</v>
      </c>
      <c r="H2" s="74">
        <f xml:space="preserve"> 'T&amp;E'!H$24</f>
        <v>60</v>
      </c>
      <c r="I2" s="74">
        <f xml:space="preserve"> 'T&amp;E'!I$24</f>
        <v>0</v>
      </c>
      <c r="J2" s="74">
        <f xml:space="preserve"> 'T&amp;E'!J$24</f>
        <v>0</v>
      </c>
      <c r="K2" s="74">
        <f xml:space="preserve"> 'T&amp;E'!K$24</f>
        <v>0</v>
      </c>
      <c r="L2" s="74">
        <f xml:space="preserve"> 'T&amp;E'!L$24</f>
        <v>0</v>
      </c>
      <c r="M2" s="74">
        <f xml:space="preserve"> 'T&amp;E'!M$24</f>
        <v>0</v>
      </c>
      <c r="N2" s="74">
        <f xml:space="preserve"> 'T&amp;E'!N$24</f>
        <v>0</v>
      </c>
      <c r="O2" s="74">
        <f xml:space="preserve"> 'T&amp;E'!O$24</f>
        <v>1</v>
      </c>
      <c r="P2" s="74">
        <f xml:space="preserve"> 'T&amp;E'!P$24</f>
        <v>1</v>
      </c>
      <c r="Q2" s="74">
        <f xml:space="preserve"> 'T&amp;E'!Q$24</f>
        <v>1</v>
      </c>
      <c r="R2" s="74">
        <f xml:space="preserve"> 'T&amp;E'!R$24</f>
        <v>1</v>
      </c>
      <c r="S2" s="74">
        <f xml:space="preserve"> 'T&amp;E'!S$24</f>
        <v>1</v>
      </c>
      <c r="T2" s="74">
        <f xml:space="preserve"> 'T&amp;E'!T$24</f>
        <v>1</v>
      </c>
      <c r="U2" s="74">
        <f xml:space="preserve"> 'T&amp;E'!U$24</f>
        <v>1</v>
      </c>
      <c r="V2" s="74">
        <f xml:space="preserve"> 'T&amp;E'!V$24</f>
        <v>1</v>
      </c>
      <c r="W2" s="74">
        <f xml:space="preserve"> 'T&amp;E'!W$24</f>
        <v>1</v>
      </c>
      <c r="X2" s="74">
        <f xml:space="preserve"> 'T&amp;E'!X$24</f>
        <v>1</v>
      </c>
      <c r="Y2" s="74">
        <f xml:space="preserve"> 'T&amp;E'!Y$24</f>
        <v>1</v>
      </c>
      <c r="Z2" s="74">
        <f xml:space="preserve"> 'T&amp;E'!Z$24</f>
        <v>1</v>
      </c>
      <c r="AA2" s="74">
        <f xml:space="preserve"> 'T&amp;E'!AA$24</f>
        <v>1</v>
      </c>
      <c r="AB2" s="74">
        <f xml:space="preserve"> 'T&amp;E'!AB$24</f>
        <v>1</v>
      </c>
      <c r="AC2" s="74">
        <f xml:space="preserve"> 'T&amp;E'!AC$24</f>
        <v>1</v>
      </c>
      <c r="AD2" s="74">
        <f xml:space="preserve"> 'T&amp;E'!AD$24</f>
        <v>1</v>
      </c>
      <c r="AE2" s="74">
        <f xml:space="preserve"> 'T&amp;E'!AE$24</f>
        <v>1</v>
      </c>
      <c r="AF2" s="74">
        <f xml:space="preserve"> 'T&amp;E'!AF$24</f>
        <v>1</v>
      </c>
      <c r="AG2" s="74">
        <f xml:space="preserve"> 'T&amp;E'!AG$24</f>
        <v>1</v>
      </c>
      <c r="AH2" s="74">
        <f xml:space="preserve"> 'T&amp;E'!AH$24</f>
        <v>1</v>
      </c>
      <c r="AI2" s="74">
        <f xml:space="preserve"> 'T&amp;E'!AI$24</f>
        <v>1</v>
      </c>
      <c r="AJ2" s="74">
        <f xml:space="preserve"> 'T&amp;E'!AJ$24</f>
        <v>1</v>
      </c>
      <c r="AK2" s="74">
        <f xml:space="preserve"> 'T&amp;E'!AK$24</f>
        <v>1</v>
      </c>
      <c r="AL2" s="74">
        <f xml:space="preserve"> 'T&amp;E'!AL$24</f>
        <v>1</v>
      </c>
      <c r="AM2" s="74">
        <f xml:space="preserve"> 'T&amp;E'!AM$24</f>
        <v>1</v>
      </c>
      <c r="AN2" s="74">
        <f xml:space="preserve"> 'T&amp;E'!AN$24</f>
        <v>1</v>
      </c>
      <c r="AO2" s="74">
        <f xml:space="preserve"> 'T&amp;E'!AO$24</f>
        <v>1</v>
      </c>
      <c r="AP2" s="74">
        <f xml:space="preserve"> 'T&amp;E'!AP$24</f>
        <v>1</v>
      </c>
      <c r="AQ2" s="74">
        <f xml:space="preserve"> 'T&amp;E'!AQ$24</f>
        <v>1</v>
      </c>
      <c r="AR2" s="74">
        <f xml:space="preserve"> 'T&amp;E'!AR$24</f>
        <v>1</v>
      </c>
      <c r="AS2" s="74">
        <f xml:space="preserve"> 'T&amp;E'!AS$24</f>
        <v>1</v>
      </c>
      <c r="AT2" s="74">
        <f xml:space="preserve"> 'T&amp;E'!AT$24</f>
        <v>1</v>
      </c>
      <c r="AU2" s="74">
        <f xml:space="preserve"> 'T&amp;E'!AU$24</f>
        <v>1</v>
      </c>
      <c r="AV2" s="74">
        <f xml:space="preserve"> 'T&amp;E'!AV$24</f>
        <v>1</v>
      </c>
      <c r="AW2" s="74">
        <f xml:space="preserve"> 'T&amp;E'!AW$24</f>
        <v>1</v>
      </c>
      <c r="AX2" s="74">
        <f xml:space="preserve"> 'T&amp;E'!AX$24</f>
        <v>1</v>
      </c>
      <c r="AY2" s="74">
        <f xml:space="preserve"> 'T&amp;E'!AY$24</f>
        <v>1</v>
      </c>
      <c r="AZ2" s="74">
        <f xml:space="preserve"> 'T&amp;E'!AZ$24</f>
        <v>1</v>
      </c>
      <c r="BA2" s="74">
        <f xml:space="preserve"> 'T&amp;E'!BA$24</f>
        <v>1</v>
      </c>
      <c r="BB2" s="74">
        <f xml:space="preserve"> 'T&amp;E'!BB$24</f>
        <v>1</v>
      </c>
      <c r="BC2" s="74">
        <f xml:space="preserve"> 'T&amp;E'!BC$24</f>
        <v>1</v>
      </c>
      <c r="BD2" s="74">
        <f xml:space="preserve"> 'T&amp;E'!BD$24</f>
        <v>1</v>
      </c>
      <c r="BE2" s="74">
        <f xml:space="preserve"> 'T&amp;E'!BE$24</f>
        <v>1</v>
      </c>
      <c r="BF2" s="74">
        <f xml:space="preserve"> 'T&amp;E'!BF$24</f>
        <v>1</v>
      </c>
      <c r="BG2" s="74">
        <f xml:space="preserve"> 'T&amp;E'!BG$24</f>
        <v>1</v>
      </c>
      <c r="BH2" s="74">
        <f xml:space="preserve"> 'T&amp;E'!BH$24</f>
        <v>1</v>
      </c>
      <c r="BI2" s="74">
        <f xml:space="preserve"> 'T&amp;E'!BI$24</f>
        <v>1</v>
      </c>
      <c r="BJ2" s="74">
        <f xml:space="preserve"> 'T&amp;E'!BJ$24</f>
        <v>1</v>
      </c>
      <c r="BK2" s="74">
        <f xml:space="preserve"> 'T&amp;E'!BK$24</f>
        <v>1</v>
      </c>
      <c r="BL2" s="74">
        <f xml:space="preserve"> 'T&amp;E'!BL$24</f>
        <v>1</v>
      </c>
      <c r="BM2" s="74">
        <f xml:space="preserve"> 'T&amp;E'!BM$24</f>
        <v>1</v>
      </c>
      <c r="BN2" s="74">
        <f xml:space="preserve"> 'T&amp;E'!BN$24</f>
        <v>1</v>
      </c>
      <c r="BO2" s="74">
        <f xml:space="preserve"> 'T&amp;E'!BO$24</f>
        <v>1</v>
      </c>
      <c r="BP2" s="74">
        <f xml:space="preserve"> 'T&amp;E'!BP$24</f>
        <v>1</v>
      </c>
      <c r="BQ2" s="74">
        <f xml:space="preserve"> 'T&amp;E'!BQ$24</f>
        <v>1</v>
      </c>
      <c r="BR2" s="74">
        <f xml:space="preserve"> 'T&amp;E'!BR$24</f>
        <v>1</v>
      </c>
      <c r="BS2" s="74">
        <f xml:space="preserve"> 'T&amp;E'!BS$24</f>
        <v>1</v>
      </c>
      <c r="BT2" s="74">
        <f xml:space="preserve"> 'T&amp;E'!BT$24</f>
        <v>1</v>
      </c>
      <c r="BU2" s="74">
        <f xml:space="preserve"> 'T&amp;E'!BU$24</f>
        <v>1</v>
      </c>
      <c r="BV2" s="74">
        <f xml:space="preserve"> 'T&amp;E'!BV$24</f>
        <v>1</v>
      </c>
      <c r="BW2" s="74">
        <f xml:space="preserve"> 'T&amp;E'!BW$24</f>
        <v>0</v>
      </c>
      <c r="BX2" s="74">
        <f xml:space="preserve"> 'T&amp;E'!BX$24</f>
        <v>0</v>
      </c>
      <c r="BY2" s="74">
        <f xml:space="preserve"> 'T&amp;E'!BY$24</f>
        <v>0</v>
      </c>
      <c r="BZ2" s="74">
        <f xml:space="preserve"> 'T&amp;E'!BZ$24</f>
        <v>0</v>
      </c>
      <c r="CA2" s="74">
        <f xml:space="preserve"> 'T&amp;E'!CA$24</f>
        <v>0</v>
      </c>
    </row>
    <row r="3" spans="1:79" s="74" customFormat="1" x14ac:dyDescent="0.2">
      <c r="A3" s="75"/>
      <c r="B3" s="75"/>
      <c r="C3" s="107"/>
      <c r="D3" s="77"/>
      <c r="E3" s="74" t="str">
        <f>'T&amp;E'!E$8</f>
        <v>Model column counter</v>
      </c>
      <c r="F3" s="74">
        <f>'T&amp;E'!F$8</f>
        <v>0</v>
      </c>
      <c r="G3" s="74">
        <f>'T&amp;E'!G$8</f>
        <v>0</v>
      </c>
      <c r="H3" s="74">
        <f>'T&amp;E'!H$8</f>
        <v>0</v>
      </c>
      <c r="I3" s="74">
        <f>'T&amp;E'!I$8</f>
        <v>0</v>
      </c>
      <c r="J3" s="74">
        <f>'T&amp;E'!J$8</f>
        <v>1</v>
      </c>
      <c r="K3" s="74">
        <f>'T&amp;E'!K$8</f>
        <v>2</v>
      </c>
      <c r="L3" s="74">
        <f>'T&amp;E'!L$8</f>
        <v>3</v>
      </c>
      <c r="M3" s="74">
        <f>'T&amp;E'!M$8</f>
        <v>4</v>
      </c>
      <c r="N3" s="74">
        <f>'T&amp;E'!N$8</f>
        <v>5</v>
      </c>
      <c r="O3" s="74">
        <f>'T&amp;E'!O$8</f>
        <v>6</v>
      </c>
      <c r="P3" s="74">
        <f>'T&amp;E'!P$8</f>
        <v>7</v>
      </c>
      <c r="Q3" s="74">
        <f>'T&amp;E'!Q$8</f>
        <v>8</v>
      </c>
      <c r="R3" s="74">
        <f>'T&amp;E'!R$8</f>
        <v>9</v>
      </c>
      <c r="S3" s="74">
        <f>'T&amp;E'!S$8</f>
        <v>10</v>
      </c>
      <c r="T3" s="74">
        <f>'T&amp;E'!T$8</f>
        <v>11</v>
      </c>
      <c r="U3" s="74">
        <f>'T&amp;E'!U$8</f>
        <v>12</v>
      </c>
      <c r="V3" s="74">
        <f>'T&amp;E'!V$8</f>
        <v>13</v>
      </c>
      <c r="W3" s="74">
        <f>'T&amp;E'!W$8</f>
        <v>14</v>
      </c>
      <c r="X3" s="74">
        <f>'T&amp;E'!X$8</f>
        <v>15</v>
      </c>
      <c r="Y3" s="74">
        <f>'T&amp;E'!Y$8</f>
        <v>16</v>
      </c>
      <c r="Z3" s="74">
        <f>'T&amp;E'!Z$8</f>
        <v>17</v>
      </c>
      <c r="AA3" s="74">
        <f>'T&amp;E'!AA$8</f>
        <v>18</v>
      </c>
      <c r="AB3" s="74">
        <f>'T&amp;E'!AB$8</f>
        <v>19</v>
      </c>
      <c r="AC3" s="74">
        <f>'T&amp;E'!AC$8</f>
        <v>20</v>
      </c>
      <c r="AD3" s="74">
        <f>'T&amp;E'!AD$8</f>
        <v>21</v>
      </c>
      <c r="AE3" s="74">
        <f>'T&amp;E'!AE$8</f>
        <v>22</v>
      </c>
      <c r="AF3" s="74">
        <f>'T&amp;E'!AF$8</f>
        <v>23</v>
      </c>
      <c r="AG3" s="74">
        <f>'T&amp;E'!AG$8</f>
        <v>24</v>
      </c>
      <c r="AH3" s="74">
        <f>'T&amp;E'!AH$8</f>
        <v>25</v>
      </c>
      <c r="AI3" s="74">
        <f>'T&amp;E'!AI$8</f>
        <v>26</v>
      </c>
      <c r="AJ3" s="74">
        <f>'T&amp;E'!AJ$8</f>
        <v>27</v>
      </c>
      <c r="AK3" s="74">
        <f>'T&amp;E'!AK$8</f>
        <v>28</v>
      </c>
      <c r="AL3" s="74">
        <f>'T&amp;E'!AL$8</f>
        <v>29</v>
      </c>
      <c r="AM3" s="74">
        <f>'T&amp;E'!AM$8</f>
        <v>30</v>
      </c>
      <c r="AN3" s="74">
        <f>'T&amp;E'!AN$8</f>
        <v>31</v>
      </c>
      <c r="AO3" s="74">
        <f>'T&amp;E'!AO$8</f>
        <v>32</v>
      </c>
      <c r="AP3" s="74">
        <f>'T&amp;E'!AP$8</f>
        <v>33</v>
      </c>
      <c r="AQ3" s="74">
        <f>'T&amp;E'!AQ$8</f>
        <v>34</v>
      </c>
      <c r="AR3" s="74">
        <f>'T&amp;E'!AR$8</f>
        <v>35</v>
      </c>
      <c r="AS3" s="74">
        <f>'T&amp;E'!AS$8</f>
        <v>36</v>
      </c>
      <c r="AT3" s="74">
        <f>'T&amp;E'!AT$8</f>
        <v>37</v>
      </c>
      <c r="AU3" s="74">
        <f>'T&amp;E'!AU$8</f>
        <v>38</v>
      </c>
      <c r="AV3" s="74">
        <f>'T&amp;E'!AV$8</f>
        <v>39</v>
      </c>
      <c r="AW3" s="74">
        <f>'T&amp;E'!AW$8</f>
        <v>40</v>
      </c>
      <c r="AX3" s="74">
        <f>'T&amp;E'!AX$8</f>
        <v>41</v>
      </c>
      <c r="AY3" s="74">
        <f>'T&amp;E'!AY$8</f>
        <v>42</v>
      </c>
      <c r="AZ3" s="74">
        <f>'T&amp;E'!AZ$8</f>
        <v>43</v>
      </c>
      <c r="BA3" s="74">
        <f>'T&amp;E'!BA$8</f>
        <v>44</v>
      </c>
      <c r="BB3" s="74">
        <f>'T&amp;E'!BB$8</f>
        <v>45</v>
      </c>
      <c r="BC3" s="74">
        <f>'T&amp;E'!BC$8</f>
        <v>46</v>
      </c>
      <c r="BD3" s="74">
        <f>'T&amp;E'!BD$8</f>
        <v>47</v>
      </c>
      <c r="BE3" s="74">
        <f>'T&amp;E'!BE$8</f>
        <v>48</v>
      </c>
      <c r="BF3" s="74">
        <f>'T&amp;E'!BF$8</f>
        <v>49</v>
      </c>
      <c r="BG3" s="74">
        <f>'T&amp;E'!BG$8</f>
        <v>50</v>
      </c>
      <c r="BH3" s="74">
        <f>'T&amp;E'!BH$8</f>
        <v>51</v>
      </c>
      <c r="BI3" s="74">
        <f>'T&amp;E'!BI$8</f>
        <v>52</v>
      </c>
      <c r="BJ3" s="74">
        <f>'T&amp;E'!BJ$8</f>
        <v>53</v>
      </c>
      <c r="BK3" s="74">
        <f>'T&amp;E'!BK$8</f>
        <v>54</v>
      </c>
      <c r="BL3" s="74">
        <f>'T&amp;E'!BL$8</f>
        <v>55</v>
      </c>
      <c r="BM3" s="74">
        <f>'T&amp;E'!BM$8</f>
        <v>56</v>
      </c>
      <c r="BN3" s="74">
        <f>'T&amp;E'!BN$8</f>
        <v>57</v>
      </c>
      <c r="BO3" s="74">
        <f>'T&amp;E'!BO$8</f>
        <v>58</v>
      </c>
      <c r="BP3" s="74">
        <f>'T&amp;E'!BP$8</f>
        <v>59</v>
      </c>
      <c r="BQ3" s="74">
        <f>'T&amp;E'!BQ$8</f>
        <v>60</v>
      </c>
      <c r="BR3" s="74">
        <f>'T&amp;E'!BR$8</f>
        <v>61</v>
      </c>
      <c r="BS3" s="74">
        <f>'T&amp;E'!BS$8</f>
        <v>62</v>
      </c>
      <c r="BT3" s="74">
        <f>'T&amp;E'!BT$8</f>
        <v>63</v>
      </c>
      <c r="BU3" s="74">
        <f>'T&amp;E'!BU$8</f>
        <v>64</v>
      </c>
      <c r="BV3" s="74">
        <f>'T&amp;E'!BV$8</f>
        <v>65</v>
      </c>
      <c r="BW3" s="74">
        <f>'T&amp;E'!BW$8</f>
        <v>66</v>
      </c>
      <c r="BX3" s="74">
        <f>'T&amp;E'!BX$8</f>
        <v>67</v>
      </c>
      <c r="BY3" s="74">
        <f>'T&amp;E'!BY$8</f>
        <v>68</v>
      </c>
      <c r="BZ3" s="74">
        <f>'T&amp;E'!BZ$8</f>
        <v>69</v>
      </c>
      <c r="CA3" s="74">
        <f>'T&amp;E'!CA$8</f>
        <v>70</v>
      </c>
    </row>
    <row r="4" spans="1:79" s="78" customFormat="1" x14ac:dyDescent="0.2">
      <c r="C4" s="79"/>
      <c r="D4" s="80"/>
      <c r="E4" s="78" t="str">
        <f xml:space="preserve"> 'T&amp;E'!E$12</f>
        <v>Model period ending</v>
      </c>
      <c r="F4" s="80" t="str">
        <f xml:space="preserve"> 'T&amp;E'!F$12</f>
        <v>constant</v>
      </c>
      <c r="G4" s="78" t="str">
        <f xml:space="preserve"> 'T&amp;E'!G$12</f>
        <v>unit</v>
      </c>
      <c r="H4" s="80" t="str">
        <f xml:space="preserve"> 'T&amp;E'!H$12</f>
        <v>total</v>
      </c>
      <c r="I4" s="78">
        <f xml:space="preserve"> 'T&amp;E'!I$12</f>
        <v>0</v>
      </c>
      <c r="J4" s="78">
        <f xml:space="preserve"> 'T&amp;E'!J$12</f>
        <v>41639</v>
      </c>
      <c r="K4" s="78">
        <f xml:space="preserve"> 'T&amp;E'!K$12</f>
        <v>41820</v>
      </c>
      <c r="L4" s="78">
        <f xml:space="preserve"> 'T&amp;E'!L$12</f>
        <v>42004</v>
      </c>
      <c r="M4" s="78">
        <f xml:space="preserve"> 'T&amp;E'!M$12</f>
        <v>42185</v>
      </c>
      <c r="N4" s="78">
        <f xml:space="preserve"> 'T&amp;E'!N$12</f>
        <v>42369</v>
      </c>
      <c r="O4" s="78">
        <f xml:space="preserve"> 'T&amp;E'!O$12</f>
        <v>42551</v>
      </c>
      <c r="P4" s="78">
        <f xml:space="preserve"> 'T&amp;E'!P$12</f>
        <v>42735</v>
      </c>
      <c r="Q4" s="78">
        <f xml:space="preserve"> 'T&amp;E'!Q$12</f>
        <v>42916</v>
      </c>
      <c r="R4" s="78">
        <f xml:space="preserve"> 'T&amp;E'!R$12</f>
        <v>43100</v>
      </c>
      <c r="S4" s="78">
        <f xml:space="preserve"> 'T&amp;E'!S$12</f>
        <v>43281</v>
      </c>
      <c r="T4" s="78">
        <f xml:space="preserve"> 'T&amp;E'!T$12</f>
        <v>43465</v>
      </c>
      <c r="U4" s="78">
        <f xml:space="preserve"> 'T&amp;E'!U$12</f>
        <v>43646</v>
      </c>
      <c r="V4" s="78">
        <f xml:space="preserve"> 'T&amp;E'!V$12</f>
        <v>43830</v>
      </c>
      <c r="W4" s="78">
        <f xml:space="preserve"> 'T&amp;E'!W$12</f>
        <v>44012</v>
      </c>
      <c r="X4" s="78">
        <f xml:space="preserve"> 'T&amp;E'!X$12</f>
        <v>44196</v>
      </c>
      <c r="Y4" s="78">
        <f xml:space="preserve"> 'T&amp;E'!Y$12</f>
        <v>44377</v>
      </c>
      <c r="Z4" s="78">
        <f xml:space="preserve"> 'T&amp;E'!Z$12</f>
        <v>44561</v>
      </c>
      <c r="AA4" s="78">
        <f xml:space="preserve"> 'T&amp;E'!AA$12</f>
        <v>44742</v>
      </c>
      <c r="AB4" s="78">
        <f xml:space="preserve"> 'T&amp;E'!AB$12</f>
        <v>44926</v>
      </c>
      <c r="AC4" s="78">
        <f xml:space="preserve"> 'T&amp;E'!AC$12</f>
        <v>45107</v>
      </c>
      <c r="AD4" s="78">
        <f xml:space="preserve"> 'T&amp;E'!AD$12</f>
        <v>45291</v>
      </c>
      <c r="AE4" s="78">
        <f xml:space="preserve"> 'T&amp;E'!AE$12</f>
        <v>45473</v>
      </c>
      <c r="AF4" s="78">
        <f xml:space="preserve"> 'T&amp;E'!AF$12</f>
        <v>45657</v>
      </c>
      <c r="AG4" s="78">
        <f xml:space="preserve"> 'T&amp;E'!AG$12</f>
        <v>45838</v>
      </c>
      <c r="AH4" s="78">
        <f xml:space="preserve"> 'T&amp;E'!AH$12</f>
        <v>46022</v>
      </c>
      <c r="AI4" s="78">
        <f xml:space="preserve"> 'T&amp;E'!AI$12</f>
        <v>46203</v>
      </c>
      <c r="AJ4" s="78">
        <f xml:space="preserve"> 'T&amp;E'!AJ$12</f>
        <v>46387</v>
      </c>
      <c r="AK4" s="78">
        <f xml:space="preserve"> 'T&amp;E'!AK$12</f>
        <v>46568</v>
      </c>
      <c r="AL4" s="78">
        <f xml:space="preserve"> 'T&amp;E'!AL$12</f>
        <v>46752</v>
      </c>
      <c r="AM4" s="78">
        <f xml:space="preserve"> 'T&amp;E'!AM$12</f>
        <v>46934</v>
      </c>
      <c r="AN4" s="78">
        <f xml:space="preserve"> 'T&amp;E'!AN$12</f>
        <v>47118</v>
      </c>
      <c r="AO4" s="78">
        <f xml:space="preserve"> 'T&amp;E'!AO$12</f>
        <v>47299</v>
      </c>
      <c r="AP4" s="78">
        <f xml:space="preserve"> 'T&amp;E'!AP$12</f>
        <v>47483</v>
      </c>
      <c r="AQ4" s="78">
        <f xml:space="preserve"> 'T&amp;E'!AQ$12</f>
        <v>47664</v>
      </c>
      <c r="AR4" s="78">
        <f xml:space="preserve"> 'T&amp;E'!AR$12</f>
        <v>47848</v>
      </c>
      <c r="AS4" s="78">
        <f xml:space="preserve"> 'T&amp;E'!AS$12</f>
        <v>48029</v>
      </c>
      <c r="AT4" s="78">
        <f xml:space="preserve"> 'T&amp;E'!AT$12</f>
        <v>48213</v>
      </c>
      <c r="AU4" s="78">
        <f xml:space="preserve"> 'T&amp;E'!AU$12</f>
        <v>48395</v>
      </c>
      <c r="AV4" s="78">
        <f xml:space="preserve"> 'T&amp;E'!AV$12</f>
        <v>48579</v>
      </c>
      <c r="AW4" s="78">
        <f xml:space="preserve"> 'T&amp;E'!AW$12</f>
        <v>48760</v>
      </c>
      <c r="AX4" s="78">
        <f xml:space="preserve"> 'T&amp;E'!AX$12</f>
        <v>48944</v>
      </c>
      <c r="AY4" s="78">
        <f xml:space="preserve"> 'T&amp;E'!AY$12</f>
        <v>49125</v>
      </c>
      <c r="AZ4" s="78">
        <f xml:space="preserve"> 'T&amp;E'!AZ$12</f>
        <v>49309</v>
      </c>
      <c r="BA4" s="78">
        <f xml:space="preserve"> 'T&amp;E'!BA$12</f>
        <v>49490</v>
      </c>
      <c r="BB4" s="78">
        <f xml:space="preserve"> 'T&amp;E'!BB$12</f>
        <v>49674</v>
      </c>
      <c r="BC4" s="78">
        <f xml:space="preserve"> 'T&amp;E'!BC$12</f>
        <v>49856</v>
      </c>
      <c r="BD4" s="78">
        <f xml:space="preserve"> 'T&amp;E'!BD$12</f>
        <v>50040</v>
      </c>
      <c r="BE4" s="78">
        <f xml:space="preserve"> 'T&amp;E'!BE$12</f>
        <v>50221</v>
      </c>
      <c r="BF4" s="78">
        <f xml:space="preserve"> 'T&amp;E'!BF$12</f>
        <v>50405</v>
      </c>
      <c r="BG4" s="78">
        <f xml:space="preserve"> 'T&amp;E'!BG$12</f>
        <v>50586</v>
      </c>
      <c r="BH4" s="78">
        <f xml:space="preserve"> 'T&amp;E'!BH$12</f>
        <v>50770</v>
      </c>
      <c r="BI4" s="78">
        <f xml:space="preserve"> 'T&amp;E'!BI$12</f>
        <v>50951</v>
      </c>
      <c r="BJ4" s="78">
        <f xml:space="preserve"> 'T&amp;E'!BJ$12</f>
        <v>51135</v>
      </c>
      <c r="BK4" s="78">
        <f xml:space="preserve"> 'T&amp;E'!BK$12</f>
        <v>51317</v>
      </c>
      <c r="BL4" s="78">
        <f xml:space="preserve"> 'T&amp;E'!BL$12</f>
        <v>51501</v>
      </c>
      <c r="BM4" s="78">
        <f xml:space="preserve"> 'T&amp;E'!BM$12</f>
        <v>51682</v>
      </c>
      <c r="BN4" s="78">
        <f xml:space="preserve"> 'T&amp;E'!BN$12</f>
        <v>51866</v>
      </c>
      <c r="BO4" s="78">
        <f xml:space="preserve"> 'T&amp;E'!BO$12</f>
        <v>52047</v>
      </c>
      <c r="BP4" s="78">
        <f xml:space="preserve"> 'T&amp;E'!BP$12</f>
        <v>52231</v>
      </c>
      <c r="BQ4" s="78">
        <f xml:space="preserve"> 'T&amp;E'!BQ$12</f>
        <v>52412</v>
      </c>
      <c r="BR4" s="78">
        <f xml:space="preserve"> 'T&amp;E'!BR$12</f>
        <v>52596</v>
      </c>
      <c r="BS4" s="78">
        <f xml:space="preserve"> 'T&amp;E'!BS$12</f>
        <v>52778</v>
      </c>
      <c r="BT4" s="78">
        <f xml:space="preserve"> 'T&amp;E'!BT$12</f>
        <v>52962</v>
      </c>
      <c r="BU4" s="78">
        <f xml:space="preserve"> 'T&amp;E'!BU$12</f>
        <v>53143</v>
      </c>
      <c r="BV4" s="78">
        <f xml:space="preserve"> 'T&amp;E'!BV$12</f>
        <v>53327</v>
      </c>
      <c r="BW4" s="78">
        <f xml:space="preserve"> 'T&amp;E'!BW$12</f>
        <v>53508</v>
      </c>
      <c r="BX4" s="78">
        <f xml:space="preserve"> 'T&amp;E'!BX$12</f>
        <v>53692</v>
      </c>
      <c r="BY4" s="78">
        <f xml:space="preserve"> 'T&amp;E'!BY$12</f>
        <v>53873</v>
      </c>
      <c r="BZ4" s="78">
        <f xml:space="preserve"> 'T&amp;E'!BZ$12</f>
        <v>54057</v>
      </c>
      <c r="CA4" s="78">
        <f xml:space="preserve"> 'T&amp;E'!CA$12</f>
        <v>54239</v>
      </c>
    </row>
    <row r="6" spans="1:79" x14ac:dyDescent="0.2">
      <c r="A6" s="81" t="s">
        <v>117</v>
      </c>
    </row>
    <row r="8" spans="1:79" s="144" customFormat="1" x14ac:dyDescent="0.2">
      <c r="A8" s="93"/>
      <c r="B8" s="93"/>
      <c r="C8" s="94"/>
      <c r="D8" s="143"/>
      <c r="E8" s="144" t="str">
        <f>'T&amp;E'!E$29</f>
        <v>Senior debt term / ratio calc date flag</v>
      </c>
      <c r="F8" s="144">
        <f>'T&amp;E'!F$29</f>
        <v>0</v>
      </c>
      <c r="G8" s="144" t="str">
        <f>'T&amp;E'!G$29</f>
        <v>flag</v>
      </c>
      <c r="H8" s="144">
        <f>'T&amp;E'!H$29</f>
        <v>40</v>
      </c>
      <c r="I8" s="144">
        <f>'T&amp;E'!I$29</f>
        <v>0</v>
      </c>
      <c r="J8" s="144">
        <f>'T&amp;E'!J$29</f>
        <v>0</v>
      </c>
      <c r="K8" s="144">
        <f>'T&amp;E'!K$29</f>
        <v>0</v>
      </c>
      <c r="L8" s="144">
        <f>'T&amp;E'!L$29</f>
        <v>0</v>
      </c>
      <c r="M8" s="144">
        <f>'T&amp;E'!M$29</f>
        <v>0</v>
      </c>
      <c r="N8" s="144">
        <f>'T&amp;E'!N$29</f>
        <v>0</v>
      </c>
      <c r="O8" s="144">
        <f>'T&amp;E'!O$29</f>
        <v>1</v>
      </c>
      <c r="P8" s="144">
        <f>'T&amp;E'!P$29</f>
        <v>1</v>
      </c>
      <c r="Q8" s="144">
        <f>'T&amp;E'!Q$29</f>
        <v>1</v>
      </c>
      <c r="R8" s="144">
        <f>'T&amp;E'!R$29</f>
        <v>1</v>
      </c>
      <c r="S8" s="144">
        <f>'T&amp;E'!S$29</f>
        <v>1</v>
      </c>
      <c r="T8" s="144">
        <f>'T&amp;E'!T$29</f>
        <v>1</v>
      </c>
      <c r="U8" s="144">
        <f>'T&amp;E'!U$29</f>
        <v>1</v>
      </c>
      <c r="V8" s="144">
        <f>'T&amp;E'!V$29</f>
        <v>1</v>
      </c>
      <c r="W8" s="144">
        <f>'T&amp;E'!W$29</f>
        <v>1</v>
      </c>
      <c r="X8" s="144">
        <f>'T&amp;E'!X$29</f>
        <v>1</v>
      </c>
      <c r="Y8" s="144">
        <f>'T&amp;E'!Y$29</f>
        <v>1</v>
      </c>
      <c r="Z8" s="144">
        <f>'T&amp;E'!Z$29</f>
        <v>1</v>
      </c>
      <c r="AA8" s="144">
        <f>'T&amp;E'!AA$29</f>
        <v>1</v>
      </c>
      <c r="AB8" s="144">
        <f>'T&amp;E'!AB$29</f>
        <v>1</v>
      </c>
      <c r="AC8" s="144">
        <f>'T&amp;E'!AC$29</f>
        <v>1</v>
      </c>
      <c r="AD8" s="144">
        <f>'T&amp;E'!AD$29</f>
        <v>1</v>
      </c>
      <c r="AE8" s="144">
        <f>'T&amp;E'!AE$29</f>
        <v>1</v>
      </c>
      <c r="AF8" s="144">
        <f>'T&amp;E'!AF$29</f>
        <v>1</v>
      </c>
      <c r="AG8" s="144">
        <f>'T&amp;E'!AG$29</f>
        <v>1</v>
      </c>
      <c r="AH8" s="144">
        <f>'T&amp;E'!AH$29</f>
        <v>1</v>
      </c>
      <c r="AI8" s="144">
        <f>'T&amp;E'!AI$29</f>
        <v>1</v>
      </c>
      <c r="AJ8" s="144">
        <f>'T&amp;E'!AJ$29</f>
        <v>1</v>
      </c>
      <c r="AK8" s="144">
        <f>'T&amp;E'!AK$29</f>
        <v>1</v>
      </c>
      <c r="AL8" s="144">
        <f>'T&amp;E'!AL$29</f>
        <v>1</v>
      </c>
      <c r="AM8" s="144">
        <f>'T&amp;E'!AM$29</f>
        <v>1</v>
      </c>
      <c r="AN8" s="144">
        <f>'T&amp;E'!AN$29</f>
        <v>1</v>
      </c>
      <c r="AO8" s="144">
        <f>'T&amp;E'!AO$29</f>
        <v>1</v>
      </c>
      <c r="AP8" s="144">
        <f>'T&amp;E'!AP$29</f>
        <v>1</v>
      </c>
      <c r="AQ8" s="144">
        <f>'T&amp;E'!AQ$29</f>
        <v>1</v>
      </c>
      <c r="AR8" s="144">
        <f>'T&amp;E'!AR$29</f>
        <v>1</v>
      </c>
      <c r="AS8" s="144">
        <f>'T&amp;E'!AS$29</f>
        <v>1</v>
      </c>
      <c r="AT8" s="144">
        <f>'T&amp;E'!AT$29</f>
        <v>1</v>
      </c>
      <c r="AU8" s="144">
        <f>'T&amp;E'!AU$29</f>
        <v>1</v>
      </c>
      <c r="AV8" s="144">
        <f>'T&amp;E'!AV$29</f>
        <v>1</v>
      </c>
      <c r="AW8" s="144">
        <f>'T&amp;E'!AW$29</f>
        <v>1</v>
      </c>
      <c r="AX8" s="144">
        <f>'T&amp;E'!AX$29</f>
        <v>1</v>
      </c>
      <c r="AY8" s="144">
        <f>'T&amp;E'!AY$29</f>
        <v>1</v>
      </c>
      <c r="AZ8" s="144">
        <f>'T&amp;E'!AZ$29</f>
        <v>1</v>
      </c>
      <c r="BA8" s="144">
        <f>'T&amp;E'!BA$29</f>
        <v>1</v>
      </c>
      <c r="BB8" s="144">
        <f>'T&amp;E'!BB$29</f>
        <v>1</v>
      </c>
      <c r="BC8" s="144">
        <f>'T&amp;E'!BC$29</f>
        <v>0</v>
      </c>
      <c r="BD8" s="144">
        <f>'T&amp;E'!BD$29</f>
        <v>0</v>
      </c>
      <c r="BE8" s="144">
        <f>'T&amp;E'!BE$29</f>
        <v>0</v>
      </c>
      <c r="BF8" s="144">
        <f>'T&amp;E'!BF$29</f>
        <v>0</v>
      </c>
      <c r="BG8" s="144">
        <f>'T&amp;E'!BG$29</f>
        <v>0</v>
      </c>
      <c r="BH8" s="144">
        <f>'T&amp;E'!BH$29</f>
        <v>0</v>
      </c>
      <c r="BI8" s="144">
        <f>'T&amp;E'!BI$29</f>
        <v>0</v>
      </c>
      <c r="BJ8" s="144">
        <f>'T&amp;E'!BJ$29</f>
        <v>0</v>
      </c>
      <c r="BK8" s="144">
        <f>'T&amp;E'!BK$29</f>
        <v>0</v>
      </c>
      <c r="BL8" s="144">
        <f>'T&amp;E'!BL$29</f>
        <v>0</v>
      </c>
      <c r="BM8" s="144">
        <f>'T&amp;E'!BM$29</f>
        <v>0</v>
      </c>
      <c r="BN8" s="144">
        <f>'T&amp;E'!BN$29</f>
        <v>0</v>
      </c>
      <c r="BO8" s="144">
        <f>'T&amp;E'!BO$29</f>
        <v>0</v>
      </c>
      <c r="BP8" s="144">
        <f>'T&amp;E'!BP$29</f>
        <v>0</v>
      </c>
      <c r="BQ8" s="144">
        <f>'T&amp;E'!BQ$29</f>
        <v>0</v>
      </c>
      <c r="BR8" s="144">
        <f>'T&amp;E'!BR$29</f>
        <v>0</v>
      </c>
      <c r="BS8" s="144">
        <f>'T&amp;E'!BS$29</f>
        <v>0</v>
      </c>
      <c r="BT8" s="144">
        <f>'T&amp;E'!BT$29</f>
        <v>0</v>
      </c>
      <c r="BU8" s="144">
        <f>'T&amp;E'!BU$29</f>
        <v>0</v>
      </c>
      <c r="BV8" s="144">
        <f>'T&amp;E'!BV$29</f>
        <v>0</v>
      </c>
      <c r="BW8" s="144">
        <f>'T&amp;E'!BW$29</f>
        <v>0</v>
      </c>
      <c r="BX8" s="144">
        <f>'T&amp;E'!BX$29</f>
        <v>0</v>
      </c>
      <c r="BY8" s="144">
        <f>'T&amp;E'!BY$29</f>
        <v>0</v>
      </c>
      <c r="BZ8" s="144">
        <f>'T&amp;E'!BZ$29</f>
        <v>0</v>
      </c>
      <c r="CA8" s="144">
        <f>'T&amp;E'!CA$29</f>
        <v>0</v>
      </c>
    </row>
    <row r="9" spans="1:79" s="268" customFormat="1" x14ac:dyDescent="0.2">
      <c r="A9" s="148"/>
      <c r="B9" s="148"/>
      <c r="C9" s="149"/>
      <c r="D9" s="267"/>
      <c r="E9" s="268" t="s">
        <v>258</v>
      </c>
      <c r="H9" s="268">
        <f t="shared" ref="H9:H11" si="0">SUM(J9:CA9)</f>
        <v>10</v>
      </c>
      <c r="O9" s="268">
        <v>1</v>
      </c>
      <c r="P9" s="268">
        <v>1</v>
      </c>
      <c r="Q9" s="268">
        <v>1</v>
      </c>
      <c r="R9" s="268">
        <v>1</v>
      </c>
      <c r="S9" s="268">
        <v>1</v>
      </c>
      <c r="T9" s="268">
        <v>1</v>
      </c>
      <c r="U9" s="268">
        <v>1</v>
      </c>
      <c r="V9" s="268">
        <v>1</v>
      </c>
      <c r="W9" s="268">
        <v>1</v>
      </c>
      <c r="X9" s="268">
        <v>1</v>
      </c>
    </row>
    <row r="10" spans="1:79" s="268" customFormat="1" x14ac:dyDescent="0.2">
      <c r="A10" s="148"/>
      <c r="B10" s="148"/>
      <c r="C10" s="149"/>
      <c r="D10" s="267"/>
      <c r="E10" s="268" t="s">
        <v>259</v>
      </c>
      <c r="H10" s="268">
        <f t="shared" si="0"/>
        <v>10</v>
      </c>
      <c r="Y10" s="268">
        <v>1</v>
      </c>
      <c r="Z10" s="268">
        <v>1</v>
      </c>
      <c r="AA10" s="268">
        <v>1</v>
      </c>
      <c r="AB10" s="268">
        <v>1</v>
      </c>
      <c r="AC10" s="268">
        <v>1</v>
      </c>
      <c r="AD10" s="268">
        <v>1</v>
      </c>
      <c r="AE10" s="268">
        <v>1</v>
      </c>
      <c r="AF10" s="268">
        <v>1</v>
      </c>
      <c r="AG10" s="268">
        <v>1</v>
      </c>
      <c r="AH10" s="268">
        <v>1</v>
      </c>
    </row>
    <row r="11" spans="1:79" s="135" customFormat="1" x14ac:dyDescent="0.2">
      <c r="A11" s="82"/>
      <c r="B11" s="82"/>
      <c r="C11" s="83"/>
      <c r="D11" s="275"/>
      <c r="E11" s="135" t="s">
        <v>257</v>
      </c>
      <c r="H11" s="135">
        <f t="shared" si="0"/>
        <v>20</v>
      </c>
      <c r="J11" s="135">
        <f xml:space="preserve"> J8 - SUM(J9:J10)</f>
        <v>0</v>
      </c>
      <c r="K11" s="135">
        <f t="shared" ref="K11:BV11" si="1" xml:space="preserve"> K8 - SUM(K9:K10)</f>
        <v>0</v>
      </c>
      <c r="L11" s="135">
        <f t="shared" si="1"/>
        <v>0</v>
      </c>
      <c r="M11" s="135">
        <f t="shared" si="1"/>
        <v>0</v>
      </c>
      <c r="N11" s="135">
        <f t="shared" si="1"/>
        <v>0</v>
      </c>
      <c r="O11" s="135">
        <f t="shared" si="1"/>
        <v>0</v>
      </c>
      <c r="P11" s="135">
        <f t="shared" si="1"/>
        <v>0</v>
      </c>
      <c r="Q11" s="135">
        <f t="shared" si="1"/>
        <v>0</v>
      </c>
      <c r="R11" s="135">
        <f t="shared" si="1"/>
        <v>0</v>
      </c>
      <c r="S11" s="135">
        <f t="shared" si="1"/>
        <v>0</v>
      </c>
      <c r="T11" s="135">
        <f t="shared" si="1"/>
        <v>0</v>
      </c>
      <c r="U11" s="135">
        <f t="shared" si="1"/>
        <v>0</v>
      </c>
      <c r="V11" s="135">
        <f t="shared" si="1"/>
        <v>0</v>
      </c>
      <c r="W11" s="135">
        <f t="shared" si="1"/>
        <v>0</v>
      </c>
      <c r="X11" s="135">
        <f t="shared" si="1"/>
        <v>0</v>
      </c>
      <c r="Y11" s="135">
        <f t="shared" si="1"/>
        <v>0</v>
      </c>
      <c r="Z11" s="135">
        <f t="shared" si="1"/>
        <v>0</v>
      </c>
      <c r="AA11" s="135">
        <f t="shared" si="1"/>
        <v>0</v>
      </c>
      <c r="AB11" s="135">
        <f t="shared" si="1"/>
        <v>0</v>
      </c>
      <c r="AC11" s="135">
        <f t="shared" si="1"/>
        <v>0</v>
      </c>
      <c r="AD11" s="135">
        <f t="shared" si="1"/>
        <v>0</v>
      </c>
      <c r="AE11" s="135">
        <f t="shared" si="1"/>
        <v>0</v>
      </c>
      <c r="AF11" s="135">
        <f t="shared" si="1"/>
        <v>0</v>
      </c>
      <c r="AG11" s="135">
        <f t="shared" si="1"/>
        <v>0</v>
      </c>
      <c r="AH11" s="135">
        <f t="shared" si="1"/>
        <v>0</v>
      </c>
      <c r="AI11" s="135">
        <f t="shared" si="1"/>
        <v>1</v>
      </c>
      <c r="AJ11" s="135">
        <f t="shared" si="1"/>
        <v>1</v>
      </c>
      <c r="AK11" s="135">
        <f t="shared" si="1"/>
        <v>1</v>
      </c>
      <c r="AL11" s="135">
        <f t="shared" si="1"/>
        <v>1</v>
      </c>
      <c r="AM11" s="135">
        <f t="shared" si="1"/>
        <v>1</v>
      </c>
      <c r="AN11" s="135">
        <f t="shared" si="1"/>
        <v>1</v>
      </c>
      <c r="AO11" s="135">
        <f t="shared" si="1"/>
        <v>1</v>
      </c>
      <c r="AP11" s="135">
        <f t="shared" si="1"/>
        <v>1</v>
      </c>
      <c r="AQ11" s="135">
        <f t="shared" si="1"/>
        <v>1</v>
      </c>
      <c r="AR11" s="135">
        <f t="shared" si="1"/>
        <v>1</v>
      </c>
      <c r="AS11" s="135">
        <f t="shared" si="1"/>
        <v>1</v>
      </c>
      <c r="AT11" s="135">
        <f t="shared" si="1"/>
        <v>1</v>
      </c>
      <c r="AU11" s="135">
        <f t="shared" si="1"/>
        <v>1</v>
      </c>
      <c r="AV11" s="135">
        <f t="shared" si="1"/>
        <v>1</v>
      </c>
      <c r="AW11" s="135">
        <f t="shared" si="1"/>
        <v>1</v>
      </c>
      <c r="AX11" s="135">
        <f t="shared" si="1"/>
        <v>1</v>
      </c>
      <c r="AY11" s="135">
        <f t="shared" si="1"/>
        <v>1</v>
      </c>
      <c r="AZ11" s="135">
        <f t="shared" si="1"/>
        <v>1</v>
      </c>
      <c r="BA11" s="135">
        <f t="shared" si="1"/>
        <v>1</v>
      </c>
      <c r="BB11" s="135">
        <f t="shared" si="1"/>
        <v>1</v>
      </c>
      <c r="BC11" s="135">
        <f t="shared" si="1"/>
        <v>0</v>
      </c>
      <c r="BD11" s="135">
        <f t="shared" si="1"/>
        <v>0</v>
      </c>
      <c r="BE11" s="135">
        <f t="shared" si="1"/>
        <v>0</v>
      </c>
      <c r="BF11" s="135">
        <f t="shared" si="1"/>
        <v>0</v>
      </c>
      <c r="BG11" s="135">
        <f t="shared" si="1"/>
        <v>0</v>
      </c>
      <c r="BH11" s="135">
        <f t="shared" si="1"/>
        <v>0</v>
      </c>
      <c r="BI11" s="135">
        <f t="shared" si="1"/>
        <v>0</v>
      </c>
      <c r="BJ11" s="135">
        <f t="shared" si="1"/>
        <v>0</v>
      </c>
      <c r="BK11" s="135">
        <f t="shared" si="1"/>
        <v>0</v>
      </c>
      <c r="BL11" s="135">
        <f t="shared" si="1"/>
        <v>0</v>
      </c>
      <c r="BM11" s="135">
        <f t="shared" si="1"/>
        <v>0</v>
      </c>
      <c r="BN11" s="135">
        <f t="shared" si="1"/>
        <v>0</v>
      </c>
      <c r="BO11" s="135">
        <f t="shared" si="1"/>
        <v>0</v>
      </c>
      <c r="BP11" s="135">
        <f t="shared" si="1"/>
        <v>0</v>
      </c>
      <c r="BQ11" s="135">
        <f t="shared" si="1"/>
        <v>0</v>
      </c>
      <c r="BR11" s="135">
        <f t="shared" si="1"/>
        <v>0</v>
      </c>
      <c r="BS11" s="135">
        <f t="shared" si="1"/>
        <v>0</v>
      </c>
      <c r="BT11" s="135">
        <f t="shared" si="1"/>
        <v>0</v>
      </c>
      <c r="BU11" s="135">
        <f t="shared" si="1"/>
        <v>0</v>
      </c>
      <c r="BV11" s="135">
        <f t="shared" si="1"/>
        <v>0</v>
      </c>
      <c r="BW11" s="135">
        <f t="shared" ref="BW11:CA11" si="2" xml:space="preserve"> BW8 - SUM(BW9:BW10)</f>
        <v>0</v>
      </c>
      <c r="BX11" s="135">
        <f t="shared" si="2"/>
        <v>0</v>
      </c>
      <c r="BY11" s="135">
        <f t="shared" si="2"/>
        <v>0</v>
      </c>
      <c r="BZ11" s="135">
        <f t="shared" si="2"/>
        <v>0</v>
      </c>
      <c r="CA11" s="135">
        <f t="shared" si="2"/>
        <v>0</v>
      </c>
    </row>
    <row r="13" spans="1:79" s="353" customFormat="1" x14ac:dyDescent="0.2">
      <c r="A13" s="349"/>
      <c r="B13" s="350"/>
      <c r="C13" s="351"/>
      <c r="D13" s="352"/>
      <c r="E13" s="353" t="s">
        <v>254</v>
      </c>
      <c r="F13" s="354">
        <v>0.02</v>
      </c>
      <c r="G13" s="353" t="s">
        <v>119</v>
      </c>
    </row>
    <row r="14" spans="1:79" s="122" customFormat="1" x14ac:dyDescent="0.2">
      <c r="A14" s="119"/>
      <c r="B14" s="166"/>
      <c r="C14" s="167"/>
      <c r="D14" s="121"/>
      <c r="E14" s="122" t="s">
        <v>255</v>
      </c>
      <c r="F14" s="348">
        <v>1.4999999999999999E-2</v>
      </c>
      <c r="G14" s="122" t="s">
        <v>119</v>
      </c>
    </row>
    <row r="15" spans="1:79" s="122" customFormat="1" x14ac:dyDescent="0.2">
      <c r="A15" s="119"/>
      <c r="B15" s="166"/>
      <c r="C15" s="167"/>
      <c r="D15" s="121"/>
      <c r="E15" s="122" t="s">
        <v>256</v>
      </c>
      <c r="F15" s="348">
        <v>0.01</v>
      </c>
      <c r="G15" s="122" t="s">
        <v>119</v>
      </c>
    </row>
    <row r="16" spans="1:79" s="122" customFormat="1" x14ac:dyDescent="0.2">
      <c r="A16" s="119"/>
      <c r="B16" s="166"/>
      <c r="C16" s="167"/>
      <c r="D16" s="121"/>
    </row>
    <row r="17" spans="1:79" s="122" customFormat="1" x14ac:dyDescent="0.2">
      <c r="A17" s="119"/>
      <c r="B17" s="166"/>
      <c r="C17" s="167"/>
      <c r="D17" s="121"/>
      <c r="E17" s="122" t="str">
        <f xml:space="preserve"> E9</f>
        <v>[Senior debt margin period 1 flag]</v>
      </c>
      <c r="F17" s="122">
        <f t="shared" ref="F17:BQ17" si="3" xml:space="preserve"> F9</f>
        <v>0</v>
      </c>
      <c r="G17" s="122">
        <f t="shared" si="3"/>
        <v>0</v>
      </c>
      <c r="H17" s="122">
        <f t="shared" si="3"/>
        <v>10</v>
      </c>
      <c r="I17" s="122">
        <f t="shared" si="3"/>
        <v>0</v>
      </c>
      <c r="J17" s="122">
        <f t="shared" si="3"/>
        <v>0</v>
      </c>
      <c r="K17" s="122">
        <f t="shared" si="3"/>
        <v>0</v>
      </c>
      <c r="L17" s="122">
        <f t="shared" si="3"/>
        <v>0</v>
      </c>
      <c r="M17" s="122">
        <f t="shared" si="3"/>
        <v>0</v>
      </c>
      <c r="N17" s="122">
        <f t="shared" si="3"/>
        <v>0</v>
      </c>
      <c r="O17" s="122">
        <f t="shared" si="3"/>
        <v>1</v>
      </c>
      <c r="P17" s="122">
        <f t="shared" si="3"/>
        <v>1</v>
      </c>
      <c r="Q17" s="122">
        <f t="shared" si="3"/>
        <v>1</v>
      </c>
      <c r="R17" s="122">
        <f t="shared" si="3"/>
        <v>1</v>
      </c>
      <c r="S17" s="122">
        <f t="shared" si="3"/>
        <v>1</v>
      </c>
      <c r="T17" s="122">
        <f t="shared" si="3"/>
        <v>1</v>
      </c>
      <c r="U17" s="122">
        <f t="shared" si="3"/>
        <v>1</v>
      </c>
      <c r="V17" s="122">
        <f t="shared" si="3"/>
        <v>1</v>
      </c>
      <c r="W17" s="122">
        <f t="shared" si="3"/>
        <v>1</v>
      </c>
      <c r="X17" s="122">
        <f t="shared" si="3"/>
        <v>1</v>
      </c>
      <c r="Y17" s="122">
        <f t="shared" si="3"/>
        <v>0</v>
      </c>
      <c r="Z17" s="122">
        <f t="shared" si="3"/>
        <v>0</v>
      </c>
      <c r="AA17" s="122">
        <f t="shared" si="3"/>
        <v>0</v>
      </c>
      <c r="AB17" s="122">
        <f t="shared" si="3"/>
        <v>0</v>
      </c>
      <c r="AC17" s="122">
        <f t="shared" si="3"/>
        <v>0</v>
      </c>
      <c r="AD17" s="122">
        <f t="shared" si="3"/>
        <v>0</v>
      </c>
      <c r="AE17" s="122">
        <f t="shared" si="3"/>
        <v>0</v>
      </c>
      <c r="AF17" s="122">
        <f t="shared" si="3"/>
        <v>0</v>
      </c>
      <c r="AG17" s="122">
        <f t="shared" si="3"/>
        <v>0</v>
      </c>
      <c r="AH17" s="122">
        <f t="shared" si="3"/>
        <v>0</v>
      </c>
      <c r="AI17" s="122">
        <f t="shared" si="3"/>
        <v>0</v>
      </c>
      <c r="AJ17" s="122">
        <f t="shared" si="3"/>
        <v>0</v>
      </c>
      <c r="AK17" s="122">
        <f t="shared" si="3"/>
        <v>0</v>
      </c>
      <c r="AL17" s="122">
        <f t="shared" si="3"/>
        <v>0</v>
      </c>
      <c r="AM17" s="122">
        <f t="shared" si="3"/>
        <v>0</v>
      </c>
      <c r="AN17" s="122">
        <f t="shared" si="3"/>
        <v>0</v>
      </c>
      <c r="AO17" s="122">
        <f t="shared" si="3"/>
        <v>0</v>
      </c>
      <c r="AP17" s="122">
        <f t="shared" si="3"/>
        <v>0</v>
      </c>
      <c r="AQ17" s="122">
        <f t="shared" si="3"/>
        <v>0</v>
      </c>
      <c r="AR17" s="122">
        <f t="shared" si="3"/>
        <v>0</v>
      </c>
      <c r="AS17" s="122">
        <f t="shared" si="3"/>
        <v>0</v>
      </c>
      <c r="AT17" s="122">
        <f t="shared" si="3"/>
        <v>0</v>
      </c>
      <c r="AU17" s="122">
        <f t="shared" si="3"/>
        <v>0</v>
      </c>
      <c r="AV17" s="122">
        <f t="shared" si="3"/>
        <v>0</v>
      </c>
      <c r="AW17" s="122">
        <f t="shared" si="3"/>
        <v>0</v>
      </c>
      <c r="AX17" s="122">
        <f t="shared" si="3"/>
        <v>0</v>
      </c>
      <c r="AY17" s="122">
        <f t="shared" si="3"/>
        <v>0</v>
      </c>
      <c r="AZ17" s="122">
        <f t="shared" si="3"/>
        <v>0</v>
      </c>
      <c r="BA17" s="122">
        <f t="shared" si="3"/>
        <v>0</v>
      </c>
      <c r="BB17" s="122">
        <f t="shared" si="3"/>
        <v>0</v>
      </c>
      <c r="BC17" s="122">
        <f t="shared" si="3"/>
        <v>0</v>
      </c>
      <c r="BD17" s="122">
        <f t="shared" si="3"/>
        <v>0</v>
      </c>
      <c r="BE17" s="122">
        <f t="shared" si="3"/>
        <v>0</v>
      </c>
      <c r="BF17" s="122">
        <f t="shared" si="3"/>
        <v>0</v>
      </c>
      <c r="BG17" s="122">
        <f t="shared" si="3"/>
        <v>0</v>
      </c>
      <c r="BH17" s="122">
        <f t="shared" si="3"/>
        <v>0</v>
      </c>
      <c r="BI17" s="122">
        <f t="shared" si="3"/>
        <v>0</v>
      </c>
      <c r="BJ17" s="122">
        <f t="shared" si="3"/>
        <v>0</v>
      </c>
      <c r="BK17" s="122">
        <f t="shared" si="3"/>
        <v>0</v>
      </c>
      <c r="BL17" s="122">
        <f t="shared" si="3"/>
        <v>0</v>
      </c>
      <c r="BM17" s="122">
        <f t="shared" si="3"/>
        <v>0</v>
      </c>
      <c r="BN17" s="122">
        <f t="shared" si="3"/>
        <v>0</v>
      </c>
      <c r="BO17" s="122">
        <f t="shared" si="3"/>
        <v>0</v>
      </c>
      <c r="BP17" s="122">
        <f t="shared" si="3"/>
        <v>0</v>
      </c>
      <c r="BQ17" s="122">
        <f t="shared" si="3"/>
        <v>0</v>
      </c>
      <c r="BR17" s="122">
        <f t="shared" ref="BR17:CA17" si="4" xml:space="preserve"> BR9</f>
        <v>0</v>
      </c>
      <c r="BS17" s="122">
        <f t="shared" si="4"/>
        <v>0</v>
      </c>
      <c r="BT17" s="122">
        <f t="shared" si="4"/>
        <v>0</v>
      </c>
      <c r="BU17" s="122">
        <f t="shared" si="4"/>
        <v>0</v>
      </c>
      <c r="BV17" s="122">
        <f t="shared" si="4"/>
        <v>0</v>
      </c>
      <c r="BW17" s="122">
        <f t="shared" si="4"/>
        <v>0</v>
      </c>
      <c r="BX17" s="122">
        <f t="shared" si="4"/>
        <v>0</v>
      </c>
      <c r="BY17" s="122">
        <f t="shared" si="4"/>
        <v>0</v>
      </c>
      <c r="BZ17" s="122">
        <f t="shared" si="4"/>
        <v>0</v>
      </c>
      <c r="CA17" s="122">
        <f t="shared" si="4"/>
        <v>0</v>
      </c>
    </row>
    <row r="18" spans="1:79" s="122" customFormat="1" x14ac:dyDescent="0.2">
      <c r="A18" s="119"/>
      <c r="B18" s="166"/>
      <c r="C18" s="167"/>
      <c r="D18" s="121"/>
      <c r="E18" s="122" t="str">
        <f t="shared" ref="E18:BP18" si="5" xml:space="preserve"> E10</f>
        <v>[Senior debt margin period 2 flag]</v>
      </c>
      <c r="F18" s="122">
        <f t="shared" si="5"/>
        <v>0</v>
      </c>
      <c r="G18" s="122">
        <f t="shared" si="5"/>
        <v>0</v>
      </c>
      <c r="H18" s="122">
        <f t="shared" si="5"/>
        <v>10</v>
      </c>
      <c r="I18" s="122">
        <f t="shared" si="5"/>
        <v>0</v>
      </c>
      <c r="J18" s="122">
        <f t="shared" si="5"/>
        <v>0</v>
      </c>
      <c r="K18" s="122">
        <f t="shared" si="5"/>
        <v>0</v>
      </c>
      <c r="L18" s="122">
        <f t="shared" si="5"/>
        <v>0</v>
      </c>
      <c r="M18" s="122">
        <f t="shared" si="5"/>
        <v>0</v>
      </c>
      <c r="N18" s="122">
        <f t="shared" si="5"/>
        <v>0</v>
      </c>
      <c r="O18" s="122">
        <f t="shared" si="5"/>
        <v>0</v>
      </c>
      <c r="P18" s="122">
        <f t="shared" si="5"/>
        <v>0</v>
      </c>
      <c r="Q18" s="122">
        <f t="shared" si="5"/>
        <v>0</v>
      </c>
      <c r="R18" s="122">
        <f t="shared" si="5"/>
        <v>0</v>
      </c>
      <c r="S18" s="122">
        <f t="shared" si="5"/>
        <v>0</v>
      </c>
      <c r="T18" s="122">
        <f t="shared" si="5"/>
        <v>0</v>
      </c>
      <c r="U18" s="122">
        <f t="shared" si="5"/>
        <v>0</v>
      </c>
      <c r="V18" s="122">
        <f t="shared" si="5"/>
        <v>0</v>
      </c>
      <c r="W18" s="122">
        <f t="shared" si="5"/>
        <v>0</v>
      </c>
      <c r="X18" s="122">
        <f t="shared" si="5"/>
        <v>0</v>
      </c>
      <c r="Y18" s="122">
        <f t="shared" si="5"/>
        <v>1</v>
      </c>
      <c r="Z18" s="122">
        <f t="shared" si="5"/>
        <v>1</v>
      </c>
      <c r="AA18" s="122">
        <f t="shared" si="5"/>
        <v>1</v>
      </c>
      <c r="AB18" s="122">
        <f t="shared" si="5"/>
        <v>1</v>
      </c>
      <c r="AC18" s="122">
        <f t="shared" si="5"/>
        <v>1</v>
      </c>
      <c r="AD18" s="122">
        <f t="shared" si="5"/>
        <v>1</v>
      </c>
      <c r="AE18" s="122">
        <f t="shared" si="5"/>
        <v>1</v>
      </c>
      <c r="AF18" s="122">
        <f t="shared" si="5"/>
        <v>1</v>
      </c>
      <c r="AG18" s="122">
        <f t="shared" si="5"/>
        <v>1</v>
      </c>
      <c r="AH18" s="122">
        <f t="shared" si="5"/>
        <v>1</v>
      </c>
      <c r="AI18" s="122">
        <f t="shared" si="5"/>
        <v>0</v>
      </c>
      <c r="AJ18" s="122">
        <f t="shared" si="5"/>
        <v>0</v>
      </c>
      <c r="AK18" s="122">
        <f t="shared" si="5"/>
        <v>0</v>
      </c>
      <c r="AL18" s="122">
        <f t="shared" si="5"/>
        <v>0</v>
      </c>
      <c r="AM18" s="122">
        <f t="shared" si="5"/>
        <v>0</v>
      </c>
      <c r="AN18" s="122">
        <f t="shared" si="5"/>
        <v>0</v>
      </c>
      <c r="AO18" s="122">
        <f t="shared" si="5"/>
        <v>0</v>
      </c>
      <c r="AP18" s="122">
        <f t="shared" si="5"/>
        <v>0</v>
      </c>
      <c r="AQ18" s="122">
        <f t="shared" si="5"/>
        <v>0</v>
      </c>
      <c r="AR18" s="122">
        <f t="shared" si="5"/>
        <v>0</v>
      </c>
      <c r="AS18" s="122">
        <f t="shared" si="5"/>
        <v>0</v>
      </c>
      <c r="AT18" s="122">
        <f t="shared" si="5"/>
        <v>0</v>
      </c>
      <c r="AU18" s="122">
        <f t="shared" si="5"/>
        <v>0</v>
      </c>
      <c r="AV18" s="122">
        <f t="shared" si="5"/>
        <v>0</v>
      </c>
      <c r="AW18" s="122">
        <f t="shared" si="5"/>
        <v>0</v>
      </c>
      <c r="AX18" s="122">
        <f t="shared" si="5"/>
        <v>0</v>
      </c>
      <c r="AY18" s="122">
        <f t="shared" si="5"/>
        <v>0</v>
      </c>
      <c r="AZ18" s="122">
        <f t="shared" si="5"/>
        <v>0</v>
      </c>
      <c r="BA18" s="122">
        <f t="shared" si="5"/>
        <v>0</v>
      </c>
      <c r="BB18" s="122">
        <f t="shared" si="5"/>
        <v>0</v>
      </c>
      <c r="BC18" s="122">
        <f t="shared" si="5"/>
        <v>0</v>
      </c>
      <c r="BD18" s="122">
        <f t="shared" si="5"/>
        <v>0</v>
      </c>
      <c r="BE18" s="122">
        <f t="shared" si="5"/>
        <v>0</v>
      </c>
      <c r="BF18" s="122">
        <f t="shared" si="5"/>
        <v>0</v>
      </c>
      <c r="BG18" s="122">
        <f t="shared" si="5"/>
        <v>0</v>
      </c>
      <c r="BH18" s="122">
        <f t="shared" si="5"/>
        <v>0</v>
      </c>
      <c r="BI18" s="122">
        <f t="shared" si="5"/>
        <v>0</v>
      </c>
      <c r="BJ18" s="122">
        <f t="shared" si="5"/>
        <v>0</v>
      </c>
      <c r="BK18" s="122">
        <f t="shared" si="5"/>
        <v>0</v>
      </c>
      <c r="BL18" s="122">
        <f t="shared" si="5"/>
        <v>0</v>
      </c>
      <c r="BM18" s="122">
        <f t="shared" si="5"/>
        <v>0</v>
      </c>
      <c r="BN18" s="122">
        <f t="shared" si="5"/>
        <v>0</v>
      </c>
      <c r="BO18" s="122">
        <f t="shared" si="5"/>
        <v>0</v>
      </c>
      <c r="BP18" s="122">
        <f t="shared" si="5"/>
        <v>0</v>
      </c>
      <c r="BQ18" s="122">
        <f t="shared" ref="BQ18:CA18" si="6" xml:space="preserve"> BQ10</f>
        <v>0</v>
      </c>
      <c r="BR18" s="122">
        <f t="shared" si="6"/>
        <v>0</v>
      </c>
      <c r="BS18" s="122">
        <f t="shared" si="6"/>
        <v>0</v>
      </c>
      <c r="BT18" s="122">
        <f t="shared" si="6"/>
        <v>0</v>
      </c>
      <c r="BU18" s="122">
        <f t="shared" si="6"/>
        <v>0</v>
      </c>
      <c r="BV18" s="122">
        <f t="shared" si="6"/>
        <v>0</v>
      </c>
      <c r="BW18" s="122">
        <f t="shared" si="6"/>
        <v>0</v>
      </c>
      <c r="BX18" s="122">
        <f t="shared" si="6"/>
        <v>0</v>
      </c>
      <c r="BY18" s="122">
        <f t="shared" si="6"/>
        <v>0</v>
      </c>
      <c r="BZ18" s="122">
        <f t="shared" si="6"/>
        <v>0</v>
      </c>
      <c r="CA18" s="122">
        <f t="shared" si="6"/>
        <v>0</v>
      </c>
    </row>
    <row r="19" spans="1:79" s="122" customFormat="1" x14ac:dyDescent="0.2">
      <c r="A19" s="119"/>
      <c r="B19" s="166"/>
      <c r="C19" s="167"/>
      <c r="D19" s="121"/>
      <c r="E19" s="122" t="str">
        <f t="shared" ref="E19:BP19" si="7" xml:space="preserve"> E11</f>
        <v>Senior debt margin remaining term period</v>
      </c>
      <c r="F19" s="122">
        <f t="shared" si="7"/>
        <v>0</v>
      </c>
      <c r="G19" s="122">
        <f t="shared" si="7"/>
        <v>0</v>
      </c>
      <c r="H19" s="122">
        <f t="shared" si="7"/>
        <v>20</v>
      </c>
      <c r="I19" s="122">
        <f t="shared" si="7"/>
        <v>0</v>
      </c>
      <c r="J19" s="122">
        <f t="shared" si="7"/>
        <v>0</v>
      </c>
      <c r="K19" s="122">
        <f t="shared" si="7"/>
        <v>0</v>
      </c>
      <c r="L19" s="122">
        <f t="shared" si="7"/>
        <v>0</v>
      </c>
      <c r="M19" s="122">
        <f t="shared" si="7"/>
        <v>0</v>
      </c>
      <c r="N19" s="122">
        <f t="shared" si="7"/>
        <v>0</v>
      </c>
      <c r="O19" s="122">
        <f t="shared" si="7"/>
        <v>0</v>
      </c>
      <c r="P19" s="122">
        <f t="shared" si="7"/>
        <v>0</v>
      </c>
      <c r="Q19" s="122">
        <f t="shared" si="7"/>
        <v>0</v>
      </c>
      <c r="R19" s="122">
        <f t="shared" si="7"/>
        <v>0</v>
      </c>
      <c r="S19" s="122">
        <f t="shared" si="7"/>
        <v>0</v>
      </c>
      <c r="T19" s="122">
        <f t="shared" si="7"/>
        <v>0</v>
      </c>
      <c r="U19" s="122">
        <f t="shared" si="7"/>
        <v>0</v>
      </c>
      <c r="V19" s="122">
        <f t="shared" si="7"/>
        <v>0</v>
      </c>
      <c r="W19" s="122">
        <f t="shared" si="7"/>
        <v>0</v>
      </c>
      <c r="X19" s="122">
        <f t="shared" si="7"/>
        <v>0</v>
      </c>
      <c r="Y19" s="122">
        <f t="shared" si="7"/>
        <v>0</v>
      </c>
      <c r="Z19" s="122">
        <f t="shared" si="7"/>
        <v>0</v>
      </c>
      <c r="AA19" s="122">
        <f t="shared" si="7"/>
        <v>0</v>
      </c>
      <c r="AB19" s="122">
        <f t="shared" si="7"/>
        <v>0</v>
      </c>
      <c r="AC19" s="122">
        <f t="shared" si="7"/>
        <v>0</v>
      </c>
      <c r="AD19" s="122">
        <f t="shared" si="7"/>
        <v>0</v>
      </c>
      <c r="AE19" s="122">
        <f t="shared" si="7"/>
        <v>0</v>
      </c>
      <c r="AF19" s="122">
        <f t="shared" si="7"/>
        <v>0</v>
      </c>
      <c r="AG19" s="122">
        <f t="shared" si="7"/>
        <v>0</v>
      </c>
      <c r="AH19" s="122">
        <f t="shared" si="7"/>
        <v>0</v>
      </c>
      <c r="AI19" s="122">
        <f t="shared" si="7"/>
        <v>1</v>
      </c>
      <c r="AJ19" s="122">
        <f t="shared" si="7"/>
        <v>1</v>
      </c>
      <c r="AK19" s="122">
        <f t="shared" si="7"/>
        <v>1</v>
      </c>
      <c r="AL19" s="122">
        <f t="shared" si="7"/>
        <v>1</v>
      </c>
      <c r="AM19" s="122">
        <f t="shared" si="7"/>
        <v>1</v>
      </c>
      <c r="AN19" s="122">
        <f t="shared" si="7"/>
        <v>1</v>
      </c>
      <c r="AO19" s="122">
        <f t="shared" si="7"/>
        <v>1</v>
      </c>
      <c r="AP19" s="122">
        <f t="shared" si="7"/>
        <v>1</v>
      </c>
      <c r="AQ19" s="122">
        <f t="shared" si="7"/>
        <v>1</v>
      </c>
      <c r="AR19" s="122">
        <f t="shared" si="7"/>
        <v>1</v>
      </c>
      <c r="AS19" s="122">
        <f t="shared" si="7"/>
        <v>1</v>
      </c>
      <c r="AT19" s="122">
        <f t="shared" si="7"/>
        <v>1</v>
      </c>
      <c r="AU19" s="122">
        <f t="shared" si="7"/>
        <v>1</v>
      </c>
      <c r="AV19" s="122">
        <f t="shared" si="7"/>
        <v>1</v>
      </c>
      <c r="AW19" s="122">
        <f t="shared" si="7"/>
        <v>1</v>
      </c>
      <c r="AX19" s="122">
        <f t="shared" si="7"/>
        <v>1</v>
      </c>
      <c r="AY19" s="122">
        <f t="shared" si="7"/>
        <v>1</v>
      </c>
      <c r="AZ19" s="122">
        <f t="shared" si="7"/>
        <v>1</v>
      </c>
      <c r="BA19" s="122">
        <f t="shared" si="7"/>
        <v>1</v>
      </c>
      <c r="BB19" s="122">
        <f t="shared" si="7"/>
        <v>1</v>
      </c>
      <c r="BC19" s="122">
        <f t="shared" si="7"/>
        <v>0</v>
      </c>
      <c r="BD19" s="122">
        <f t="shared" si="7"/>
        <v>0</v>
      </c>
      <c r="BE19" s="122">
        <f t="shared" si="7"/>
        <v>0</v>
      </c>
      <c r="BF19" s="122">
        <f t="shared" si="7"/>
        <v>0</v>
      </c>
      <c r="BG19" s="122">
        <f t="shared" si="7"/>
        <v>0</v>
      </c>
      <c r="BH19" s="122">
        <f t="shared" si="7"/>
        <v>0</v>
      </c>
      <c r="BI19" s="122">
        <f t="shared" si="7"/>
        <v>0</v>
      </c>
      <c r="BJ19" s="122">
        <f t="shared" si="7"/>
        <v>0</v>
      </c>
      <c r="BK19" s="122">
        <f t="shared" si="7"/>
        <v>0</v>
      </c>
      <c r="BL19" s="122">
        <f t="shared" si="7"/>
        <v>0</v>
      </c>
      <c r="BM19" s="122">
        <f t="shared" si="7"/>
        <v>0</v>
      </c>
      <c r="BN19" s="122">
        <f t="shared" si="7"/>
        <v>0</v>
      </c>
      <c r="BO19" s="122">
        <f t="shared" si="7"/>
        <v>0</v>
      </c>
      <c r="BP19" s="122">
        <f t="shared" si="7"/>
        <v>0</v>
      </c>
      <c r="BQ19" s="122">
        <f t="shared" ref="BQ19:CA19" si="8" xml:space="preserve"> BQ11</f>
        <v>0</v>
      </c>
      <c r="BR19" s="122">
        <f t="shared" si="8"/>
        <v>0</v>
      </c>
      <c r="BS19" s="122">
        <f t="shared" si="8"/>
        <v>0</v>
      </c>
      <c r="BT19" s="122">
        <f t="shared" si="8"/>
        <v>0</v>
      </c>
      <c r="BU19" s="122">
        <f t="shared" si="8"/>
        <v>0</v>
      </c>
      <c r="BV19" s="122">
        <f t="shared" si="8"/>
        <v>0</v>
      </c>
      <c r="BW19" s="122">
        <f t="shared" si="8"/>
        <v>0</v>
      </c>
      <c r="BX19" s="122">
        <f t="shared" si="8"/>
        <v>0</v>
      </c>
      <c r="BY19" s="122">
        <f t="shared" si="8"/>
        <v>0</v>
      </c>
      <c r="BZ19" s="122">
        <f t="shared" si="8"/>
        <v>0</v>
      </c>
      <c r="CA19" s="122">
        <f t="shared" si="8"/>
        <v>0</v>
      </c>
    </row>
    <row r="20" spans="1:79" s="122" customFormat="1" x14ac:dyDescent="0.2">
      <c r="A20" s="119"/>
      <c r="B20" s="166"/>
      <c r="C20" s="167"/>
      <c r="D20" s="121"/>
    </row>
    <row r="21" spans="1:79" s="298" customFormat="1" x14ac:dyDescent="0.2">
      <c r="A21" s="355"/>
      <c r="B21" s="355"/>
      <c r="C21" s="356"/>
      <c r="D21" s="357"/>
      <c r="E21" s="298" t="s">
        <v>253</v>
      </c>
      <c r="J21" s="298">
        <f xml:space="preserve"> SUMPRODUCT($F13:$F15, J17:J19)</f>
        <v>0</v>
      </c>
      <c r="K21" s="298">
        <f t="shared" ref="K21:BV21" si="9" xml:space="preserve"> SUMPRODUCT($F13:$F15, K17:K19)</f>
        <v>0</v>
      </c>
      <c r="L21" s="298">
        <f t="shared" si="9"/>
        <v>0</v>
      </c>
      <c r="M21" s="298">
        <f t="shared" si="9"/>
        <v>0</v>
      </c>
      <c r="N21" s="298">
        <f t="shared" si="9"/>
        <v>0</v>
      </c>
      <c r="O21" s="298">
        <f t="shared" si="9"/>
        <v>0.02</v>
      </c>
      <c r="P21" s="298">
        <f t="shared" si="9"/>
        <v>0.02</v>
      </c>
      <c r="Q21" s="298">
        <f t="shared" si="9"/>
        <v>0.02</v>
      </c>
      <c r="R21" s="298">
        <f t="shared" si="9"/>
        <v>0.02</v>
      </c>
      <c r="S21" s="298">
        <f t="shared" si="9"/>
        <v>0.02</v>
      </c>
      <c r="T21" s="298">
        <f t="shared" si="9"/>
        <v>0.02</v>
      </c>
      <c r="U21" s="298">
        <f t="shared" si="9"/>
        <v>0.02</v>
      </c>
      <c r="V21" s="298">
        <f t="shared" si="9"/>
        <v>0.02</v>
      </c>
      <c r="W21" s="298">
        <f t="shared" si="9"/>
        <v>0.02</v>
      </c>
      <c r="X21" s="298">
        <f t="shared" si="9"/>
        <v>0.02</v>
      </c>
      <c r="Y21" s="298">
        <f t="shared" si="9"/>
        <v>1.4999999999999999E-2</v>
      </c>
      <c r="Z21" s="298">
        <f t="shared" si="9"/>
        <v>1.4999999999999999E-2</v>
      </c>
      <c r="AA21" s="298">
        <f t="shared" si="9"/>
        <v>1.4999999999999999E-2</v>
      </c>
      <c r="AB21" s="298">
        <f t="shared" si="9"/>
        <v>1.4999999999999999E-2</v>
      </c>
      <c r="AC21" s="298">
        <f t="shared" si="9"/>
        <v>1.4999999999999999E-2</v>
      </c>
      <c r="AD21" s="298">
        <f t="shared" si="9"/>
        <v>1.4999999999999999E-2</v>
      </c>
      <c r="AE21" s="298">
        <f t="shared" si="9"/>
        <v>1.4999999999999999E-2</v>
      </c>
      <c r="AF21" s="298">
        <f t="shared" si="9"/>
        <v>1.4999999999999999E-2</v>
      </c>
      <c r="AG21" s="298">
        <f t="shared" si="9"/>
        <v>1.4999999999999999E-2</v>
      </c>
      <c r="AH21" s="298">
        <f t="shared" si="9"/>
        <v>1.4999999999999999E-2</v>
      </c>
      <c r="AI21" s="298">
        <f t="shared" si="9"/>
        <v>0.01</v>
      </c>
      <c r="AJ21" s="298">
        <f t="shared" si="9"/>
        <v>0.01</v>
      </c>
      <c r="AK21" s="298">
        <f t="shared" si="9"/>
        <v>0.01</v>
      </c>
      <c r="AL21" s="298">
        <f t="shared" si="9"/>
        <v>0.01</v>
      </c>
      <c r="AM21" s="298">
        <f t="shared" si="9"/>
        <v>0.01</v>
      </c>
      <c r="AN21" s="298">
        <f t="shared" si="9"/>
        <v>0.01</v>
      </c>
      <c r="AO21" s="298">
        <f t="shared" si="9"/>
        <v>0.01</v>
      </c>
      <c r="AP21" s="298">
        <f t="shared" si="9"/>
        <v>0.01</v>
      </c>
      <c r="AQ21" s="298">
        <f t="shared" si="9"/>
        <v>0.01</v>
      </c>
      <c r="AR21" s="298">
        <f t="shared" si="9"/>
        <v>0.01</v>
      </c>
      <c r="AS21" s="298">
        <f t="shared" si="9"/>
        <v>0.01</v>
      </c>
      <c r="AT21" s="298">
        <f t="shared" si="9"/>
        <v>0.01</v>
      </c>
      <c r="AU21" s="298">
        <f t="shared" si="9"/>
        <v>0.01</v>
      </c>
      <c r="AV21" s="298">
        <f t="shared" si="9"/>
        <v>0.01</v>
      </c>
      <c r="AW21" s="298">
        <f t="shared" si="9"/>
        <v>0.01</v>
      </c>
      <c r="AX21" s="298">
        <f t="shared" si="9"/>
        <v>0.01</v>
      </c>
      <c r="AY21" s="298">
        <f t="shared" si="9"/>
        <v>0.01</v>
      </c>
      <c r="AZ21" s="298">
        <f t="shared" si="9"/>
        <v>0.01</v>
      </c>
      <c r="BA21" s="298">
        <f t="shared" si="9"/>
        <v>0.01</v>
      </c>
      <c r="BB21" s="298">
        <f t="shared" si="9"/>
        <v>0.01</v>
      </c>
      <c r="BC21" s="298">
        <f t="shared" si="9"/>
        <v>0</v>
      </c>
      <c r="BD21" s="298">
        <f t="shared" si="9"/>
        <v>0</v>
      </c>
      <c r="BE21" s="298">
        <f t="shared" si="9"/>
        <v>0</v>
      </c>
      <c r="BF21" s="298">
        <f t="shared" si="9"/>
        <v>0</v>
      </c>
      <c r="BG21" s="298">
        <f t="shared" si="9"/>
        <v>0</v>
      </c>
      <c r="BH21" s="298">
        <f t="shared" si="9"/>
        <v>0</v>
      </c>
      <c r="BI21" s="298">
        <f t="shared" si="9"/>
        <v>0</v>
      </c>
      <c r="BJ21" s="298">
        <f t="shared" si="9"/>
        <v>0</v>
      </c>
      <c r="BK21" s="298">
        <f t="shared" si="9"/>
        <v>0</v>
      </c>
      <c r="BL21" s="298">
        <f t="shared" si="9"/>
        <v>0</v>
      </c>
      <c r="BM21" s="298">
        <f t="shared" si="9"/>
        <v>0</v>
      </c>
      <c r="BN21" s="298">
        <f t="shared" si="9"/>
        <v>0</v>
      </c>
      <c r="BO21" s="298">
        <f t="shared" si="9"/>
        <v>0</v>
      </c>
      <c r="BP21" s="298">
        <f t="shared" si="9"/>
        <v>0</v>
      </c>
      <c r="BQ21" s="298">
        <f t="shared" si="9"/>
        <v>0</v>
      </c>
      <c r="BR21" s="298">
        <f t="shared" si="9"/>
        <v>0</v>
      </c>
      <c r="BS21" s="298">
        <f t="shared" si="9"/>
        <v>0</v>
      </c>
      <c r="BT21" s="298">
        <f t="shared" si="9"/>
        <v>0</v>
      </c>
      <c r="BU21" s="298">
        <f t="shared" si="9"/>
        <v>0</v>
      </c>
      <c r="BV21" s="298">
        <f t="shared" si="9"/>
        <v>0</v>
      </c>
      <c r="BW21" s="298">
        <f t="shared" ref="BW21:CA21" si="10" xml:space="preserve"> SUMPRODUCT($F13:$F15, BW17:BW19)</f>
        <v>0</v>
      </c>
      <c r="BX21" s="298">
        <f t="shared" si="10"/>
        <v>0</v>
      </c>
      <c r="BY21" s="298">
        <f t="shared" si="10"/>
        <v>0</v>
      </c>
      <c r="BZ21" s="298">
        <f t="shared" si="10"/>
        <v>0</v>
      </c>
      <c r="CA21" s="298">
        <f t="shared" si="10"/>
        <v>0</v>
      </c>
    </row>
    <row r="23" spans="1:79" s="186" customFormat="1" x14ac:dyDescent="0.2">
      <c r="A23" s="181"/>
      <c r="B23" s="182"/>
      <c r="C23" s="183"/>
      <c r="D23" s="184"/>
      <c r="E23" s="186" t="str">
        <f>InpC!E$40</f>
        <v>Senior debt coupon base rate</v>
      </c>
      <c r="F23" s="186">
        <f>InpC!F$40</f>
        <v>7.4999999999999997E-2</v>
      </c>
      <c r="G23" s="186" t="str">
        <f>InpC!G$40</f>
        <v>p.a. (semi)</v>
      </c>
    </row>
    <row r="24" spans="1:79" s="272" customFormat="1" x14ac:dyDescent="0.2">
      <c r="A24" s="252"/>
      <c r="B24" s="97"/>
      <c r="C24" s="98"/>
      <c r="D24" s="271"/>
      <c r="E24" s="272" t="str">
        <f xml:space="preserve"> E$21</f>
        <v>Senior term debt risk margin</v>
      </c>
      <c r="F24" s="272">
        <f t="shared" ref="F24:BQ24" si="11" xml:space="preserve"> F$21</f>
        <v>0</v>
      </c>
      <c r="G24" s="272">
        <f t="shared" si="11"/>
        <v>0</v>
      </c>
      <c r="H24" s="272">
        <f t="shared" si="11"/>
        <v>0</v>
      </c>
      <c r="I24" s="272">
        <f t="shared" si="11"/>
        <v>0</v>
      </c>
      <c r="J24" s="272">
        <f t="shared" si="11"/>
        <v>0</v>
      </c>
      <c r="K24" s="272">
        <f t="shared" si="11"/>
        <v>0</v>
      </c>
      <c r="L24" s="272">
        <f t="shared" si="11"/>
        <v>0</v>
      </c>
      <c r="M24" s="272">
        <f t="shared" si="11"/>
        <v>0</v>
      </c>
      <c r="N24" s="272">
        <f t="shared" si="11"/>
        <v>0</v>
      </c>
      <c r="O24" s="272">
        <f t="shared" si="11"/>
        <v>0.02</v>
      </c>
      <c r="P24" s="272">
        <f t="shared" si="11"/>
        <v>0.02</v>
      </c>
      <c r="Q24" s="272">
        <f t="shared" si="11"/>
        <v>0.02</v>
      </c>
      <c r="R24" s="272">
        <f t="shared" si="11"/>
        <v>0.02</v>
      </c>
      <c r="S24" s="272">
        <f t="shared" si="11"/>
        <v>0.02</v>
      </c>
      <c r="T24" s="272">
        <f t="shared" si="11"/>
        <v>0.02</v>
      </c>
      <c r="U24" s="272">
        <f t="shared" si="11"/>
        <v>0.02</v>
      </c>
      <c r="V24" s="272">
        <f t="shared" si="11"/>
        <v>0.02</v>
      </c>
      <c r="W24" s="272">
        <f t="shared" si="11"/>
        <v>0.02</v>
      </c>
      <c r="X24" s="272">
        <f t="shared" si="11"/>
        <v>0.02</v>
      </c>
      <c r="Y24" s="272">
        <f t="shared" si="11"/>
        <v>1.4999999999999999E-2</v>
      </c>
      <c r="Z24" s="272">
        <f t="shared" si="11"/>
        <v>1.4999999999999999E-2</v>
      </c>
      <c r="AA24" s="272">
        <f t="shared" si="11"/>
        <v>1.4999999999999999E-2</v>
      </c>
      <c r="AB24" s="272">
        <f t="shared" si="11"/>
        <v>1.4999999999999999E-2</v>
      </c>
      <c r="AC24" s="272">
        <f t="shared" si="11"/>
        <v>1.4999999999999999E-2</v>
      </c>
      <c r="AD24" s="272">
        <f t="shared" si="11"/>
        <v>1.4999999999999999E-2</v>
      </c>
      <c r="AE24" s="272">
        <f t="shared" si="11"/>
        <v>1.4999999999999999E-2</v>
      </c>
      <c r="AF24" s="272">
        <f t="shared" si="11"/>
        <v>1.4999999999999999E-2</v>
      </c>
      <c r="AG24" s="272">
        <f t="shared" si="11"/>
        <v>1.4999999999999999E-2</v>
      </c>
      <c r="AH24" s="272">
        <f t="shared" si="11"/>
        <v>1.4999999999999999E-2</v>
      </c>
      <c r="AI24" s="272">
        <f t="shared" si="11"/>
        <v>0.01</v>
      </c>
      <c r="AJ24" s="272">
        <f t="shared" si="11"/>
        <v>0.01</v>
      </c>
      <c r="AK24" s="272">
        <f t="shared" si="11"/>
        <v>0.01</v>
      </c>
      <c r="AL24" s="272">
        <f t="shared" si="11"/>
        <v>0.01</v>
      </c>
      <c r="AM24" s="272">
        <f t="shared" si="11"/>
        <v>0.01</v>
      </c>
      <c r="AN24" s="272">
        <f t="shared" si="11"/>
        <v>0.01</v>
      </c>
      <c r="AO24" s="272">
        <f t="shared" si="11"/>
        <v>0.01</v>
      </c>
      <c r="AP24" s="272">
        <f t="shared" si="11"/>
        <v>0.01</v>
      </c>
      <c r="AQ24" s="272">
        <f t="shared" si="11"/>
        <v>0.01</v>
      </c>
      <c r="AR24" s="272">
        <f t="shared" si="11"/>
        <v>0.01</v>
      </c>
      <c r="AS24" s="272">
        <f t="shared" si="11"/>
        <v>0.01</v>
      </c>
      <c r="AT24" s="272">
        <f t="shared" si="11"/>
        <v>0.01</v>
      </c>
      <c r="AU24" s="272">
        <f t="shared" si="11"/>
        <v>0.01</v>
      </c>
      <c r="AV24" s="272">
        <f t="shared" si="11"/>
        <v>0.01</v>
      </c>
      <c r="AW24" s="272">
        <f t="shared" si="11"/>
        <v>0.01</v>
      </c>
      <c r="AX24" s="272">
        <f t="shared" si="11"/>
        <v>0.01</v>
      </c>
      <c r="AY24" s="272">
        <f t="shared" si="11"/>
        <v>0.01</v>
      </c>
      <c r="AZ24" s="272">
        <f t="shared" si="11"/>
        <v>0.01</v>
      </c>
      <c r="BA24" s="272">
        <f t="shared" si="11"/>
        <v>0.01</v>
      </c>
      <c r="BB24" s="272">
        <f t="shared" si="11"/>
        <v>0.01</v>
      </c>
      <c r="BC24" s="272">
        <f t="shared" si="11"/>
        <v>0</v>
      </c>
      <c r="BD24" s="272">
        <f t="shared" si="11"/>
        <v>0</v>
      </c>
      <c r="BE24" s="272">
        <f t="shared" si="11"/>
        <v>0</v>
      </c>
      <c r="BF24" s="272">
        <f t="shared" si="11"/>
        <v>0</v>
      </c>
      <c r="BG24" s="272">
        <f t="shared" si="11"/>
        <v>0</v>
      </c>
      <c r="BH24" s="272">
        <f t="shared" si="11"/>
        <v>0</v>
      </c>
      <c r="BI24" s="272">
        <f t="shared" si="11"/>
        <v>0</v>
      </c>
      <c r="BJ24" s="272">
        <f t="shared" si="11"/>
        <v>0</v>
      </c>
      <c r="BK24" s="272">
        <f t="shared" si="11"/>
        <v>0</v>
      </c>
      <c r="BL24" s="272">
        <f t="shared" si="11"/>
        <v>0</v>
      </c>
      <c r="BM24" s="272">
        <f t="shared" si="11"/>
        <v>0</v>
      </c>
      <c r="BN24" s="272">
        <f t="shared" si="11"/>
        <v>0</v>
      </c>
      <c r="BO24" s="272">
        <f t="shared" si="11"/>
        <v>0</v>
      </c>
      <c r="BP24" s="272">
        <f t="shared" si="11"/>
        <v>0</v>
      </c>
      <c r="BQ24" s="272">
        <f t="shared" si="11"/>
        <v>0</v>
      </c>
      <c r="BR24" s="272">
        <f t="shared" ref="BR24:CA24" si="12" xml:space="preserve"> BR$21</f>
        <v>0</v>
      </c>
      <c r="BS24" s="272">
        <f t="shared" si="12"/>
        <v>0</v>
      </c>
      <c r="BT24" s="272">
        <f t="shared" si="12"/>
        <v>0</v>
      </c>
      <c r="BU24" s="272">
        <f t="shared" si="12"/>
        <v>0</v>
      </c>
      <c r="BV24" s="272">
        <f t="shared" si="12"/>
        <v>0</v>
      </c>
      <c r="BW24" s="272">
        <f t="shared" si="12"/>
        <v>0</v>
      </c>
      <c r="BX24" s="272">
        <f t="shared" si="12"/>
        <v>0</v>
      </c>
      <c r="BY24" s="272">
        <f t="shared" si="12"/>
        <v>0</v>
      </c>
      <c r="BZ24" s="272">
        <f t="shared" si="12"/>
        <v>0</v>
      </c>
      <c r="CA24" s="272">
        <f t="shared" si="12"/>
        <v>0</v>
      </c>
    </row>
    <row r="25" spans="1:79" s="144" customFormat="1" x14ac:dyDescent="0.2">
      <c r="A25" s="93"/>
      <c r="B25" s="93"/>
      <c r="C25" s="94"/>
      <c r="D25" s="143"/>
      <c r="E25" s="144" t="str">
        <f>'T&amp;E'!E$29</f>
        <v>Senior debt term / ratio calc date flag</v>
      </c>
      <c r="F25" s="144">
        <f>'T&amp;E'!F$29</f>
        <v>0</v>
      </c>
      <c r="G25" s="144" t="str">
        <f>'T&amp;E'!G$29</f>
        <v>flag</v>
      </c>
      <c r="H25" s="144">
        <f>'T&amp;E'!H$29</f>
        <v>40</v>
      </c>
      <c r="I25" s="144">
        <f>'T&amp;E'!I$29</f>
        <v>0</v>
      </c>
      <c r="J25" s="144">
        <f>'T&amp;E'!J$29</f>
        <v>0</v>
      </c>
      <c r="K25" s="144">
        <f>'T&amp;E'!K$29</f>
        <v>0</v>
      </c>
      <c r="L25" s="144">
        <f>'T&amp;E'!L$29</f>
        <v>0</v>
      </c>
      <c r="M25" s="144">
        <f>'T&amp;E'!M$29</f>
        <v>0</v>
      </c>
      <c r="N25" s="144">
        <f>'T&amp;E'!N$29</f>
        <v>0</v>
      </c>
      <c r="O25" s="144">
        <f>'T&amp;E'!O$29</f>
        <v>1</v>
      </c>
      <c r="P25" s="144">
        <f>'T&amp;E'!P$29</f>
        <v>1</v>
      </c>
      <c r="Q25" s="144">
        <f>'T&amp;E'!Q$29</f>
        <v>1</v>
      </c>
      <c r="R25" s="144">
        <f>'T&amp;E'!R$29</f>
        <v>1</v>
      </c>
      <c r="S25" s="144">
        <f>'T&amp;E'!S$29</f>
        <v>1</v>
      </c>
      <c r="T25" s="144">
        <f>'T&amp;E'!T$29</f>
        <v>1</v>
      </c>
      <c r="U25" s="144">
        <f>'T&amp;E'!U$29</f>
        <v>1</v>
      </c>
      <c r="V25" s="144">
        <f>'T&amp;E'!V$29</f>
        <v>1</v>
      </c>
      <c r="W25" s="144">
        <f>'T&amp;E'!W$29</f>
        <v>1</v>
      </c>
      <c r="X25" s="144">
        <f>'T&amp;E'!X$29</f>
        <v>1</v>
      </c>
      <c r="Y25" s="144">
        <f>'T&amp;E'!Y$29</f>
        <v>1</v>
      </c>
      <c r="Z25" s="144">
        <f>'T&amp;E'!Z$29</f>
        <v>1</v>
      </c>
      <c r="AA25" s="144">
        <f>'T&amp;E'!AA$29</f>
        <v>1</v>
      </c>
      <c r="AB25" s="144">
        <f>'T&amp;E'!AB$29</f>
        <v>1</v>
      </c>
      <c r="AC25" s="144">
        <f>'T&amp;E'!AC$29</f>
        <v>1</v>
      </c>
      <c r="AD25" s="144">
        <f>'T&amp;E'!AD$29</f>
        <v>1</v>
      </c>
      <c r="AE25" s="144">
        <f>'T&amp;E'!AE$29</f>
        <v>1</v>
      </c>
      <c r="AF25" s="144">
        <f>'T&amp;E'!AF$29</f>
        <v>1</v>
      </c>
      <c r="AG25" s="144">
        <f>'T&amp;E'!AG$29</f>
        <v>1</v>
      </c>
      <c r="AH25" s="144">
        <f>'T&amp;E'!AH$29</f>
        <v>1</v>
      </c>
      <c r="AI25" s="144">
        <f>'T&amp;E'!AI$29</f>
        <v>1</v>
      </c>
      <c r="AJ25" s="144">
        <f>'T&amp;E'!AJ$29</f>
        <v>1</v>
      </c>
      <c r="AK25" s="144">
        <f>'T&amp;E'!AK$29</f>
        <v>1</v>
      </c>
      <c r="AL25" s="144">
        <f>'T&amp;E'!AL$29</f>
        <v>1</v>
      </c>
      <c r="AM25" s="144">
        <f>'T&amp;E'!AM$29</f>
        <v>1</v>
      </c>
      <c r="AN25" s="144">
        <f>'T&amp;E'!AN$29</f>
        <v>1</v>
      </c>
      <c r="AO25" s="144">
        <f>'T&amp;E'!AO$29</f>
        <v>1</v>
      </c>
      <c r="AP25" s="144">
        <f>'T&amp;E'!AP$29</f>
        <v>1</v>
      </c>
      <c r="AQ25" s="144">
        <f>'T&amp;E'!AQ$29</f>
        <v>1</v>
      </c>
      <c r="AR25" s="144">
        <f>'T&amp;E'!AR$29</f>
        <v>1</v>
      </c>
      <c r="AS25" s="144">
        <f>'T&amp;E'!AS$29</f>
        <v>1</v>
      </c>
      <c r="AT25" s="144">
        <f>'T&amp;E'!AT$29</f>
        <v>1</v>
      </c>
      <c r="AU25" s="144">
        <f>'T&amp;E'!AU$29</f>
        <v>1</v>
      </c>
      <c r="AV25" s="144">
        <f>'T&amp;E'!AV$29</f>
        <v>1</v>
      </c>
      <c r="AW25" s="144">
        <f>'T&amp;E'!AW$29</f>
        <v>1</v>
      </c>
      <c r="AX25" s="144">
        <f>'T&amp;E'!AX$29</f>
        <v>1</v>
      </c>
      <c r="AY25" s="144">
        <f>'T&amp;E'!AY$29</f>
        <v>1</v>
      </c>
      <c r="AZ25" s="144">
        <f>'T&amp;E'!AZ$29</f>
        <v>1</v>
      </c>
      <c r="BA25" s="144">
        <f>'T&amp;E'!BA$29</f>
        <v>1</v>
      </c>
      <c r="BB25" s="144">
        <f>'T&amp;E'!BB$29</f>
        <v>1</v>
      </c>
      <c r="BC25" s="144">
        <f>'T&amp;E'!BC$29</f>
        <v>0</v>
      </c>
      <c r="BD25" s="144">
        <f>'T&amp;E'!BD$29</f>
        <v>0</v>
      </c>
      <c r="BE25" s="144">
        <f>'T&amp;E'!BE$29</f>
        <v>0</v>
      </c>
      <c r="BF25" s="144">
        <f>'T&amp;E'!BF$29</f>
        <v>0</v>
      </c>
      <c r="BG25" s="144">
        <f>'T&amp;E'!BG$29</f>
        <v>0</v>
      </c>
      <c r="BH25" s="144">
        <f>'T&amp;E'!BH$29</f>
        <v>0</v>
      </c>
      <c r="BI25" s="144">
        <f>'T&amp;E'!BI$29</f>
        <v>0</v>
      </c>
      <c r="BJ25" s="144">
        <f>'T&amp;E'!BJ$29</f>
        <v>0</v>
      </c>
      <c r="BK25" s="144">
        <f>'T&amp;E'!BK$29</f>
        <v>0</v>
      </c>
      <c r="BL25" s="144">
        <f>'T&amp;E'!BL$29</f>
        <v>0</v>
      </c>
      <c r="BM25" s="144">
        <f>'T&amp;E'!BM$29</f>
        <v>0</v>
      </c>
      <c r="BN25" s="144">
        <f>'T&amp;E'!BN$29</f>
        <v>0</v>
      </c>
      <c r="BO25" s="144">
        <f>'T&amp;E'!BO$29</f>
        <v>0</v>
      </c>
      <c r="BP25" s="144">
        <f>'T&amp;E'!BP$29</f>
        <v>0</v>
      </c>
      <c r="BQ25" s="144">
        <f>'T&amp;E'!BQ$29</f>
        <v>0</v>
      </c>
      <c r="BR25" s="144">
        <f>'T&amp;E'!BR$29</f>
        <v>0</v>
      </c>
      <c r="BS25" s="144">
        <f>'T&amp;E'!BS$29</f>
        <v>0</v>
      </c>
      <c r="BT25" s="144">
        <f>'T&amp;E'!BT$29</f>
        <v>0</v>
      </c>
      <c r="BU25" s="144">
        <f>'T&amp;E'!BU$29</f>
        <v>0</v>
      </c>
      <c r="BV25" s="144">
        <f>'T&amp;E'!BV$29</f>
        <v>0</v>
      </c>
      <c r="BW25" s="144">
        <f>'T&amp;E'!BW$29</f>
        <v>0</v>
      </c>
      <c r="BX25" s="144">
        <f>'T&amp;E'!BX$29</f>
        <v>0</v>
      </c>
      <c r="BY25" s="144">
        <f>'T&amp;E'!BY$29</f>
        <v>0</v>
      </c>
      <c r="BZ25" s="144">
        <f>'T&amp;E'!BZ$29</f>
        <v>0</v>
      </c>
      <c r="CA25" s="144">
        <f>'T&amp;E'!CA$29</f>
        <v>0</v>
      </c>
    </row>
    <row r="26" spans="1:79" s="272" customFormat="1" x14ac:dyDescent="0.2">
      <c r="A26" s="252"/>
      <c r="B26" s="97"/>
      <c r="C26" s="98"/>
      <c r="D26" s="271"/>
      <c r="E26" s="272" t="s">
        <v>120</v>
      </c>
      <c r="J26" s="272">
        <f xml:space="preserve"> ($F23 + J24) * J25</f>
        <v>0</v>
      </c>
      <c r="K26" s="272">
        <f t="shared" ref="K26:BV26" si="13" xml:space="preserve"> ($F23 + K24) * K25</f>
        <v>0</v>
      </c>
      <c r="L26" s="272">
        <f t="shared" si="13"/>
        <v>0</v>
      </c>
      <c r="M26" s="272">
        <f t="shared" si="13"/>
        <v>0</v>
      </c>
      <c r="N26" s="272">
        <f t="shared" si="13"/>
        <v>0</v>
      </c>
      <c r="O26" s="272">
        <f t="shared" si="13"/>
        <v>9.5000000000000001E-2</v>
      </c>
      <c r="P26" s="272">
        <f t="shared" si="13"/>
        <v>9.5000000000000001E-2</v>
      </c>
      <c r="Q26" s="272">
        <f t="shared" si="13"/>
        <v>9.5000000000000001E-2</v>
      </c>
      <c r="R26" s="272">
        <f t="shared" si="13"/>
        <v>9.5000000000000001E-2</v>
      </c>
      <c r="S26" s="272">
        <f t="shared" si="13"/>
        <v>9.5000000000000001E-2</v>
      </c>
      <c r="T26" s="272">
        <f t="shared" si="13"/>
        <v>9.5000000000000001E-2</v>
      </c>
      <c r="U26" s="272">
        <f t="shared" si="13"/>
        <v>9.5000000000000001E-2</v>
      </c>
      <c r="V26" s="272">
        <f t="shared" si="13"/>
        <v>9.5000000000000001E-2</v>
      </c>
      <c r="W26" s="272">
        <f t="shared" si="13"/>
        <v>9.5000000000000001E-2</v>
      </c>
      <c r="X26" s="272">
        <f t="shared" si="13"/>
        <v>9.5000000000000001E-2</v>
      </c>
      <c r="Y26" s="272">
        <f t="shared" si="13"/>
        <v>0.09</v>
      </c>
      <c r="Z26" s="272">
        <f t="shared" si="13"/>
        <v>0.09</v>
      </c>
      <c r="AA26" s="272">
        <f t="shared" si="13"/>
        <v>0.09</v>
      </c>
      <c r="AB26" s="272">
        <f t="shared" si="13"/>
        <v>0.09</v>
      </c>
      <c r="AC26" s="272">
        <f t="shared" si="13"/>
        <v>0.09</v>
      </c>
      <c r="AD26" s="272">
        <f t="shared" si="13"/>
        <v>0.09</v>
      </c>
      <c r="AE26" s="272">
        <f t="shared" si="13"/>
        <v>0.09</v>
      </c>
      <c r="AF26" s="272">
        <f t="shared" si="13"/>
        <v>0.09</v>
      </c>
      <c r="AG26" s="272">
        <f t="shared" si="13"/>
        <v>0.09</v>
      </c>
      <c r="AH26" s="272">
        <f t="shared" si="13"/>
        <v>0.09</v>
      </c>
      <c r="AI26" s="272">
        <f t="shared" si="13"/>
        <v>8.4999999999999992E-2</v>
      </c>
      <c r="AJ26" s="272">
        <f t="shared" si="13"/>
        <v>8.4999999999999992E-2</v>
      </c>
      <c r="AK26" s="272">
        <f t="shared" si="13"/>
        <v>8.4999999999999992E-2</v>
      </c>
      <c r="AL26" s="272">
        <f t="shared" si="13"/>
        <v>8.4999999999999992E-2</v>
      </c>
      <c r="AM26" s="272">
        <f t="shared" si="13"/>
        <v>8.4999999999999992E-2</v>
      </c>
      <c r="AN26" s="272">
        <f t="shared" si="13"/>
        <v>8.4999999999999992E-2</v>
      </c>
      <c r="AO26" s="272">
        <f t="shared" si="13"/>
        <v>8.4999999999999992E-2</v>
      </c>
      <c r="AP26" s="272">
        <f t="shared" si="13"/>
        <v>8.4999999999999992E-2</v>
      </c>
      <c r="AQ26" s="272">
        <f t="shared" si="13"/>
        <v>8.4999999999999992E-2</v>
      </c>
      <c r="AR26" s="272">
        <f t="shared" si="13"/>
        <v>8.4999999999999992E-2</v>
      </c>
      <c r="AS26" s="272">
        <f t="shared" si="13"/>
        <v>8.4999999999999992E-2</v>
      </c>
      <c r="AT26" s="272">
        <f t="shared" si="13"/>
        <v>8.4999999999999992E-2</v>
      </c>
      <c r="AU26" s="272">
        <f t="shared" si="13"/>
        <v>8.4999999999999992E-2</v>
      </c>
      <c r="AV26" s="272">
        <f t="shared" si="13"/>
        <v>8.4999999999999992E-2</v>
      </c>
      <c r="AW26" s="272">
        <f t="shared" si="13"/>
        <v>8.4999999999999992E-2</v>
      </c>
      <c r="AX26" s="272">
        <f t="shared" si="13"/>
        <v>8.4999999999999992E-2</v>
      </c>
      <c r="AY26" s="272">
        <f t="shared" si="13"/>
        <v>8.4999999999999992E-2</v>
      </c>
      <c r="AZ26" s="272">
        <f t="shared" si="13"/>
        <v>8.4999999999999992E-2</v>
      </c>
      <c r="BA26" s="272">
        <f t="shared" si="13"/>
        <v>8.4999999999999992E-2</v>
      </c>
      <c r="BB26" s="272">
        <f t="shared" si="13"/>
        <v>8.4999999999999992E-2</v>
      </c>
      <c r="BC26" s="272">
        <f t="shared" si="13"/>
        <v>0</v>
      </c>
      <c r="BD26" s="272">
        <f t="shared" si="13"/>
        <v>0</v>
      </c>
      <c r="BE26" s="272">
        <f t="shared" si="13"/>
        <v>0</v>
      </c>
      <c r="BF26" s="272">
        <f t="shared" si="13"/>
        <v>0</v>
      </c>
      <c r="BG26" s="272">
        <f t="shared" si="13"/>
        <v>0</v>
      </c>
      <c r="BH26" s="272">
        <f t="shared" si="13"/>
        <v>0</v>
      </c>
      <c r="BI26" s="272">
        <f t="shared" si="13"/>
        <v>0</v>
      </c>
      <c r="BJ26" s="272">
        <f t="shared" si="13"/>
        <v>0</v>
      </c>
      <c r="BK26" s="272">
        <f t="shared" si="13"/>
        <v>0</v>
      </c>
      <c r="BL26" s="272">
        <f t="shared" si="13"/>
        <v>0</v>
      </c>
      <c r="BM26" s="272">
        <f t="shared" si="13"/>
        <v>0</v>
      </c>
      <c r="BN26" s="272">
        <f t="shared" si="13"/>
        <v>0</v>
      </c>
      <c r="BO26" s="272">
        <f t="shared" si="13"/>
        <v>0</v>
      </c>
      <c r="BP26" s="272">
        <f t="shared" si="13"/>
        <v>0</v>
      </c>
      <c r="BQ26" s="272">
        <f t="shared" si="13"/>
        <v>0</v>
      </c>
      <c r="BR26" s="272">
        <f t="shared" si="13"/>
        <v>0</v>
      </c>
      <c r="BS26" s="272">
        <f t="shared" si="13"/>
        <v>0</v>
      </c>
      <c r="BT26" s="272">
        <f t="shared" si="13"/>
        <v>0</v>
      </c>
      <c r="BU26" s="272">
        <f t="shared" si="13"/>
        <v>0</v>
      </c>
      <c r="BV26" s="272">
        <f t="shared" si="13"/>
        <v>0</v>
      </c>
      <c r="BW26" s="272">
        <f t="shared" ref="BW26:CA26" si="14" xml:space="preserve"> ($F23 + BW24) * BW25</f>
        <v>0</v>
      </c>
      <c r="BX26" s="272">
        <f t="shared" si="14"/>
        <v>0</v>
      </c>
      <c r="BY26" s="272">
        <f t="shared" si="14"/>
        <v>0</v>
      </c>
      <c r="BZ26" s="272">
        <f t="shared" si="14"/>
        <v>0</v>
      </c>
      <c r="CA26" s="272">
        <f t="shared" si="14"/>
        <v>0</v>
      </c>
    </row>
    <row r="28" spans="1:79" s="251" customFormat="1" x14ac:dyDescent="0.2">
      <c r="A28" s="252"/>
      <c r="B28" s="97"/>
      <c r="C28" s="98"/>
      <c r="D28" s="254"/>
      <c r="E28" s="251" t="str">
        <f xml:space="preserve"> E$26</f>
        <v>Senior debt coupon rate</v>
      </c>
      <c r="F28" s="251">
        <f t="shared" ref="F28:BQ28" si="15" xml:space="preserve"> F$26</f>
        <v>0</v>
      </c>
      <c r="G28" s="251">
        <f t="shared" si="15"/>
        <v>0</v>
      </c>
      <c r="H28" s="251">
        <f t="shared" si="15"/>
        <v>0</v>
      </c>
      <c r="I28" s="251">
        <f t="shared" si="15"/>
        <v>0</v>
      </c>
      <c r="J28" s="251">
        <f t="shared" si="15"/>
        <v>0</v>
      </c>
      <c r="K28" s="251">
        <f t="shared" si="15"/>
        <v>0</v>
      </c>
      <c r="L28" s="251">
        <f t="shared" si="15"/>
        <v>0</v>
      </c>
      <c r="M28" s="251">
        <f t="shared" si="15"/>
        <v>0</v>
      </c>
      <c r="N28" s="251">
        <f t="shared" si="15"/>
        <v>0</v>
      </c>
      <c r="O28" s="251">
        <f t="shared" si="15"/>
        <v>9.5000000000000001E-2</v>
      </c>
      <c r="P28" s="251">
        <f t="shared" si="15"/>
        <v>9.5000000000000001E-2</v>
      </c>
      <c r="Q28" s="251">
        <f t="shared" si="15"/>
        <v>9.5000000000000001E-2</v>
      </c>
      <c r="R28" s="251">
        <f t="shared" si="15"/>
        <v>9.5000000000000001E-2</v>
      </c>
      <c r="S28" s="251">
        <f t="shared" si="15"/>
        <v>9.5000000000000001E-2</v>
      </c>
      <c r="T28" s="251">
        <f t="shared" si="15"/>
        <v>9.5000000000000001E-2</v>
      </c>
      <c r="U28" s="251">
        <f t="shared" si="15"/>
        <v>9.5000000000000001E-2</v>
      </c>
      <c r="V28" s="251">
        <f t="shared" si="15"/>
        <v>9.5000000000000001E-2</v>
      </c>
      <c r="W28" s="251">
        <f t="shared" si="15"/>
        <v>9.5000000000000001E-2</v>
      </c>
      <c r="X28" s="251">
        <f t="shared" si="15"/>
        <v>9.5000000000000001E-2</v>
      </c>
      <c r="Y28" s="251">
        <f t="shared" si="15"/>
        <v>0.09</v>
      </c>
      <c r="Z28" s="251">
        <f t="shared" si="15"/>
        <v>0.09</v>
      </c>
      <c r="AA28" s="251">
        <f t="shared" si="15"/>
        <v>0.09</v>
      </c>
      <c r="AB28" s="251">
        <f t="shared" si="15"/>
        <v>0.09</v>
      </c>
      <c r="AC28" s="251">
        <f t="shared" si="15"/>
        <v>0.09</v>
      </c>
      <c r="AD28" s="251">
        <f t="shared" si="15"/>
        <v>0.09</v>
      </c>
      <c r="AE28" s="251">
        <f t="shared" si="15"/>
        <v>0.09</v>
      </c>
      <c r="AF28" s="251">
        <f t="shared" si="15"/>
        <v>0.09</v>
      </c>
      <c r="AG28" s="251">
        <f t="shared" si="15"/>
        <v>0.09</v>
      </c>
      <c r="AH28" s="251">
        <f t="shared" si="15"/>
        <v>0.09</v>
      </c>
      <c r="AI28" s="251">
        <f t="shared" si="15"/>
        <v>8.4999999999999992E-2</v>
      </c>
      <c r="AJ28" s="251">
        <f t="shared" si="15"/>
        <v>8.4999999999999992E-2</v>
      </c>
      <c r="AK28" s="251">
        <f t="shared" si="15"/>
        <v>8.4999999999999992E-2</v>
      </c>
      <c r="AL28" s="251">
        <f t="shared" si="15"/>
        <v>8.4999999999999992E-2</v>
      </c>
      <c r="AM28" s="251">
        <f t="shared" si="15"/>
        <v>8.4999999999999992E-2</v>
      </c>
      <c r="AN28" s="251">
        <f t="shared" si="15"/>
        <v>8.4999999999999992E-2</v>
      </c>
      <c r="AO28" s="251">
        <f t="shared" si="15"/>
        <v>8.4999999999999992E-2</v>
      </c>
      <c r="AP28" s="251">
        <f t="shared" si="15"/>
        <v>8.4999999999999992E-2</v>
      </c>
      <c r="AQ28" s="251">
        <f t="shared" si="15"/>
        <v>8.4999999999999992E-2</v>
      </c>
      <c r="AR28" s="251">
        <f t="shared" si="15"/>
        <v>8.4999999999999992E-2</v>
      </c>
      <c r="AS28" s="251">
        <f t="shared" si="15"/>
        <v>8.4999999999999992E-2</v>
      </c>
      <c r="AT28" s="251">
        <f t="shared" si="15"/>
        <v>8.4999999999999992E-2</v>
      </c>
      <c r="AU28" s="251">
        <f t="shared" si="15"/>
        <v>8.4999999999999992E-2</v>
      </c>
      <c r="AV28" s="251">
        <f t="shared" si="15"/>
        <v>8.4999999999999992E-2</v>
      </c>
      <c r="AW28" s="251">
        <f t="shared" si="15"/>
        <v>8.4999999999999992E-2</v>
      </c>
      <c r="AX28" s="251">
        <f t="shared" si="15"/>
        <v>8.4999999999999992E-2</v>
      </c>
      <c r="AY28" s="251">
        <f t="shared" si="15"/>
        <v>8.4999999999999992E-2</v>
      </c>
      <c r="AZ28" s="251">
        <f t="shared" si="15"/>
        <v>8.4999999999999992E-2</v>
      </c>
      <c r="BA28" s="251">
        <f t="shared" si="15"/>
        <v>8.4999999999999992E-2</v>
      </c>
      <c r="BB28" s="251">
        <f t="shared" si="15"/>
        <v>8.4999999999999992E-2</v>
      </c>
      <c r="BC28" s="251">
        <f t="shared" si="15"/>
        <v>0</v>
      </c>
      <c r="BD28" s="251">
        <f t="shared" si="15"/>
        <v>0</v>
      </c>
      <c r="BE28" s="251">
        <f t="shared" si="15"/>
        <v>0</v>
      </c>
      <c r="BF28" s="251">
        <f t="shared" si="15"/>
        <v>0</v>
      </c>
      <c r="BG28" s="251">
        <f t="shared" si="15"/>
        <v>0</v>
      </c>
      <c r="BH28" s="251">
        <f t="shared" si="15"/>
        <v>0</v>
      </c>
      <c r="BI28" s="251">
        <f t="shared" si="15"/>
        <v>0</v>
      </c>
      <c r="BJ28" s="251">
        <f t="shared" si="15"/>
        <v>0</v>
      </c>
      <c r="BK28" s="251">
        <f t="shared" si="15"/>
        <v>0</v>
      </c>
      <c r="BL28" s="251">
        <f t="shared" si="15"/>
        <v>0</v>
      </c>
      <c r="BM28" s="251">
        <f t="shared" si="15"/>
        <v>0</v>
      </c>
      <c r="BN28" s="251">
        <f t="shared" si="15"/>
        <v>0</v>
      </c>
      <c r="BO28" s="251">
        <f t="shared" si="15"/>
        <v>0</v>
      </c>
      <c r="BP28" s="251">
        <f t="shared" si="15"/>
        <v>0</v>
      </c>
      <c r="BQ28" s="251">
        <f t="shared" si="15"/>
        <v>0</v>
      </c>
      <c r="BR28" s="251">
        <f t="shared" ref="BR28:CA28" si="16" xml:space="preserve"> BR$26</f>
        <v>0</v>
      </c>
      <c r="BS28" s="251">
        <f t="shared" si="16"/>
        <v>0</v>
      </c>
      <c r="BT28" s="251">
        <f t="shared" si="16"/>
        <v>0</v>
      </c>
      <c r="BU28" s="251">
        <f t="shared" si="16"/>
        <v>0</v>
      </c>
      <c r="BV28" s="251">
        <f t="shared" si="16"/>
        <v>0</v>
      </c>
      <c r="BW28" s="251">
        <f t="shared" si="16"/>
        <v>0</v>
      </c>
      <c r="BX28" s="251">
        <f t="shared" si="16"/>
        <v>0</v>
      </c>
      <c r="BY28" s="251">
        <f t="shared" si="16"/>
        <v>0</v>
      </c>
      <c r="BZ28" s="251">
        <f t="shared" si="16"/>
        <v>0</v>
      </c>
      <c r="CA28" s="251">
        <f t="shared" si="16"/>
        <v>0</v>
      </c>
    </row>
    <row r="29" spans="1:79" s="160" customFormat="1" x14ac:dyDescent="0.2">
      <c r="A29" s="157"/>
      <c r="B29" s="157"/>
      <c r="C29" s="158"/>
      <c r="D29" s="159"/>
      <c r="E29" s="160" t="str">
        <f xml:space="preserve"> E$71</f>
        <v>Senior term debt balance BEG</v>
      </c>
      <c r="F29" s="160">
        <f t="shared" ref="F29:BQ29" si="17" xml:space="preserve"> F$71</f>
        <v>0</v>
      </c>
      <c r="G29" s="160" t="str">
        <f t="shared" si="17"/>
        <v>€ 000s</v>
      </c>
      <c r="H29" s="160">
        <f t="shared" si="17"/>
        <v>0</v>
      </c>
      <c r="I29" s="160">
        <f t="shared" si="17"/>
        <v>0</v>
      </c>
      <c r="J29" s="160">
        <f t="shared" si="17"/>
        <v>0</v>
      </c>
      <c r="K29" s="160">
        <f t="shared" si="17"/>
        <v>0</v>
      </c>
      <c r="L29" s="160">
        <f t="shared" si="17"/>
        <v>0</v>
      </c>
      <c r="M29" s="160">
        <f t="shared" si="17"/>
        <v>0</v>
      </c>
      <c r="N29" s="160">
        <f t="shared" si="17"/>
        <v>0</v>
      </c>
      <c r="O29" s="160">
        <f t="shared" si="17"/>
        <v>322723.95574629982</v>
      </c>
      <c r="P29" s="160">
        <f t="shared" si="17"/>
        <v>319687.12332272716</v>
      </c>
      <c r="Q29" s="160">
        <f t="shared" si="17"/>
        <v>316430.838609247</v>
      </c>
      <c r="R29" s="160">
        <f t="shared" si="17"/>
        <v>312816.33030488843</v>
      </c>
      <c r="S29" s="160">
        <f t="shared" si="17"/>
        <v>310195.81178422848</v>
      </c>
      <c r="T29" s="160">
        <f t="shared" si="17"/>
        <v>307339.70477587375</v>
      </c>
      <c r="U29" s="160">
        <f t="shared" si="17"/>
        <v>304683.68662008172</v>
      </c>
      <c r="V29" s="160">
        <f t="shared" si="17"/>
        <v>301827.57961172698</v>
      </c>
      <c r="W29" s="160">
        <f t="shared" si="17"/>
        <v>298955.33640558494</v>
      </c>
      <c r="X29" s="160">
        <f t="shared" si="17"/>
        <v>295879.7771073227</v>
      </c>
      <c r="Y29" s="160">
        <f t="shared" si="17"/>
        <v>292462.13041596941</v>
      </c>
      <c r="Z29" s="160">
        <f t="shared" si="17"/>
        <v>288250.58279348019</v>
      </c>
      <c r="AA29" s="160">
        <f t="shared" si="17"/>
        <v>284035.80793143349</v>
      </c>
      <c r="AB29" s="160">
        <f t="shared" si="17"/>
        <v>279562.85390478978</v>
      </c>
      <c r="AC29" s="160">
        <f t="shared" si="17"/>
        <v>274976.94649363484</v>
      </c>
      <c r="AD29" s="160">
        <f t="shared" si="17"/>
        <v>270100.58752230823</v>
      </c>
      <c r="AE29" s="160">
        <f t="shared" si="17"/>
        <v>264746.59709647711</v>
      </c>
      <c r="AF29" s="160">
        <f t="shared" si="17"/>
        <v>259037.61031932506</v>
      </c>
      <c r="AG29" s="160">
        <f t="shared" si="17"/>
        <v>253160.80708518493</v>
      </c>
      <c r="AH29" s="160">
        <f t="shared" si="17"/>
        <v>246893.50786459178</v>
      </c>
      <c r="AI29" s="160">
        <f t="shared" si="17"/>
        <v>240429.34703099341</v>
      </c>
      <c r="AJ29" s="160">
        <f t="shared" si="17"/>
        <v>233064.78636086284</v>
      </c>
      <c r="AK29" s="160">
        <f t="shared" si="17"/>
        <v>225471.09168215242</v>
      </c>
      <c r="AL29" s="160">
        <f t="shared" si="17"/>
        <v>217409.44726760985</v>
      </c>
      <c r="AM29" s="160">
        <f t="shared" si="17"/>
        <v>209086.39644891277</v>
      </c>
      <c r="AN29" s="160">
        <f t="shared" si="17"/>
        <v>200256.669019694</v>
      </c>
      <c r="AO29" s="160">
        <f t="shared" si="17"/>
        <v>190875.08362614908</v>
      </c>
      <c r="AP29" s="160">
        <f t="shared" si="17"/>
        <v>180915.82235181826</v>
      </c>
      <c r="AQ29" s="160">
        <f t="shared" si="17"/>
        <v>170630.60988218369</v>
      </c>
      <c r="AR29" s="160">
        <f t="shared" si="17"/>
        <v>159722.54017795876</v>
      </c>
      <c r="AS29" s="160">
        <f t="shared" si="17"/>
        <v>148453.01964329797</v>
      </c>
      <c r="AT29" s="160">
        <f t="shared" si="17"/>
        <v>136515.46052024234</v>
      </c>
      <c r="AU29" s="160">
        <f t="shared" si="17"/>
        <v>124174.49645250384</v>
      </c>
      <c r="AV29" s="160">
        <f t="shared" si="17"/>
        <v>111113.85796345108</v>
      </c>
      <c r="AW29" s="160">
        <f t="shared" si="17"/>
        <v>97607.860415468429</v>
      </c>
      <c r="AX29" s="160">
        <f t="shared" si="17"/>
        <v>83330.552613252119</v>
      </c>
      <c r="AY29" s="160">
        <f t="shared" si="17"/>
        <v>68168.981172290951</v>
      </c>
      <c r="AZ29" s="160">
        <f t="shared" si="17"/>
        <v>52139.282290372241</v>
      </c>
      <c r="BA29" s="160">
        <f t="shared" si="17"/>
        <v>35573.861641914671</v>
      </c>
      <c r="BB29" s="160">
        <f t="shared" si="17"/>
        <v>18082.22324046522</v>
      </c>
      <c r="BC29" s="160">
        <f t="shared" si="17"/>
        <v>3.2741809263825417E-11</v>
      </c>
      <c r="BD29" s="160">
        <f t="shared" si="17"/>
        <v>3.2741809263825417E-11</v>
      </c>
      <c r="BE29" s="160">
        <f t="shared" si="17"/>
        <v>3.2741809263825417E-11</v>
      </c>
      <c r="BF29" s="160">
        <f t="shared" si="17"/>
        <v>3.2741809263825417E-11</v>
      </c>
      <c r="BG29" s="160">
        <f t="shared" si="17"/>
        <v>3.2741809263825417E-11</v>
      </c>
      <c r="BH29" s="160">
        <f t="shared" si="17"/>
        <v>3.2741809263825417E-11</v>
      </c>
      <c r="BI29" s="160">
        <f t="shared" si="17"/>
        <v>3.2741809263825417E-11</v>
      </c>
      <c r="BJ29" s="160">
        <f t="shared" si="17"/>
        <v>3.2741809263825417E-11</v>
      </c>
      <c r="BK29" s="160">
        <f t="shared" si="17"/>
        <v>3.2741809263825417E-11</v>
      </c>
      <c r="BL29" s="160">
        <f t="shared" si="17"/>
        <v>3.2741809263825417E-11</v>
      </c>
      <c r="BM29" s="160">
        <f t="shared" si="17"/>
        <v>3.2741809263825417E-11</v>
      </c>
      <c r="BN29" s="160">
        <f t="shared" si="17"/>
        <v>3.2741809263825417E-11</v>
      </c>
      <c r="BO29" s="160">
        <f t="shared" si="17"/>
        <v>3.2741809263825417E-11</v>
      </c>
      <c r="BP29" s="160">
        <f t="shared" si="17"/>
        <v>3.2741809263825417E-11</v>
      </c>
      <c r="BQ29" s="160">
        <f t="shared" si="17"/>
        <v>3.2741809263825417E-11</v>
      </c>
      <c r="BR29" s="160">
        <f t="shared" ref="BR29:CA29" si="18" xml:space="preserve"> BR$71</f>
        <v>3.2741809263825417E-11</v>
      </c>
      <c r="BS29" s="160">
        <f t="shared" si="18"/>
        <v>3.2741809263825417E-11</v>
      </c>
      <c r="BT29" s="160">
        <f t="shared" si="18"/>
        <v>3.2741809263825417E-11</v>
      </c>
      <c r="BU29" s="160">
        <f t="shared" si="18"/>
        <v>3.2741809263825417E-11</v>
      </c>
      <c r="BV29" s="160">
        <f t="shared" si="18"/>
        <v>3.2741809263825417E-11</v>
      </c>
      <c r="BW29" s="160">
        <f t="shared" si="18"/>
        <v>3.2741809263825417E-11</v>
      </c>
      <c r="BX29" s="160">
        <f t="shared" si="18"/>
        <v>3.2741809263825417E-11</v>
      </c>
      <c r="BY29" s="160">
        <f t="shared" si="18"/>
        <v>3.2741809263825417E-11</v>
      </c>
      <c r="BZ29" s="160">
        <f t="shared" si="18"/>
        <v>3.2741809263825417E-11</v>
      </c>
      <c r="CA29" s="160">
        <f t="shared" si="18"/>
        <v>3.2741809263825417E-11</v>
      </c>
    </row>
    <row r="30" spans="1:79" x14ac:dyDescent="0.2">
      <c r="E30" s="85" t="s">
        <v>121</v>
      </c>
      <c r="G30" s="85" t="str">
        <f xml:space="preserve"> SMU</f>
        <v>€ 000s</v>
      </c>
      <c r="H30" s="85">
        <f>SUM(J30:CA30)</f>
        <v>392274.30033447064</v>
      </c>
      <c r="J30" s="85">
        <f xml:space="preserve"> (J28 / 2) * J29</f>
        <v>0</v>
      </c>
      <c r="K30" s="85">
        <f t="shared" ref="K30:BV30" si="19" xml:space="preserve"> (K28 / 2) * K29</f>
        <v>0</v>
      </c>
      <c r="L30" s="85">
        <f t="shared" si="19"/>
        <v>0</v>
      </c>
      <c r="M30" s="85">
        <f t="shared" si="19"/>
        <v>0</v>
      </c>
      <c r="N30" s="85">
        <f t="shared" si="19"/>
        <v>0</v>
      </c>
      <c r="O30" s="85">
        <f t="shared" si="19"/>
        <v>15329.387897949242</v>
      </c>
      <c r="P30" s="85">
        <f t="shared" si="19"/>
        <v>15185.138357829541</v>
      </c>
      <c r="Q30" s="85">
        <f t="shared" si="19"/>
        <v>15030.464833939233</v>
      </c>
      <c r="R30" s="85">
        <f t="shared" si="19"/>
        <v>14858.7756894822</v>
      </c>
      <c r="S30" s="85">
        <f t="shared" si="19"/>
        <v>14734.301059750853</v>
      </c>
      <c r="T30" s="85">
        <f t="shared" si="19"/>
        <v>14598.635976854002</v>
      </c>
      <c r="U30" s="85">
        <f t="shared" si="19"/>
        <v>14472.475114453882</v>
      </c>
      <c r="V30" s="85">
        <f t="shared" si="19"/>
        <v>14336.810031557032</v>
      </c>
      <c r="W30" s="85">
        <f t="shared" si="19"/>
        <v>14200.378479265284</v>
      </c>
      <c r="X30" s="85">
        <f t="shared" si="19"/>
        <v>14054.289412597829</v>
      </c>
      <c r="Y30" s="85">
        <f t="shared" si="19"/>
        <v>13160.795868718624</v>
      </c>
      <c r="Z30" s="85">
        <f t="shared" si="19"/>
        <v>12971.276225706608</v>
      </c>
      <c r="AA30" s="85">
        <f t="shared" si="19"/>
        <v>12781.611356914507</v>
      </c>
      <c r="AB30" s="85">
        <f t="shared" si="19"/>
        <v>12580.328425715539</v>
      </c>
      <c r="AC30" s="85">
        <f t="shared" si="19"/>
        <v>12373.962592213567</v>
      </c>
      <c r="AD30" s="85">
        <f t="shared" si="19"/>
        <v>12154.52643850387</v>
      </c>
      <c r="AE30" s="85">
        <f t="shared" si="19"/>
        <v>11913.596869341469</v>
      </c>
      <c r="AF30" s="85">
        <f t="shared" si="19"/>
        <v>11656.692464369627</v>
      </c>
      <c r="AG30" s="85">
        <f t="shared" si="19"/>
        <v>11392.236318833322</v>
      </c>
      <c r="AH30" s="85">
        <f t="shared" si="19"/>
        <v>11110.20785390663</v>
      </c>
      <c r="AI30" s="85">
        <f t="shared" si="19"/>
        <v>10218.247248817219</v>
      </c>
      <c r="AJ30" s="85">
        <f t="shared" si="19"/>
        <v>9905.2534203366704</v>
      </c>
      <c r="AK30" s="85">
        <f t="shared" si="19"/>
        <v>9582.5213964914765</v>
      </c>
      <c r="AL30" s="85">
        <f t="shared" si="19"/>
        <v>9239.9015088734177</v>
      </c>
      <c r="AM30" s="85">
        <f t="shared" si="19"/>
        <v>8886.1718490787916</v>
      </c>
      <c r="AN30" s="85">
        <f t="shared" si="19"/>
        <v>8510.9084333369938</v>
      </c>
      <c r="AO30" s="85">
        <f t="shared" si="19"/>
        <v>8112.1910541113348</v>
      </c>
      <c r="AP30" s="85">
        <f t="shared" si="19"/>
        <v>7688.9224499522752</v>
      </c>
      <c r="AQ30" s="85">
        <f t="shared" si="19"/>
        <v>7251.8009199928065</v>
      </c>
      <c r="AR30" s="85">
        <f t="shared" si="19"/>
        <v>6788.2079575632461</v>
      </c>
      <c r="AS30" s="85">
        <f t="shared" si="19"/>
        <v>6309.253334840163</v>
      </c>
      <c r="AT30" s="85">
        <f t="shared" si="19"/>
        <v>5801.9070721102989</v>
      </c>
      <c r="AU30" s="85">
        <f t="shared" si="19"/>
        <v>5277.4160992314128</v>
      </c>
      <c r="AV30" s="85">
        <f t="shared" si="19"/>
        <v>4722.3389634466703</v>
      </c>
      <c r="AW30" s="85">
        <f t="shared" si="19"/>
        <v>4148.334067657408</v>
      </c>
      <c r="AX30" s="85">
        <f t="shared" si="19"/>
        <v>3541.5484860632146</v>
      </c>
      <c r="AY30" s="85">
        <f t="shared" si="19"/>
        <v>2897.1816998223653</v>
      </c>
      <c r="AZ30" s="85">
        <f t="shared" si="19"/>
        <v>2215.9194973408198</v>
      </c>
      <c r="BA30" s="85">
        <f t="shared" si="19"/>
        <v>1511.8891197813734</v>
      </c>
      <c r="BB30" s="85">
        <f t="shared" si="19"/>
        <v>768.49448771977177</v>
      </c>
      <c r="BC30" s="85">
        <f t="shared" si="19"/>
        <v>0</v>
      </c>
      <c r="BD30" s="85">
        <f t="shared" si="19"/>
        <v>0</v>
      </c>
      <c r="BE30" s="85">
        <f t="shared" si="19"/>
        <v>0</v>
      </c>
      <c r="BF30" s="85">
        <f t="shared" si="19"/>
        <v>0</v>
      </c>
      <c r="BG30" s="85">
        <f t="shared" si="19"/>
        <v>0</v>
      </c>
      <c r="BH30" s="85">
        <f t="shared" si="19"/>
        <v>0</v>
      </c>
      <c r="BI30" s="85">
        <f t="shared" si="19"/>
        <v>0</v>
      </c>
      <c r="BJ30" s="85">
        <f t="shared" si="19"/>
        <v>0</v>
      </c>
      <c r="BK30" s="85">
        <f t="shared" si="19"/>
        <v>0</v>
      </c>
      <c r="BL30" s="85">
        <f t="shared" si="19"/>
        <v>0</v>
      </c>
      <c r="BM30" s="85">
        <f t="shared" si="19"/>
        <v>0</v>
      </c>
      <c r="BN30" s="85">
        <f t="shared" si="19"/>
        <v>0</v>
      </c>
      <c r="BO30" s="85">
        <f t="shared" si="19"/>
        <v>0</v>
      </c>
      <c r="BP30" s="85">
        <f t="shared" si="19"/>
        <v>0</v>
      </c>
      <c r="BQ30" s="85">
        <f t="shared" si="19"/>
        <v>0</v>
      </c>
      <c r="BR30" s="85">
        <f t="shared" si="19"/>
        <v>0</v>
      </c>
      <c r="BS30" s="85">
        <f t="shared" si="19"/>
        <v>0</v>
      </c>
      <c r="BT30" s="85">
        <f t="shared" si="19"/>
        <v>0</v>
      </c>
      <c r="BU30" s="85">
        <f t="shared" si="19"/>
        <v>0</v>
      </c>
      <c r="BV30" s="85">
        <f t="shared" si="19"/>
        <v>0</v>
      </c>
      <c r="BW30" s="85">
        <f t="shared" ref="BW30:CA30" si="20" xml:space="preserve"> (BW28 / 2) * BW29</f>
        <v>0</v>
      </c>
      <c r="BX30" s="85">
        <f t="shared" si="20"/>
        <v>0</v>
      </c>
      <c r="BY30" s="85">
        <f t="shared" si="20"/>
        <v>0</v>
      </c>
      <c r="BZ30" s="85">
        <f t="shared" si="20"/>
        <v>0</v>
      </c>
      <c r="CA30" s="85">
        <f t="shared" si="20"/>
        <v>0</v>
      </c>
    </row>
    <row r="31" spans="1:79" s="140" customFormat="1" x14ac:dyDescent="0.2">
      <c r="A31" s="137"/>
      <c r="B31" s="137"/>
      <c r="C31" s="138"/>
      <c r="D31" s="139"/>
      <c r="E31" s="140" t="str">
        <f xml:space="preserve"> LEFT(E30, LEN(E30) - 4)</f>
        <v>Senior debt interest expense</v>
      </c>
      <c r="G31" s="140" t="str">
        <f xml:space="preserve"> G30</f>
        <v>€ 000s</v>
      </c>
      <c r="H31" s="140">
        <f>SUM(J31:CA31)</f>
        <v>-392274.30033447064</v>
      </c>
      <c r="J31" s="140">
        <f t="shared" ref="J31:AO31" si="21" xml:space="preserve"> -1 * J30</f>
        <v>0</v>
      </c>
      <c r="K31" s="140">
        <f t="shared" si="21"/>
        <v>0</v>
      </c>
      <c r="L31" s="140">
        <f t="shared" si="21"/>
        <v>0</v>
      </c>
      <c r="M31" s="140">
        <f t="shared" si="21"/>
        <v>0</v>
      </c>
      <c r="N31" s="140">
        <f t="shared" si="21"/>
        <v>0</v>
      </c>
      <c r="O31" s="140">
        <f t="shared" si="21"/>
        <v>-15329.387897949242</v>
      </c>
      <c r="P31" s="140">
        <f t="shared" si="21"/>
        <v>-15185.138357829541</v>
      </c>
      <c r="Q31" s="140">
        <f t="shared" si="21"/>
        <v>-15030.464833939233</v>
      </c>
      <c r="R31" s="140">
        <f t="shared" si="21"/>
        <v>-14858.7756894822</v>
      </c>
      <c r="S31" s="140">
        <f t="shared" si="21"/>
        <v>-14734.301059750853</v>
      </c>
      <c r="T31" s="140">
        <f t="shared" si="21"/>
        <v>-14598.635976854002</v>
      </c>
      <c r="U31" s="140">
        <f t="shared" si="21"/>
        <v>-14472.475114453882</v>
      </c>
      <c r="V31" s="140">
        <f t="shared" si="21"/>
        <v>-14336.810031557032</v>
      </c>
      <c r="W31" s="140">
        <f t="shared" si="21"/>
        <v>-14200.378479265284</v>
      </c>
      <c r="X31" s="140">
        <f t="shared" si="21"/>
        <v>-14054.289412597829</v>
      </c>
      <c r="Y31" s="140">
        <f t="shared" si="21"/>
        <v>-13160.795868718624</v>
      </c>
      <c r="Z31" s="140">
        <f t="shared" si="21"/>
        <v>-12971.276225706608</v>
      </c>
      <c r="AA31" s="140">
        <f t="shared" si="21"/>
        <v>-12781.611356914507</v>
      </c>
      <c r="AB31" s="140">
        <f t="shared" si="21"/>
        <v>-12580.328425715539</v>
      </c>
      <c r="AC31" s="140">
        <f t="shared" si="21"/>
        <v>-12373.962592213567</v>
      </c>
      <c r="AD31" s="140">
        <f t="shared" si="21"/>
        <v>-12154.52643850387</v>
      </c>
      <c r="AE31" s="140">
        <f t="shared" si="21"/>
        <v>-11913.596869341469</v>
      </c>
      <c r="AF31" s="140">
        <f t="shared" si="21"/>
        <v>-11656.692464369627</v>
      </c>
      <c r="AG31" s="140">
        <f t="shared" si="21"/>
        <v>-11392.236318833322</v>
      </c>
      <c r="AH31" s="140">
        <f t="shared" si="21"/>
        <v>-11110.20785390663</v>
      </c>
      <c r="AI31" s="140">
        <f t="shared" si="21"/>
        <v>-10218.247248817219</v>
      </c>
      <c r="AJ31" s="140">
        <f t="shared" si="21"/>
        <v>-9905.2534203366704</v>
      </c>
      <c r="AK31" s="140">
        <f t="shared" si="21"/>
        <v>-9582.5213964914765</v>
      </c>
      <c r="AL31" s="140">
        <f t="shared" si="21"/>
        <v>-9239.9015088734177</v>
      </c>
      <c r="AM31" s="140">
        <f t="shared" si="21"/>
        <v>-8886.1718490787916</v>
      </c>
      <c r="AN31" s="140">
        <f t="shared" si="21"/>
        <v>-8510.9084333369938</v>
      </c>
      <c r="AO31" s="140">
        <f t="shared" si="21"/>
        <v>-8112.1910541113348</v>
      </c>
      <c r="AP31" s="140">
        <f t="shared" ref="AP31:BU31" si="22" xml:space="preserve"> -1 * AP30</f>
        <v>-7688.9224499522752</v>
      </c>
      <c r="AQ31" s="140">
        <f t="shared" si="22"/>
        <v>-7251.8009199928065</v>
      </c>
      <c r="AR31" s="140">
        <f t="shared" si="22"/>
        <v>-6788.2079575632461</v>
      </c>
      <c r="AS31" s="140">
        <f t="shared" si="22"/>
        <v>-6309.253334840163</v>
      </c>
      <c r="AT31" s="140">
        <f t="shared" si="22"/>
        <v>-5801.9070721102989</v>
      </c>
      <c r="AU31" s="140">
        <f t="shared" si="22"/>
        <v>-5277.4160992314128</v>
      </c>
      <c r="AV31" s="140">
        <f t="shared" si="22"/>
        <v>-4722.3389634466703</v>
      </c>
      <c r="AW31" s="140">
        <f t="shared" si="22"/>
        <v>-4148.334067657408</v>
      </c>
      <c r="AX31" s="140">
        <f t="shared" si="22"/>
        <v>-3541.5484860632146</v>
      </c>
      <c r="AY31" s="140">
        <f t="shared" si="22"/>
        <v>-2897.1816998223653</v>
      </c>
      <c r="AZ31" s="140">
        <f t="shared" si="22"/>
        <v>-2215.9194973408198</v>
      </c>
      <c r="BA31" s="140">
        <f t="shared" si="22"/>
        <v>-1511.8891197813734</v>
      </c>
      <c r="BB31" s="140">
        <f t="shared" si="22"/>
        <v>-768.49448771977177</v>
      </c>
      <c r="BC31" s="140">
        <f t="shared" si="22"/>
        <v>0</v>
      </c>
      <c r="BD31" s="140">
        <f t="shared" si="22"/>
        <v>0</v>
      </c>
      <c r="BE31" s="140">
        <f t="shared" si="22"/>
        <v>0</v>
      </c>
      <c r="BF31" s="140">
        <f t="shared" si="22"/>
        <v>0</v>
      </c>
      <c r="BG31" s="140">
        <f t="shared" si="22"/>
        <v>0</v>
      </c>
      <c r="BH31" s="140">
        <f t="shared" si="22"/>
        <v>0</v>
      </c>
      <c r="BI31" s="140">
        <f t="shared" si="22"/>
        <v>0</v>
      </c>
      <c r="BJ31" s="140">
        <f t="shared" si="22"/>
        <v>0</v>
      </c>
      <c r="BK31" s="140">
        <f t="shared" si="22"/>
        <v>0</v>
      </c>
      <c r="BL31" s="140">
        <f t="shared" si="22"/>
        <v>0</v>
      </c>
      <c r="BM31" s="140">
        <f t="shared" si="22"/>
        <v>0</v>
      </c>
      <c r="BN31" s="140">
        <f t="shared" si="22"/>
        <v>0</v>
      </c>
      <c r="BO31" s="140">
        <f t="shared" si="22"/>
        <v>0</v>
      </c>
      <c r="BP31" s="140">
        <f t="shared" si="22"/>
        <v>0</v>
      </c>
      <c r="BQ31" s="140">
        <f t="shared" si="22"/>
        <v>0</v>
      </c>
      <c r="BR31" s="140">
        <f t="shared" si="22"/>
        <v>0</v>
      </c>
      <c r="BS31" s="140">
        <f t="shared" si="22"/>
        <v>0</v>
      </c>
      <c r="BT31" s="140">
        <f t="shared" si="22"/>
        <v>0</v>
      </c>
      <c r="BU31" s="140">
        <f t="shared" si="22"/>
        <v>0</v>
      </c>
      <c r="BV31" s="140">
        <f t="shared" ref="BV31:CA31" si="23" xml:space="preserve"> -1 * BV30</f>
        <v>0</v>
      </c>
      <c r="BW31" s="140">
        <f t="shared" si="23"/>
        <v>0</v>
      </c>
      <c r="BX31" s="140">
        <f t="shared" si="23"/>
        <v>0</v>
      </c>
      <c r="BY31" s="140">
        <f t="shared" si="23"/>
        <v>0</v>
      </c>
      <c r="BZ31" s="140">
        <f t="shared" si="23"/>
        <v>0</v>
      </c>
      <c r="CA31" s="140">
        <f t="shared" si="23"/>
        <v>0</v>
      </c>
    </row>
    <row r="34" spans="1:79" x14ac:dyDescent="0.2">
      <c r="A34" s="81" t="s">
        <v>116</v>
      </c>
    </row>
    <row r="36" spans="1:79" s="372" customFormat="1" x14ac:dyDescent="0.2">
      <c r="A36" s="368"/>
      <c r="B36" s="369"/>
      <c r="C36" s="370"/>
      <c r="D36" s="371"/>
      <c r="E36" s="372" t="s">
        <v>306</v>
      </c>
      <c r="F36" s="384">
        <v>1.398049518352628</v>
      </c>
      <c r="G36" s="372" t="s">
        <v>290</v>
      </c>
    </row>
    <row r="37" spans="1:79" s="196" customFormat="1" x14ac:dyDescent="0.2">
      <c r="A37" s="193"/>
      <c r="B37" s="193"/>
      <c r="C37" s="194"/>
      <c r="D37" s="195"/>
      <c r="E37" s="196" t="str">
        <f xml:space="preserve"> Ratios!E$18</f>
        <v>CFADS over debt term</v>
      </c>
      <c r="F37" s="196">
        <f xml:space="preserve"> Ratios!F$18</f>
        <v>0</v>
      </c>
      <c r="G37" s="196">
        <f xml:space="preserve"> Ratios!G$18</f>
        <v>0</v>
      </c>
      <c r="H37" s="196">
        <f xml:space="preserve"> Ratios!H$18</f>
        <v>999604.91898211325</v>
      </c>
      <c r="I37" s="196">
        <f xml:space="preserve"> Ratios!I$18</f>
        <v>0</v>
      </c>
      <c r="J37" s="196">
        <f xml:space="preserve"> Ratios!J$18</f>
        <v>0</v>
      </c>
      <c r="K37" s="196">
        <f xml:space="preserve"> Ratios!K$18</f>
        <v>0</v>
      </c>
      <c r="L37" s="196">
        <f xml:space="preserve"> Ratios!L$18</f>
        <v>0</v>
      </c>
      <c r="M37" s="196">
        <f xml:space="preserve"> Ratios!M$18</f>
        <v>0</v>
      </c>
      <c r="N37" s="196">
        <f xml:space="preserve"> Ratios!N$18</f>
        <v>0</v>
      </c>
      <c r="O37" s="196">
        <f xml:space="preserve"> Ratios!O$18</f>
        <v>25675.13464673726</v>
      </c>
      <c r="P37" s="196">
        <f xml:space="preserve"> Ratios!P$18</f>
        <v>25784.292964742319</v>
      </c>
      <c r="Q37" s="196">
        <f xml:space="preserve"> Ratios!Q$18</f>
        <v>26068.004233082032</v>
      </c>
      <c r="R37" s="196">
        <f xml:space="preserve"> Ratios!R$18</f>
        <v>24437.58111890369</v>
      </c>
      <c r="S37" s="196">
        <f xml:space="preserve"> Ratios!S$18</f>
        <v>24590.123895145382</v>
      </c>
      <c r="T37" s="196">
        <f xml:space="preserve"> Ratios!T$18</f>
        <v>24124.254395239055</v>
      </c>
      <c r="U37" s="196">
        <f xml:space="preserve"> Ratios!U$18</f>
        <v>24228.097816556641</v>
      </c>
      <c r="V37" s="196">
        <f xml:space="preserve"> Ratios!V$18</f>
        <v>24056.90258435662</v>
      </c>
      <c r="W37" s="196">
        <f xml:space="preserve"> Ratios!W$18</f>
        <v>24151.684677646354</v>
      </c>
      <c r="X37" s="196">
        <f xml:space="preserve"> Ratios!X$18</f>
        <v>24425.085432866486</v>
      </c>
      <c r="Y37" s="196">
        <f xml:space="preserve"> Ratios!Y$18</f>
        <v>24287.716298618838</v>
      </c>
      <c r="Z37" s="196">
        <f xml:space="preserve"> Ratios!Z$18</f>
        <v>24025.129592320194</v>
      </c>
      <c r="AA37" s="196">
        <f xml:space="preserve"> Ratios!AA$18</f>
        <v>24123.551568627714</v>
      </c>
      <c r="AB37" s="196">
        <f xml:space="preserve"> Ratios!AB$18</f>
        <v>23997.923467359804</v>
      </c>
      <c r="AC37" s="196">
        <f xml:space="preserve"> Ratios!AC$18</f>
        <v>24115.881462831905</v>
      </c>
      <c r="AD37" s="196">
        <f xml:space="preserve"> Ratios!AD$18</f>
        <v>24477.309683099375</v>
      </c>
      <c r="AE37" s="196">
        <f xml:space="preserve"> Ratios!AE$18</f>
        <v>24639.404533450455</v>
      </c>
      <c r="AF37" s="196">
        <f xml:space="preserve"> Ratios!AF$18</f>
        <v>24512.12599020647</v>
      </c>
      <c r="AG37" s="196">
        <f xml:space="preserve"> Ratios!AG$18</f>
        <v>24689.85257539494</v>
      </c>
      <c r="AH37" s="196">
        <f xml:space="preserve"> Ratios!AH$18</f>
        <v>24569.77048010665</v>
      </c>
      <c r="AI37" s="196">
        <f xml:space="preserve"> Ratios!AI$18</f>
        <v>24580.861717312084</v>
      </c>
      <c r="AJ37" s="196">
        <f xml:space="preserve"> Ratios!AJ$18</f>
        <v>24465.033108015967</v>
      </c>
      <c r="AK37" s="196">
        <f xml:space="preserve"> Ratios!AK$18</f>
        <v>24667.568342318882</v>
      </c>
      <c r="AL37" s="196">
        <f xml:space="preserve"> Ratios!AL$18</f>
        <v>24555.326669155816</v>
      </c>
      <c r="AM37" s="196">
        <f xml:space="preserve"> Ratios!AM$18</f>
        <v>24768.418348333769</v>
      </c>
      <c r="AN37" s="196">
        <f xml:space="preserve"> Ratios!AN$18</f>
        <v>25013.636788182725</v>
      </c>
      <c r="AO37" s="196">
        <f xml:space="preserve"> Ratios!AO$18</f>
        <v>25265.609721331355</v>
      </c>
      <c r="AP37" s="196">
        <f xml:space="preserve"> Ratios!AP$18</f>
        <v>25127.01087842273</v>
      </c>
      <c r="AQ37" s="196">
        <f xml:space="preserve"> Ratios!AQ$18</f>
        <v>25386.829231084077</v>
      </c>
      <c r="AR37" s="196">
        <f xml:space="preserve"> Ratios!AR$18</f>
        <v>25245.415737159736</v>
      </c>
      <c r="AS37" s="196">
        <f xml:space="preserve"> Ratios!AS$18</f>
        <v>25511.552489639838</v>
      </c>
      <c r="AT37" s="196">
        <f xml:space="preserve"> Ratios!AT$18</f>
        <v>25365.594349984302</v>
      </c>
      <c r="AU37" s="196">
        <f xml:space="preserve"> Ratios!AU$18</f>
        <v>25636.523523664422</v>
      </c>
      <c r="AV37" s="196">
        <f xml:space="preserve"> Ratios!AV$18</f>
        <v>25484.199625947636</v>
      </c>
      <c r="AW37" s="196">
        <f xml:space="preserve"> Ratios!AW$18</f>
        <v>25758.389026750567</v>
      </c>
      <c r="AX37" s="196">
        <f xml:space="preserve"> Ratios!AX$18</f>
        <v>26149.691339109697</v>
      </c>
      <c r="AY37" s="196">
        <f xml:space="preserve"> Ratios!AY$18</f>
        <v>26460.07010022788</v>
      </c>
      <c r="AZ37" s="196">
        <f xml:space="preserve"> Ratios!AZ$18</f>
        <v>26258.514335888001</v>
      </c>
      <c r="BA37" s="196">
        <f xml:space="preserve"> Ratios!BA$18</f>
        <v>26569.619688357227</v>
      </c>
      <c r="BB37" s="196">
        <f xml:space="preserve"> Ratios!BB$18</f>
        <v>26355.226543934212</v>
      </c>
      <c r="BC37" s="196">
        <f xml:space="preserve"> Ratios!BC$18</f>
        <v>0</v>
      </c>
      <c r="BD37" s="196">
        <f xml:space="preserve"> Ratios!BD$18</f>
        <v>0</v>
      </c>
      <c r="BE37" s="196">
        <f xml:space="preserve"> Ratios!BE$18</f>
        <v>0</v>
      </c>
      <c r="BF37" s="196">
        <f xml:space="preserve"> Ratios!BF$18</f>
        <v>0</v>
      </c>
      <c r="BG37" s="196">
        <f xml:space="preserve"> Ratios!BG$18</f>
        <v>0</v>
      </c>
      <c r="BH37" s="196">
        <f xml:space="preserve"> Ratios!BH$18</f>
        <v>0</v>
      </c>
      <c r="BI37" s="196">
        <f xml:space="preserve"> Ratios!BI$18</f>
        <v>0</v>
      </c>
      <c r="BJ37" s="196">
        <f xml:space="preserve"> Ratios!BJ$18</f>
        <v>0</v>
      </c>
      <c r="BK37" s="196">
        <f xml:space="preserve"> Ratios!BK$18</f>
        <v>0</v>
      </c>
      <c r="BL37" s="196">
        <f xml:space="preserve"> Ratios!BL$18</f>
        <v>0</v>
      </c>
      <c r="BM37" s="196">
        <f xml:space="preserve"> Ratios!BM$18</f>
        <v>0</v>
      </c>
      <c r="BN37" s="196">
        <f xml:space="preserve"> Ratios!BN$18</f>
        <v>0</v>
      </c>
      <c r="BO37" s="196">
        <f xml:space="preserve"> Ratios!BO$18</f>
        <v>0</v>
      </c>
      <c r="BP37" s="196">
        <f xml:space="preserve"> Ratios!BP$18</f>
        <v>0</v>
      </c>
      <c r="BQ37" s="196">
        <f xml:space="preserve"> Ratios!BQ$18</f>
        <v>0</v>
      </c>
      <c r="BR37" s="196">
        <f xml:space="preserve"> Ratios!BR$18</f>
        <v>0</v>
      </c>
      <c r="BS37" s="196">
        <f xml:space="preserve"> Ratios!BS$18</f>
        <v>0</v>
      </c>
      <c r="BT37" s="196">
        <f xml:space="preserve"> Ratios!BT$18</f>
        <v>0</v>
      </c>
      <c r="BU37" s="196">
        <f xml:space="preserve"> Ratios!BU$18</f>
        <v>0</v>
      </c>
      <c r="BV37" s="196">
        <f xml:space="preserve"> Ratios!BV$18</f>
        <v>0</v>
      </c>
      <c r="BW37" s="196">
        <f xml:space="preserve"> Ratios!BW$18</f>
        <v>0</v>
      </c>
      <c r="BX37" s="196">
        <f xml:space="preserve"> Ratios!BX$18</f>
        <v>0</v>
      </c>
      <c r="BY37" s="196">
        <f xml:space="preserve"> Ratios!BY$18</f>
        <v>0</v>
      </c>
      <c r="BZ37" s="196">
        <f xml:space="preserve"> Ratios!BZ$18</f>
        <v>0</v>
      </c>
      <c r="CA37" s="196">
        <f xml:space="preserve"> Ratios!CA$18</f>
        <v>0</v>
      </c>
    </row>
    <row r="38" spans="1:79" x14ac:dyDescent="0.2">
      <c r="E38" s="85" t="s">
        <v>307</v>
      </c>
      <c r="H38" s="85">
        <f>SUM(J38:CA38)</f>
        <v>714999.65191503649</v>
      </c>
      <c r="J38" s="85">
        <f xml:space="preserve"> J37 / $F36</f>
        <v>0</v>
      </c>
      <c r="K38" s="85">
        <f t="shared" ref="K38:BV38" si="24" xml:space="preserve"> K37 / $F36</f>
        <v>0</v>
      </c>
      <c r="L38" s="85">
        <f t="shared" si="24"/>
        <v>0</v>
      </c>
      <c r="M38" s="85">
        <f t="shared" si="24"/>
        <v>0</v>
      </c>
      <c r="N38" s="85">
        <f t="shared" si="24"/>
        <v>0</v>
      </c>
      <c r="O38" s="85">
        <f t="shared" si="24"/>
        <v>18364.967985534015</v>
      </c>
      <c r="P38" s="85">
        <f t="shared" si="24"/>
        <v>18443.046992444786</v>
      </c>
      <c r="Q38" s="85">
        <f t="shared" si="24"/>
        <v>18645.980625778477</v>
      </c>
      <c r="R38" s="85">
        <f t="shared" si="24"/>
        <v>17479.767918163136</v>
      </c>
      <c r="S38" s="85">
        <f t="shared" si="24"/>
        <v>17588.879057818216</v>
      </c>
      <c r="T38" s="85">
        <f t="shared" si="24"/>
        <v>17255.650875417869</v>
      </c>
      <c r="U38" s="85">
        <f t="shared" si="24"/>
        <v>17329.928231086891</v>
      </c>
      <c r="V38" s="85">
        <f t="shared" si="24"/>
        <v>17207.475320833939</v>
      </c>
      <c r="W38" s="85">
        <f t="shared" si="24"/>
        <v>17275.271269436256</v>
      </c>
      <c r="X38" s="85">
        <f t="shared" si="24"/>
        <v>17470.829975784724</v>
      </c>
      <c r="Y38" s="85">
        <f t="shared" si="24"/>
        <v>17372.572272860496</v>
      </c>
      <c r="Z38" s="85">
        <f t="shared" si="24"/>
        <v>17184.748663716768</v>
      </c>
      <c r="AA38" s="85">
        <f t="shared" si="24"/>
        <v>17255.14815602051</v>
      </c>
      <c r="AB38" s="85">
        <f t="shared" si="24"/>
        <v>17165.28860554054</v>
      </c>
      <c r="AC38" s="85">
        <f t="shared" si="24"/>
        <v>17249.661865517119</v>
      </c>
      <c r="AD38" s="85">
        <f t="shared" si="24"/>
        <v>17508.185054805403</v>
      </c>
      <c r="AE38" s="85">
        <f t="shared" si="24"/>
        <v>17624.128623486777</v>
      </c>
      <c r="AF38" s="85">
        <f t="shared" si="24"/>
        <v>17533.088541162684</v>
      </c>
      <c r="AG38" s="85">
        <f t="shared" si="24"/>
        <v>17660.21321225294</v>
      </c>
      <c r="AH38" s="85">
        <f t="shared" si="24"/>
        <v>17574.320621388357</v>
      </c>
      <c r="AI38" s="85">
        <f t="shared" si="24"/>
        <v>17582.253986451495</v>
      </c>
      <c r="AJ38" s="85">
        <f t="shared" si="24"/>
        <v>17499.403838602222</v>
      </c>
      <c r="AK38" s="85">
        <f t="shared" si="24"/>
        <v>17644.273695960044</v>
      </c>
      <c r="AL38" s="85">
        <f t="shared" si="24"/>
        <v>17563.989219845545</v>
      </c>
      <c r="AM38" s="85">
        <f t="shared" si="24"/>
        <v>17716.409914807085</v>
      </c>
      <c r="AN38" s="85">
        <f t="shared" si="24"/>
        <v>17891.810311309426</v>
      </c>
      <c r="AO38" s="85">
        <f t="shared" si="24"/>
        <v>18072.042076952133</v>
      </c>
      <c r="AP38" s="85">
        <f t="shared" si="24"/>
        <v>17972.904785254523</v>
      </c>
      <c r="AQ38" s="85">
        <f t="shared" si="24"/>
        <v>18158.748240189867</v>
      </c>
      <c r="AR38" s="85">
        <f t="shared" si="24"/>
        <v>18057.597678591039</v>
      </c>
      <c r="AS38" s="85">
        <f t="shared" si="24"/>
        <v>18247.9605727421</v>
      </c>
      <c r="AT38" s="85">
        <f t="shared" si="24"/>
        <v>18143.55930673578</v>
      </c>
      <c r="AU38" s="85">
        <f t="shared" si="24"/>
        <v>18337.350134688262</v>
      </c>
      <c r="AV38" s="85">
        <f t="shared" si="24"/>
        <v>18228.395554956154</v>
      </c>
      <c r="AW38" s="85">
        <f t="shared" si="24"/>
        <v>18424.518365488657</v>
      </c>
      <c r="AX38" s="85">
        <f t="shared" si="24"/>
        <v>18704.40996247602</v>
      </c>
      <c r="AY38" s="85">
        <f t="shared" si="24"/>
        <v>18926.418379948896</v>
      </c>
      <c r="AZ38" s="85">
        <f t="shared" si="24"/>
        <v>18782.24912006647</v>
      </c>
      <c r="BA38" s="85">
        <f t="shared" si="24"/>
        <v>19004.777255433102</v>
      </c>
      <c r="BB38" s="85">
        <f t="shared" si="24"/>
        <v>18851.425645487525</v>
      </c>
      <c r="BC38" s="85">
        <f t="shared" si="24"/>
        <v>0</v>
      </c>
      <c r="BD38" s="85">
        <f t="shared" si="24"/>
        <v>0</v>
      </c>
      <c r="BE38" s="85">
        <f t="shared" si="24"/>
        <v>0</v>
      </c>
      <c r="BF38" s="85">
        <f t="shared" si="24"/>
        <v>0</v>
      </c>
      <c r="BG38" s="85">
        <f t="shared" si="24"/>
        <v>0</v>
      </c>
      <c r="BH38" s="85">
        <f t="shared" si="24"/>
        <v>0</v>
      </c>
      <c r="BI38" s="85">
        <f t="shared" si="24"/>
        <v>0</v>
      </c>
      <c r="BJ38" s="85">
        <f t="shared" si="24"/>
        <v>0</v>
      </c>
      <c r="BK38" s="85">
        <f t="shared" si="24"/>
        <v>0</v>
      </c>
      <c r="BL38" s="85">
        <f t="shared" si="24"/>
        <v>0</v>
      </c>
      <c r="BM38" s="85">
        <f t="shared" si="24"/>
        <v>0</v>
      </c>
      <c r="BN38" s="85">
        <f t="shared" si="24"/>
        <v>0</v>
      </c>
      <c r="BO38" s="85">
        <f t="shared" si="24"/>
        <v>0</v>
      </c>
      <c r="BP38" s="85">
        <f t="shared" si="24"/>
        <v>0</v>
      </c>
      <c r="BQ38" s="85">
        <f t="shared" si="24"/>
        <v>0</v>
      </c>
      <c r="BR38" s="85">
        <f t="shared" si="24"/>
        <v>0</v>
      </c>
      <c r="BS38" s="85">
        <f t="shared" si="24"/>
        <v>0</v>
      </c>
      <c r="BT38" s="85">
        <f t="shared" si="24"/>
        <v>0</v>
      </c>
      <c r="BU38" s="85">
        <f t="shared" si="24"/>
        <v>0</v>
      </c>
      <c r="BV38" s="85">
        <f t="shared" si="24"/>
        <v>0</v>
      </c>
      <c r="BW38" s="85">
        <f t="shared" ref="BW38:CA38" si="25" xml:space="preserve"> BW37 / $F36</f>
        <v>0</v>
      </c>
      <c r="BX38" s="85">
        <f t="shared" si="25"/>
        <v>0</v>
      </c>
      <c r="BY38" s="85">
        <f t="shared" si="25"/>
        <v>0</v>
      </c>
      <c r="BZ38" s="85">
        <f t="shared" si="25"/>
        <v>0</v>
      </c>
      <c r="CA38" s="85">
        <f t="shared" si="25"/>
        <v>0</v>
      </c>
    </row>
    <row r="40" spans="1:79" x14ac:dyDescent="0.2">
      <c r="E40" s="85" t="str">
        <f xml:space="preserve"> E$38</f>
        <v>Target debt service</v>
      </c>
      <c r="F40" s="85">
        <f t="shared" ref="F40:BQ40" si="26" xml:space="preserve"> F$38</f>
        <v>0</v>
      </c>
      <c r="G40" s="85">
        <f t="shared" si="26"/>
        <v>0</v>
      </c>
      <c r="H40" s="85">
        <f t="shared" si="26"/>
        <v>714999.65191503649</v>
      </c>
      <c r="I40" s="85">
        <f t="shared" si="26"/>
        <v>0</v>
      </c>
      <c r="J40" s="85">
        <f t="shared" si="26"/>
        <v>0</v>
      </c>
      <c r="K40" s="85">
        <f t="shared" si="26"/>
        <v>0</v>
      </c>
      <c r="L40" s="85">
        <f t="shared" si="26"/>
        <v>0</v>
      </c>
      <c r="M40" s="85">
        <f t="shared" si="26"/>
        <v>0</v>
      </c>
      <c r="N40" s="85">
        <f t="shared" si="26"/>
        <v>0</v>
      </c>
      <c r="O40" s="85">
        <f t="shared" si="26"/>
        <v>18364.967985534015</v>
      </c>
      <c r="P40" s="85">
        <f t="shared" si="26"/>
        <v>18443.046992444786</v>
      </c>
      <c r="Q40" s="85">
        <f t="shared" si="26"/>
        <v>18645.980625778477</v>
      </c>
      <c r="R40" s="85">
        <f t="shared" si="26"/>
        <v>17479.767918163136</v>
      </c>
      <c r="S40" s="85">
        <f t="shared" si="26"/>
        <v>17588.879057818216</v>
      </c>
      <c r="T40" s="85">
        <f t="shared" si="26"/>
        <v>17255.650875417869</v>
      </c>
      <c r="U40" s="85">
        <f t="shared" si="26"/>
        <v>17329.928231086891</v>
      </c>
      <c r="V40" s="85">
        <f t="shared" si="26"/>
        <v>17207.475320833939</v>
      </c>
      <c r="W40" s="85">
        <f t="shared" si="26"/>
        <v>17275.271269436256</v>
      </c>
      <c r="X40" s="85">
        <f t="shared" si="26"/>
        <v>17470.829975784724</v>
      </c>
      <c r="Y40" s="85">
        <f t="shared" si="26"/>
        <v>17372.572272860496</v>
      </c>
      <c r="Z40" s="85">
        <f t="shared" si="26"/>
        <v>17184.748663716768</v>
      </c>
      <c r="AA40" s="85">
        <f t="shared" si="26"/>
        <v>17255.14815602051</v>
      </c>
      <c r="AB40" s="85">
        <f t="shared" si="26"/>
        <v>17165.28860554054</v>
      </c>
      <c r="AC40" s="85">
        <f t="shared" si="26"/>
        <v>17249.661865517119</v>
      </c>
      <c r="AD40" s="85">
        <f t="shared" si="26"/>
        <v>17508.185054805403</v>
      </c>
      <c r="AE40" s="85">
        <f t="shared" si="26"/>
        <v>17624.128623486777</v>
      </c>
      <c r="AF40" s="85">
        <f t="shared" si="26"/>
        <v>17533.088541162684</v>
      </c>
      <c r="AG40" s="85">
        <f t="shared" si="26"/>
        <v>17660.21321225294</v>
      </c>
      <c r="AH40" s="85">
        <f t="shared" si="26"/>
        <v>17574.320621388357</v>
      </c>
      <c r="AI40" s="85">
        <f t="shared" si="26"/>
        <v>17582.253986451495</v>
      </c>
      <c r="AJ40" s="85">
        <f t="shared" si="26"/>
        <v>17499.403838602222</v>
      </c>
      <c r="AK40" s="85">
        <f t="shared" si="26"/>
        <v>17644.273695960044</v>
      </c>
      <c r="AL40" s="85">
        <f t="shared" si="26"/>
        <v>17563.989219845545</v>
      </c>
      <c r="AM40" s="85">
        <f t="shared" si="26"/>
        <v>17716.409914807085</v>
      </c>
      <c r="AN40" s="85">
        <f t="shared" si="26"/>
        <v>17891.810311309426</v>
      </c>
      <c r="AO40" s="85">
        <f t="shared" si="26"/>
        <v>18072.042076952133</v>
      </c>
      <c r="AP40" s="85">
        <f t="shared" si="26"/>
        <v>17972.904785254523</v>
      </c>
      <c r="AQ40" s="85">
        <f t="shared" si="26"/>
        <v>18158.748240189867</v>
      </c>
      <c r="AR40" s="85">
        <f t="shared" si="26"/>
        <v>18057.597678591039</v>
      </c>
      <c r="AS40" s="85">
        <f t="shared" si="26"/>
        <v>18247.9605727421</v>
      </c>
      <c r="AT40" s="85">
        <f t="shared" si="26"/>
        <v>18143.55930673578</v>
      </c>
      <c r="AU40" s="85">
        <f t="shared" si="26"/>
        <v>18337.350134688262</v>
      </c>
      <c r="AV40" s="85">
        <f t="shared" si="26"/>
        <v>18228.395554956154</v>
      </c>
      <c r="AW40" s="85">
        <f t="shared" si="26"/>
        <v>18424.518365488657</v>
      </c>
      <c r="AX40" s="85">
        <f t="shared" si="26"/>
        <v>18704.40996247602</v>
      </c>
      <c r="AY40" s="85">
        <f t="shared" si="26"/>
        <v>18926.418379948896</v>
      </c>
      <c r="AZ40" s="85">
        <f t="shared" si="26"/>
        <v>18782.24912006647</v>
      </c>
      <c r="BA40" s="85">
        <f t="shared" si="26"/>
        <v>19004.777255433102</v>
      </c>
      <c r="BB40" s="85">
        <f t="shared" si="26"/>
        <v>18851.425645487525</v>
      </c>
      <c r="BC40" s="85">
        <f t="shared" si="26"/>
        <v>0</v>
      </c>
      <c r="BD40" s="85">
        <f t="shared" si="26"/>
        <v>0</v>
      </c>
      <c r="BE40" s="85">
        <f t="shared" si="26"/>
        <v>0</v>
      </c>
      <c r="BF40" s="85">
        <f t="shared" si="26"/>
        <v>0</v>
      </c>
      <c r="BG40" s="85">
        <f t="shared" si="26"/>
        <v>0</v>
      </c>
      <c r="BH40" s="85">
        <f t="shared" si="26"/>
        <v>0</v>
      </c>
      <c r="BI40" s="85">
        <f t="shared" si="26"/>
        <v>0</v>
      </c>
      <c r="BJ40" s="85">
        <f t="shared" si="26"/>
        <v>0</v>
      </c>
      <c r="BK40" s="85">
        <f t="shared" si="26"/>
        <v>0</v>
      </c>
      <c r="BL40" s="85">
        <f t="shared" si="26"/>
        <v>0</v>
      </c>
      <c r="BM40" s="85">
        <f t="shared" si="26"/>
        <v>0</v>
      </c>
      <c r="BN40" s="85">
        <f t="shared" si="26"/>
        <v>0</v>
      </c>
      <c r="BO40" s="85">
        <f t="shared" si="26"/>
        <v>0</v>
      </c>
      <c r="BP40" s="85">
        <f t="shared" si="26"/>
        <v>0</v>
      </c>
      <c r="BQ40" s="85">
        <f t="shared" si="26"/>
        <v>0</v>
      </c>
      <c r="BR40" s="85">
        <f t="shared" ref="BR40:CA40" si="27" xml:space="preserve"> BR$38</f>
        <v>0</v>
      </c>
      <c r="BS40" s="85">
        <f t="shared" si="27"/>
        <v>0</v>
      </c>
      <c r="BT40" s="85">
        <f t="shared" si="27"/>
        <v>0</v>
      </c>
      <c r="BU40" s="85">
        <f t="shared" si="27"/>
        <v>0</v>
      </c>
      <c r="BV40" s="85">
        <f t="shared" si="27"/>
        <v>0</v>
      </c>
      <c r="BW40" s="85">
        <f t="shared" si="27"/>
        <v>0</v>
      </c>
      <c r="BX40" s="85">
        <f t="shared" si="27"/>
        <v>0</v>
      </c>
      <c r="BY40" s="85">
        <f t="shared" si="27"/>
        <v>0</v>
      </c>
      <c r="BZ40" s="85">
        <f t="shared" si="27"/>
        <v>0</v>
      </c>
      <c r="CA40" s="85">
        <f t="shared" si="27"/>
        <v>0</v>
      </c>
    </row>
    <row r="41" spans="1:79" x14ac:dyDescent="0.2">
      <c r="D41" s="84" t="s">
        <v>24</v>
      </c>
      <c r="E41" s="85" t="str">
        <f xml:space="preserve"> E$30</f>
        <v>Senior debt interest expense POS</v>
      </c>
      <c r="F41" s="85">
        <f t="shared" ref="F41:BQ41" si="28" xml:space="preserve"> F$30</f>
        <v>0</v>
      </c>
      <c r="G41" s="85" t="str">
        <f t="shared" si="28"/>
        <v>€ 000s</v>
      </c>
      <c r="H41" s="85">
        <f t="shared" si="28"/>
        <v>392274.30033447064</v>
      </c>
      <c r="I41" s="85">
        <f t="shared" si="28"/>
        <v>0</v>
      </c>
      <c r="J41" s="85">
        <f t="shared" si="28"/>
        <v>0</v>
      </c>
      <c r="K41" s="85">
        <f t="shared" si="28"/>
        <v>0</v>
      </c>
      <c r="L41" s="85">
        <f t="shared" si="28"/>
        <v>0</v>
      </c>
      <c r="M41" s="85">
        <f t="shared" si="28"/>
        <v>0</v>
      </c>
      <c r="N41" s="85">
        <f t="shared" si="28"/>
        <v>0</v>
      </c>
      <c r="O41" s="85">
        <f t="shared" si="28"/>
        <v>15329.387897949242</v>
      </c>
      <c r="P41" s="85">
        <f t="shared" si="28"/>
        <v>15185.138357829541</v>
      </c>
      <c r="Q41" s="85">
        <f t="shared" si="28"/>
        <v>15030.464833939233</v>
      </c>
      <c r="R41" s="85">
        <f t="shared" si="28"/>
        <v>14858.7756894822</v>
      </c>
      <c r="S41" s="85">
        <f t="shared" si="28"/>
        <v>14734.301059750853</v>
      </c>
      <c r="T41" s="85">
        <f t="shared" si="28"/>
        <v>14598.635976854002</v>
      </c>
      <c r="U41" s="85">
        <f t="shared" si="28"/>
        <v>14472.475114453882</v>
      </c>
      <c r="V41" s="85">
        <f t="shared" si="28"/>
        <v>14336.810031557032</v>
      </c>
      <c r="W41" s="85">
        <f t="shared" si="28"/>
        <v>14200.378479265284</v>
      </c>
      <c r="X41" s="85">
        <f t="shared" si="28"/>
        <v>14054.289412597829</v>
      </c>
      <c r="Y41" s="85">
        <f t="shared" si="28"/>
        <v>13160.795868718624</v>
      </c>
      <c r="Z41" s="85">
        <f t="shared" si="28"/>
        <v>12971.276225706608</v>
      </c>
      <c r="AA41" s="85">
        <f t="shared" si="28"/>
        <v>12781.611356914507</v>
      </c>
      <c r="AB41" s="85">
        <f t="shared" si="28"/>
        <v>12580.328425715539</v>
      </c>
      <c r="AC41" s="85">
        <f t="shared" si="28"/>
        <v>12373.962592213567</v>
      </c>
      <c r="AD41" s="85">
        <f t="shared" si="28"/>
        <v>12154.52643850387</v>
      </c>
      <c r="AE41" s="85">
        <f t="shared" si="28"/>
        <v>11913.596869341469</v>
      </c>
      <c r="AF41" s="85">
        <f t="shared" si="28"/>
        <v>11656.692464369627</v>
      </c>
      <c r="AG41" s="85">
        <f t="shared" si="28"/>
        <v>11392.236318833322</v>
      </c>
      <c r="AH41" s="85">
        <f t="shared" si="28"/>
        <v>11110.20785390663</v>
      </c>
      <c r="AI41" s="85">
        <f t="shared" si="28"/>
        <v>10218.247248817219</v>
      </c>
      <c r="AJ41" s="85">
        <f t="shared" si="28"/>
        <v>9905.2534203366704</v>
      </c>
      <c r="AK41" s="85">
        <f t="shared" si="28"/>
        <v>9582.5213964914765</v>
      </c>
      <c r="AL41" s="85">
        <f t="shared" si="28"/>
        <v>9239.9015088734177</v>
      </c>
      <c r="AM41" s="85">
        <f t="shared" si="28"/>
        <v>8886.1718490787916</v>
      </c>
      <c r="AN41" s="85">
        <f t="shared" si="28"/>
        <v>8510.9084333369938</v>
      </c>
      <c r="AO41" s="85">
        <f t="shared" si="28"/>
        <v>8112.1910541113348</v>
      </c>
      <c r="AP41" s="85">
        <f t="shared" si="28"/>
        <v>7688.9224499522752</v>
      </c>
      <c r="AQ41" s="85">
        <f t="shared" si="28"/>
        <v>7251.8009199928065</v>
      </c>
      <c r="AR41" s="85">
        <f t="shared" si="28"/>
        <v>6788.2079575632461</v>
      </c>
      <c r="AS41" s="85">
        <f t="shared" si="28"/>
        <v>6309.253334840163</v>
      </c>
      <c r="AT41" s="85">
        <f t="shared" si="28"/>
        <v>5801.9070721102989</v>
      </c>
      <c r="AU41" s="85">
        <f t="shared" si="28"/>
        <v>5277.4160992314128</v>
      </c>
      <c r="AV41" s="85">
        <f t="shared" si="28"/>
        <v>4722.3389634466703</v>
      </c>
      <c r="AW41" s="85">
        <f t="shared" si="28"/>
        <v>4148.334067657408</v>
      </c>
      <c r="AX41" s="85">
        <f t="shared" si="28"/>
        <v>3541.5484860632146</v>
      </c>
      <c r="AY41" s="85">
        <f t="shared" si="28"/>
        <v>2897.1816998223653</v>
      </c>
      <c r="AZ41" s="85">
        <f t="shared" si="28"/>
        <v>2215.9194973408198</v>
      </c>
      <c r="BA41" s="85">
        <f t="shared" si="28"/>
        <v>1511.8891197813734</v>
      </c>
      <c r="BB41" s="85">
        <f t="shared" si="28"/>
        <v>768.49448771977177</v>
      </c>
      <c r="BC41" s="85">
        <f t="shared" si="28"/>
        <v>0</v>
      </c>
      <c r="BD41" s="85">
        <f t="shared" si="28"/>
        <v>0</v>
      </c>
      <c r="BE41" s="85">
        <f t="shared" si="28"/>
        <v>0</v>
      </c>
      <c r="BF41" s="85">
        <f t="shared" si="28"/>
        <v>0</v>
      </c>
      <c r="BG41" s="85">
        <f t="shared" si="28"/>
        <v>0</v>
      </c>
      <c r="BH41" s="85">
        <f t="shared" si="28"/>
        <v>0</v>
      </c>
      <c r="BI41" s="85">
        <f t="shared" si="28"/>
        <v>0</v>
      </c>
      <c r="BJ41" s="85">
        <f t="shared" si="28"/>
        <v>0</v>
      </c>
      <c r="BK41" s="85">
        <f t="shared" si="28"/>
        <v>0</v>
      </c>
      <c r="BL41" s="85">
        <f t="shared" si="28"/>
        <v>0</v>
      </c>
      <c r="BM41" s="85">
        <f t="shared" si="28"/>
        <v>0</v>
      </c>
      <c r="BN41" s="85">
        <f t="shared" si="28"/>
        <v>0</v>
      </c>
      <c r="BO41" s="85">
        <f t="shared" si="28"/>
        <v>0</v>
      </c>
      <c r="BP41" s="85">
        <f t="shared" si="28"/>
        <v>0</v>
      </c>
      <c r="BQ41" s="85">
        <f t="shared" si="28"/>
        <v>0</v>
      </c>
      <c r="BR41" s="85">
        <f t="shared" ref="BR41:CA41" si="29" xml:space="preserve"> BR$30</f>
        <v>0</v>
      </c>
      <c r="BS41" s="85">
        <f t="shared" si="29"/>
        <v>0</v>
      </c>
      <c r="BT41" s="85">
        <f t="shared" si="29"/>
        <v>0</v>
      </c>
      <c r="BU41" s="85">
        <f t="shared" si="29"/>
        <v>0</v>
      </c>
      <c r="BV41" s="85">
        <f t="shared" si="29"/>
        <v>0</v>
      </c>
      <c r="BW41" s="85">
        <f t="shared" si="29"/>
        <v>0</v>
      </c>
      <c r="BX41" s="85">
        <f t="shared" si="29"/>
        <v>0</v>
      </c>
      <c r="BY41" s="85">
        <f t="shared" si="29"/>
        <v>0</v>
      </c>
      <c r="BZ41" s="85">
        <f t="shared" si="29"/>
        <v>0</v>
      </c>
      <c r="CA41" s="85">
        <f t="shared" si="29"/>
        <v>0</v>
      </c>
    </row>
    <row r="42" spans="1:79" x14ac:dyDescent="0.2">
      <c r="E42" s="85" t="s">
        <v>308</v>
      </c>
      <c r="H42" s="85">
        <f>SUM(J42:CA42)</f>
        <v>322725.35158056568</v>
      </c>
      <c r="J42" s="85">
        <f xml:space="preserve"> J40 - J41</f>
        <v>0</v>
      </c>
      <c r="K42" s="85">
        <f t="shared" ref="K42:BV42" si="30" xml:space="preserve"> K40 - K41</f>
        <v>0</v>
      </c>
      <c r="L42" s="85">
        <f t="shared" si="30"/>
        <v>0</v>
      </c>
      <c r="M42" s="85">
        <f t="shared" si="30"/>
        <v>0</v>
      </c>
      <c r="N42" s="85">
        <f t="shared" si="30"/>
        <v>0</v>
      </c>
      <c r="O42" s="85">
        <f t="shared" si="30"/>
        <v>3035.5800875847726</v>
      </c>
      <c r="P42" s="85">
        <f t="shared" si="30"/>
        <v>3257.9086346152453</v>
      </c>
      <c r="Q42" s="85">
        <f t="shared" si="30"/>
        <v>3615.5157918392433</v>
      </c>
      <c r="R42" s="85">
        <f t="shared" si="30"/>
        <v>2620.992228680936</v>
      </c>
      <c r="S42" s="85">
        <f t="shared" si="30"/>
        <v>2854.5779980673633</v>
      </c>
      <c r="T42" s="85">
        <f t="shared" si="30"/>
        <v>2657.0148985638662</v>
      </c>
      <c r="U42" s="85">
        <f t="shared" si="30"/>
        <v>2857.4531166330089</v>
      </c>
      <c r="V42" s="85">
        <f t="shared" si="30"/>
        <v>2870.6652892769071</v>
      </c>
      <c r="W42" s="85">
        <f t="shared" si="30"/>
        <v>3074.8927901709721</v>
      </c>
      <c r="X42" s="85">
        <f t="shared" si="30"/>
        <v>3416.5405631868944</v>
      </c>
      <c r="Y42" s="85">
        <f t="shared" si="30"/>
        <v>4211.7764041418723</v>
      </c>
      <c r="Z42" s="85">
        <f t="shared" si="30"/>
        <v>4213.4724380101597</v>
      </c>
      <c r="AA42" s="85">
        <f t="shared" si="30"/>
        <v>4473.5367991060029</v>
      </c>
      <c r="AB42" s="85">
        <f t="shared" si="30"/>
        <v>4584.9601798250005</v>
      </c>
      <c r="AC42" s="85">
        <f t="shared" si="30"/>
        <v>4875.6992733035513</v>
      </c>
      <c r="AD42" s="85">
        <f t="shared" si="30"/>
        <v>5353.6586163015327</v>
      </c>
      <c r="AE42" s="85">
        <f t="shared" si="30"/>
        <v>5710.5317541453078</v>
      </c>
      <c r="AF42" s="85">
        <f t="shared" si="30"/>
        <v>5876.3960767930566</v>
      </c>
      <c r="AG42" s="85">
        <f t="shared" si="30"/>
        <v>6267.9768934196181</v>
      </c>
      <c r="AH42" s="85">
        <f t="shared" si="30"/>
        <v>6464.1127674817271</v>
      </c>
      <c r="AI42" s="85">
        <f t="shared" si="30"/>
        <v>7364.0067376342759</v>
      </c>
      <c r="AJ42" s="85">
        <f t="shared" si="30"/>
        <v>7594.1504182655517</v>
      </c>
      <c r="AK42" s="85">
        <f t="shared" si="30"/>
        <v>8061.7522994685678</v>
      </c>
      <c r="AL42" s="85">
        <f t="shared" si="30"/>
        <v>8324.0877109721278</v>
      </c>
      <c r="AM42" s="85">
        <f t="shared" si="30"/>
        <v>8830.2380657282938</v>
      </c>
      <c r="AN42" s="85">
        <f t="shared" si="30"/>
        <v>9380.901877972432</v>
      </c>
      <c r="AO42" s="85">
        <f t="shared" si="30"/>
        <v>9959.8510228407977</v>
      </c>
      <c r="AP42" s="85">
        <f t="shared" si="30"/>
        <v>10283.982335302248</v>
      </c>
      <c r="AQ42" s="85">
        <f t="shared" si="30"/>
        <v>10906.947320197061</v>
      </c>
      <c r="AR42" s="85">
        <f t="shared" si="30"/>
        <v>11269.389721027794</v>
      </c>
      <c r="AS42" s="85">
        <f t="shared" si="30"/>
        <v>11938.707237901937</v>
      </c>
      <c r="AT42" s="85">
        <f t="shared" si="30"/>
        <v>12341.652234625482</v>
      </c>
      <c r="AU42" s="85">
        <f t="shared" si="30"/>
        <v>13059.934035456849</v>
      </c>
      <c r="AV42" s="85">
        <f t="shared" si="30"/>
        <v>13506.056591509485</v>
      </c>
      <c r="AW42" s="85">
        <f t="shared" si="30"/>
        <v>14276.184297831249</v>
      </c>
      <c r="AX42" s="85">
        <f t="shared" si="30"/>
        <v>15162.861476412805</v>
      </c>
      <c r="AY42" s="85">
        <f t="shared" si="30"/>
        <v>16029.236680126531</v>
      </c>
      <c r="AZ42" s="85">
        <f t="shared" si="30"/>
        <v>16566.329622725651</v>
      </c>
      <c r="BA42" s="85">
        <f t="shared" si="30"/>
        <v>17492.88813565173</v>
      </c>
      <c r="BB42" s="85">
        <f t="shared" si="30"/>
        <v>18082.931157767754</v>
      </c>
      <c r="BC42" s="85">
        <f t="shared" si="30"/>
        <v>0</v>
      </c>
      <c r="BD42" s="85">
        <f t="shared" si="30"/>
        <v>0</v>
      </c>
      <c r="BE42" s="85">
        <f t="shared" si="30"/>
        <v>0</v>
      </c>
      <c r="BF42" s="85">
        <f t="shared" si="30"/>
        <v>0</v>
      </c>
      <c r="BG42" s="85">
        <f t="shared" si="30"/>
        <v>0</v>
      </c>
      <c r="BH42" s="85">
        <f t="shared" si="30"/>
        <v>0</v>
      </c>
      <c r="BI42" s="85">
        <f t="shared" si="30"/>
        <v>0</v>
      </c>
      <c r="BJ42" s="85">
        <f t="shared" si="30"/>
        <v>0</v>
      </c>
      <c r="BK42" s="85">
        <f t="shared" si="30"/>
        <v>0</v>
      </c>
      <c r="BL42" s="85">
        <f t="shared" si="30"/>
        <v>0</v>
      </c>
      <c r="BM42" s="85">
        <f t="shared" si="30"/>
        <v>0</v>
      </c>
      <c r="BN42" s="85">
        <f t="shared" si="30"/>
        <v>0</v>
      </c>
      <c r="BO42" s="85">
        <f t="shared" si="30"/>
        <v>0</v>
      </c>
      <c r="BP42" s="85">
        <f t="shared" si="30"/>
        <v>0</v>
      </c>
      <c r="BQ42" s="85">
        <f t="shared" si="30"/>
        <v>0</v>
      </c>
      <c r="BR42" s="85">
        <f t="shared" si="30"/>
        <v>0</v>
      </c>
      <c r="BS42" s="85">
        <f t="shared" si="30"/>
        <v>0</v>
      </c>
      <c r="BT42" s="85">
        <f t="shared" si="30"/>
        <v>0</v>
      </c>
      <c r="BU42" s="85">
        <f t="shared" si="30"/>
        <v>0</v>
      </c>
      <c r="BV42" s="85">
        <f t="shared" si="30"/>
        <v>0</v>
      </c>
      <c r="BW42" s="85">
        <f t="shared" ref="BW42:CA42" si="31" xml:space="preserve"> BW40 - BW41</f>
        <v>0</v>
      </c>
      <c r="BX42" s="85">
        <f t="shared" si="31"/>
        <v>0</v>
      </c>
      <c r="BY42" s="85">
        <f t="shared" si="31"/>
        <v>0</v>
      </c>
      <c r="BZ42" s="85">
        <f t="shared" si="31"/>
        <v>0</v>
      </c>
      <c r="CA42" s="85">
        <f t="shared" si="31"/>
        <v>0</v>
      </c>
    </row>
    <row r="44" spans="1:79" s="118" customFormat="1" x14ac:dyDescent="0.2">
      <c r="A44" s="115"/>
      <c r="B44" s="115"/>
      <c r="C44" s="116"/>
      <c r="D44" s="117"/>
      <c r="E44" s="197" t="str">
        <f>ConFin!E$84</f>
        <v>Construction debt converted to term total</v>
      </c>
      <c r="F44" s="197">
        <f>ConFin!F$84</f>
        <v>322723.95574629982</v>
      </c>
      <c r="G44" s="197" t="str">
        <f>ConFin!G$84</f>
        <v>€ 000s</v>
      </c>
    </row>
    <row r="45" spans="1:79" x14ac:dyDescent="0.2">
      <c r="E45" s="85" t="str">
        <f xml:space="preserve"> E$42</f>
        <v>Target principal repayment</v>
      </c>
      <c r="F45" s="85">
        <f t="shared" ref="F45:BQ45" si="32" xml:space="preserve"> F$42</f>
        <v>0</v>
      </c>
      <c r="G45" s="85">
        <f t="shared" si="32"/>
        <v>0</v>
      </c>
      <c r="H45" s="85">
        <f t="shared" si="32"/>
        <v>322725.35158056568</v>
      </c>
      <c r="I45" s="85">
        <f t="shared" si="32"/>
        <v>0</v>
      </c>
      <c r="J45" s="85">
        <f t="shared" si="32"/>
        <v>0</v>
      </c>
      <c r="K45" s="85">
        <f t="shared" si="32"/>
        <v>0</v>
      </c>
      <c r="L45" s="85">
        <f t="shared" si="32"/>
        <v>0</v>
      </c>
      <c r="M45" s="85">
        <f t="shared" si="32"/>
        <v>0</v>
      </c>
      <c r="N45" s="85">
        <f t="shared" si="32"/>
        <v>0</v>
      </c>
      <c r="O45" s="85">
        <f t="shared" si="32"/>
        <v>3035.5800875847726</v>
      </c>
      <c r="P45" s="85">
        <f t="shared" si="32"/>
        <v>3257.9086346152453</v>
      </c>
      <c r="Q45" s="85">
        <f t="shared" si="32"/>
        <v>3615.5157918392433</v>
      </c>
      <c r="R45" s="85">
        <f t="shared" si="32"/>
        <v>2620.992228680936</v>
      </c>
      <c r="S45" s="85">
        <f t="shared" si="32"/>
        <v>2854.5779980673633</v>
      </c>
      <c r="T45" s="85">
        <f t="shared" si="32"/>
        <v>2657.0148985638662</v>
      </c>
      <c r="U45" s="85">
        <f t="shared" si="32"/>
        <v>2857.4531166330089</v>
      </c>
      <c r="V45" s="85">
        <f t="shared" si="32"/>
        <v>2870.6652892769071</v>
      </c>
      <c r="W45" s="85">
        <f t="shared" si="32"/>
        <v>3074.8927901709721</v>
      </c>
      <c r="X45" s="85">
        <f t="shared" si="32"/>
        <v>3416.5405631868944</v>
      </c>
      <c r="Y45" s="85">
        <f t="shared" si="32"/>
        <v>4211.7764041418723</v>
      </c>
      <c r="Z45" s="85">
        <f t="shared" si="32"/>
        <v>4213.4724380101597</v>
      </c>
      <c r="AA45" s="85">
        <f t="shared" si="32"/>
        <v>4473.5367991060029</v>
      </c>
      <c r="AB45" s="85">
        <f t="shared" si="32"/>
        <v>4584.9601798250005</v>
      </c>
      <c r="AC45" s="85">
        <f t="shared" si="32"/>
        <v>4875.6992733035513</v>
      </c>
      <c r="AD45" s="85">
        <f t="shared" si="32"/>
        <v>5353.6586163015327</v>
      </c>
      <c r="AE45" s="85">
        <f t="shared" si="32"/>
        <v>5710.5317541453078</v>
      </c>
      <c r="AF45" s="85">
        <f t="shared" si="32"/>
        <v>5876.3960767930566</v>
      </c>
      <c r="AG45" s="85">
        <f t="shared" si="32"/>
        <v>6267.9768934196181</v>
      </c>
      <c r="AH45" s="85">
        <f t="shared" si="32"/>
        <v>6464.1127674817271</v>
      </c>
      <c r="AI45" s="85">
        <f t="shared" si="32"/>
        <v>7364.0067376342759</v>
      </c>
      <c r="AJ45" s="85">
        <f t="shared" si="32"/>
        <v>7594.1504182655517</v>
      </c>
      <c r="AK45" s="85">
        <f t="shared" si="32"/>
        <v>8061.7522994685678</v>
      </c>
      <c r="AL45" s="85">
        <f t="shared" si="32"/>
        <v>8324.0877109721278</v>
      </c>
      <c r="AM45" s="85">
        <f t="shared" si="32"/>
        <v>8830.2380657282938</v>
      </c>
      <c r="AN45" s="85">
        <f t="shared" si="32"/>
        <v>9380.901877972432</v>
      </c>
      <c r="AO45" s="85">
        <f t="shared" si="32"/>
        <v>9959.8510228407977</v>
      </c>
      <c r="AP45" s="85">
        <f t="shared" si="32"/>
        <v>10283.982335302248</v>
      </c>
      <c r="AQ45" s="85">
        <f t="shared" si="32"/>
        <v>10906.947320197061</v>
      </c>
      <c r="AR45" s="85">
        <f t="shared" si="32"/>
        <v>11269.389721027794</v>
      </c>
      <c r="AS45" s="85">
        <f t="shared" si="32"/>
        <v>11938.707237901937</v>
      </c>
      <c r="AT45" s="85">
        <f t="shared" si="32"/>
        <v>12341.652234625482</v>
      </c>
      <c r="AU45" s="85">
        <f t="shared" si="32"/>
        <v>13059.934035456849</v>
      </c>
      <c r="AV45" s="85">
        <f t="shared" si="32"/>
        <v>13506.056591509485</v>
      </c>
      <c r="AW45" s="85">
        <f t="shared" si="32"/>
        <v>14276.184297831249</v>
      </c>
      <c r="AX45" s="85">
        <f t="shared" si="32"/>
        <v>15162.861476412805</v>
      </c>
      <c r="AY45" s="85">
        <f t="shared" si="32"/>
        <v>16029.236680126531</v>
      </c>
      <c r="AZ45" s="85">
        <f t="shared" si="32"/>
        <v>16566.329622725651</v>
      </c>
      <c r="BA45" s="85">
        <f t="shared" si="32"/>
        <v>17492.88813565173</v>
      </c>
      <c r="BB45" s="85">
        <f t="shared" si="32"/>
        <v>18082.931157767754</v>
      </c>
      <c r="BC45" s="85">
        <f t="shared" si="32"/>
        <v>0</v>
      </c>
      <c r="BD45" s="85">
        <f t="shared" si="32"/>
        <v>0</v>
      </c>
      <c r="BE45" s="85">
        <f t="shared" si="32"/>
        <v>0</v>
      </c>
      <c r="BF45" s="85">
        <f t="shared" si="32"/>
        <v>0</v>
      </c>
      <c r="BG45" s="85">
        <f t="shared" si="32"/>
        <v>0</v>
      </c>
      <c r="BH45" s="85">
        <f t="shared" si="32"/>
        <v>0</v>
      </c>
      <c r="BI45" s="85">
        <f t="shared" si="32"/>
        <v>0</v>
      </c>
      <c r="BJ45" s="85">
        <f t="shared" si="32"/>
        <v>0</v>
      </c>
      <c r="BK45" s="85">
        <f t="shared" si="32"/>
        <v>0</v>
      </c>
      <c r="BL45" s="85">
        <f t="shared" si="32"/>
        <v>0</v>
      </c>
      <c r="BM45" s="85">
        <f t="shared" si="32"/>
        <v>0</v>
      </c>
      <c r="BN45" s="85">
        <f t="shared" si="32"/>
        <v>0</v>
      </c>
      <c r="BO45" s="85">
        <f t="shared" si="32"/>
        <v>0</v>
      </c>
      <c r="BP45" s="85">
        <f t="shared" si="32"/>
        <v>0</v>
      </c>
      <c r="BQ45" s="85">
        <f t="shared" si="32"/>
        <v>0</v>
      </c>
      <c r="BR45" s="85">
        <f t="shared" ref="BR45:CA45" si="33" xml:space="preserve"> BR$42</f>
        <v>0</v>
      </c>
      <c r="BS45" s="85">
        <f t="shared" si="33"/>
        <v>0</v>
      </c>
      <c r="BT45" s="85">
        <f t="shared" si="33"/>
        <v>0</v>
      </c>
      <c r="BU45" s="85">
        <f t="shared" si="33"/>
        <v>0</v>
      </c>
      <c r="BV45" s="85">
        <f t="shared" si="33"/>
        <v>0</v>
      </c>
      <c r="BW45" s="85">
        <f t="shared" si="33"/>
        <v>0</v>
      </c>
      <c r="BX45" s="85">
        <f t="shared" si="33"/>
        <v>0</v>
      </c>
      <c r="BY45" s="85">
        <f t="shared" si="33"/>
        <v>0</v>
      </c>
      <c r="BZ45" s="85">
        <f t="shared" si="33"/>
        <v>0</v>
      </c>
      <c r="CA45" s="85">
        <f t="shared" si="33"/>
        <v>0</v>
      </c>
    </row>
    <row r="46" spans="1:79" s="272" customFormat="1" x14ac:dyDescent="0.2">
      <c r="A46" s="252"/>
      <c r="B46" s="97"/>
      <c r="C46" s="98"/>
      <c r="D46" s="271"/>
      <c r="E46" s="272" t="s">
        <v>309</v>
      </c>
      <c r="H46" s="383">
        <f>SUM(J46:CA46)</f>
        <v>1.0000043251647142</v>
      </c>
      <c r="J46" s="272">
        <f xml:space="preserve"> J45 / $F44</f>
        <v>0</v>
      </c>
      <c r="K46" s="272">
        <f t="shared" ref="K46:BV46" si="34" xml:space="preserve"> K45 / $F44</f>
        <v>0</v>
      </c>
      <c r="L46" s="272">
        <f t="shared" si="34"/>
        <v>0</v>
      </c>
      <c r="M46" s="272">
        <f t="shared" si="34"/>
        <v>0</v>
      </c>
      <c r="N46" s="272">
        <f t="shared" si="34"/>
        <v>0</v>
      </c>
      <c r="O46" s="272">
        <f t="shared" si="34"/>
        <v>9.4061194824071465E-3</v>
      </c>
      <c r="P46" s="272">
        <f t="shared" si="34"/>
        <v>1.0095031920023801E-2</v>
      </c>
      <c r="Q46" s="272">
        <f t="shared" si="34"/>
        <v>1.1203121824279686E-2</v>
      </c>
      <c r="R46" s="272">
        <f t="shared" si="34"/>
        <v>8.1214678427570901E-3</v>
      </c>
      <c r="S46" s="272">
        <f t="shared" si="34"/>
        <v>8.8452621729494668E-3</v>
      </c>
      <c r="T46" s="272">
        <f t="shared" si="34"/>
        <v>8.2330885304734008E-3</v>
      </c>
      <c r="U46" s="272">
        <f t="shared" si="34"/>
        <v>8.8541710826056975E-3</v>
      </c>
      <c r="V46" s="272">
        <f t="shared" si="34"/>
        <v>8.8951106298833238E-3</v>
      </c>
      <c r="W46" s="272">
        <f t="shared" si="34"/>
        <v>9.5279347424342149E-3</v>
      </c>
      <c r="X46" s="272">
        <f t="shared" si="34"/>
        <v>1.0586572525383612E-2</v>
      </c>
      <c r="Y46" s="272">
        <f t="shared" si="34"/>
        <v>1.3050708908181701E-2</v>
      </c>
      <c r="Z46" s="272">
        <f t="shared" si="34"/>
        <v>1.305596427840783E-2</v>
      </c>
      <c r="AA46" s="272">
        <f t="shared" si="34"/>
        <v>1.3861805792386685E-2</v>
      </c>
      <c r="AB46" s="272">
        <f t="shared" si="34"/>
        <v>1.4207064886838879E-2</v>
      </c>
      <c r="AC46" s="272">
        <f t="shared" si="34"/>
        <v>1.5107955844270955E-2</v>
      </c>
      <c r="AD46" s="272">
        <f t="shared" si="34"/>
        <v>1.6588971847228341E-2</v>
      </c>
      <c r="AE46" s="272">
        <f t="shared" si="34"/>
        <v>1.7694787301858927E-2</v>
      </c>
      <c r="AF46" s="272">
        <f t="shared" si="34"/>
        <v>1.8208738372718192E-2</v>
      </c>
      <c r="AG46" s="272">
        <f t="shared" si="34"/>
        <v>1.9422099852875529E-2</v>
      </c>
      <c r="AH46" s="272">
        <f t="shared" si="34"/>
        <v>2.0029851061206326E-2</v>
      </c>
      <c r="AI46" s="272">
        <f t="shared" si="34"/>
        <v>2.2818283571806732E-2</v>
      </c>
      <c r="AJ46" s="272">
        <f t="shared" si="34"/>
        <v>2.3531412165248355E-2</v>
      </c>
      <c r="AK46" s="272">
        <f t="shared" si="34"/>
        <v>2.4980334294755865E-2</v>
      </c>
      <c r="AL46" s="272">
        <f t="shared" si="34"/>
        <v>2.57932129386635E-2</v>
      </c>
      <c r="AM46" s="272">
        <f t="shared" si="34"/>
        <v>2.7361582270235718E-2</v>
      </c>
      <c r="AN46" s="272">
        <f t="shared" si="34"/>
        <v>2.9067882042654928E-2</v>
      </c>
      <c r="AO46" s="272">
        <f t="shared" si="34"/>
        <v>3.0861827408531297E-2</v>
      </c>
      <c r="AP46" s="272">
        <f t="shared" si="34"/>
        <v>3.1866188276976577E-2</v>
      </c>
      <c r="AQ46" s="272">
        <f t="shared" si="34"/>
        <v>3.3796522154590981E-2</v>
      </c>
      <c r="AR46" s="272">
        <f t="shared" si="34"/>
        <v>3.4919594657816175E-2</v>
      </c>
      <c r="AS46" s="272">
        <f t="shared" si="34"/>
        <v>3.6993557575525041E-2</v>
      </c>
      <c r="AT46" s="272">
        <f t="shared" si="34"/>
        <v>3.8242132370016925E-2</v>
      </c>
      <c r="AU46" s="272">
        <f t="shared" si="34"/>
        <v>4.0467817163605729E-2</v>
      </c>
      <c r="AV46" s="272">
        <f t="shared" si="34"/>
        <v>4.185018295365369E-2</v>
      </c>
      <c r="AW46" s="272">
        <f t="shared" si="34"/>
        <v>4.4236518683025999E-2</v>
      </c>
      <c r="AX46" s="272">
        <f t="shared" si="34"/>
        <v>4.6983997334033217E-2</v>
      </c>
      <c r="AY46" s="272">
        <f t="shared" si="34"/>
        <v>4.9668567810712681E-2</v>
      </c>
      <c r="AZ46" s="272">
        <f t="shared" si="34"/>
        <v>5.1332816568934209E-2</v>
      </c>
      <c r="BA46" s="272">
        <f t="shared" si="34"/>
        <v>5.4203872455639034E-2</v>
      </c>
      <c r="BB46" s="272">
        <f t="shared" si="34"/>
        <v>5.6032193569116796E-2</v>
      </c>
      <c r="BC46" s="272">
        <f t="shared" si="34"/>
        <v>0</v>
      </c>
      <c r="BD46" s="272">
        <f t="shared" si="34"/>
        <v>0</v>
      </c>
      <c r="BE46" s="272">
        <f t="shared" si="34"/>
        <v>0</v>
      </c>
      <c r="BF46" s="272">
        <f t="shared" si="34"/>
        <v>0</v>
      </c>
      <c r="BG46" s="272">
        <f t="shared" si="34"/>
        <v>0</v>
      </c>
      <c r="BH46" s="272">
        <f t="shared" si="34"/>
        <v>0</v>
      </c>
      <c r="BI46" s="272">
        <f t="shared" si="34"/>
        <v>0</v>
      </c>
      <c r="BJ46" s="272">
        <f t="shared" si="34"/>
        <v>0</v>
      </c>
      <c r="BK46" s="272">
        <f t="shared" si="34"/>
        <v>0</v>
      </c>
      <c r="BL46" s="272">
        <f t="shared" si="34"/>
        <v>0</v>
      </c>
      <c r="BM46" s="272">
        <f t="shared" si="34"/>
        <v>0</v>
      </c>
      <c r="BN46" s="272">
        <f t="shared" si="34"/>
        <v>0</v>
      </c>
      <c r="BO46" s="272">
        <f t="shared" si="34"/>
        <v>0</v>
      </c>
      <c r="BP46" s="272">
        <f t="shared" si="34"/>
        <v>0</v>
      </c>
      <c r="BQ46" s="272">
        <f t="shared" si="34"/>
        <v>0</v>
      </c>
      <c r="BR46" s="272">
        <f t="shared" si="34"/>
        <v>0</v>
      </c>
      <c r="BS46" s="272">
        <f t="shared" si="34"/>
        <v>0</v>
      </c>
      <c r="BT46" s="272">
        <f t="shared" si="34"/>
        <v>0</v>
      </c>
      <c r="BU46" s="272">
        <f t="shared" si="34"/>
        <v>0</v>
      </c>
      <c r="BV46" s="272">
        <f t="shared" si="34"/>
        <v>0</v>
      </c>
      <c r="BW46" s="272">
        <f t="shared" ref="BW46:CA46" si="35" xml:space="preserve"> BW45 / $F44</f>
        <v>0</v>
      </c>
      <c r="BX46" s="272">
        <f t="shared" si="35"/>
        <v>0</v>
      </c>
      <c r="BY46" s="272">
        <f t="shared" si="35"/>
        <v>0</v>
      </c>
      <c r="BZ46" s="272">
        <f t="shared" si="35"/>
        <v>0</v>
      </c>
      <c r="CA46" s="272">
        <f t="shared" si="35"/>
        <v>0</v>
      </c>
    </row>
    <row r="47" spans="1:79" s="272" customFormat="1" x14ac:dyDescent="0.2">
      <c r="A47" s="252"/>
      <c r="B47" s="97"/>
      <c r="C47" s="98"/>
      <c r="D47" s="271"/>
      <c r="E47" s="272" t="s">
        <v>312</v>
      </c>
      <c r="F47" s="160">
        <f xml:space="preserve"> 10 ^ 8 * ( SUM(J46:CA46) - 1)</f>
        <v>432.51647141584471</v>
      </c>
      <c r="G47" s="272" t="s">
        <v>313</v>
      </c>
    </row>
    <row r="49" spans="1:79" s="268" customFormat="1" x14ac:dyDescent="0.2">
      <c r="A49" s="148"/>
      <c r="B49" s="148"/>
      <c r="C49" s="149"/>
      <c r="D49" s="267"/>
      <c r="E49" s="268" t="s">
        <v>315</v>
      </c>
      <c r="BB49" s="268">
        <v>1</v>
      </c>
    </row>
    <row r="50" spans="1:79" s="383" customFormat="1" x14ac:dyDescent="0.2">
      <c r="A50" s="386"/>
      <c r="B50" s="387"/>
      <c r="C50" s="388"/>
      <c r="D50" s="389"/>
      <c r="E50" s="383" t="str">
        <f xml:space="preserve"> E$46</f>
        <v>Sculpted repayment profile LIVE</v>
      </c>
      <c r="F50" s="383">
        <f t="shared" ref="F50:BQ50" si="36" xml:space="preserve"> F$46</f>
        <v>0</v>
      </c>
      <c r="G50" s="383">
        <f t="shared" si="36"/>
        <v>0</v>
      </c>
      <c r="H50" s="383">
        <f t="shared" si="36"/>
        <v>1.0000043251647142</v>
      </c>
      <c r="I50" s="383">
        <f t="shared" si="36"/>
        <v>0</v>
      </c>
      <c r="J50" s="383">
        <f t="shared" si="36"/>
        <v>0</v>
      </c>
      <c r="K50" s="383">
        <f t="shared" si="36"/>
        <v>0</v>
      </c>
      <c r="L50" s="383">
        <f t="shared" si="36"/>
        <v>0</v>
      </c>
      <c r="M50" s="383">
        <f t="shared" si="36"/>
        <v>0</v>
      </c>
      <c r="N50" s="383">
        <f t="shared" si="36"/>
        <v>0</v>
      </c>
      <c r="O50" s="383">
        <f t="shared" si="36"/>
        <v>9.4061194824071465E-3</v>
      </c>
      <c r="P50" s="383">
        <f t="shared" si="36"/>
        <v>1.0095031920023801E-2</v>
      </c>
      <c r="Q50" s="383">
        <f t="shared" si="36"/>
        <v>1.1203121824279686E-2</v>
      </c>
      <c r="R50" s="383">
        <f t="shared" si="36"/>
        <v>8.1214678427570901E-3</v>
      </c>
      <c r="S50" s="383">
        <f t="shared" si="36"/>
        <v>8.8452621729494668E-3</v>
      </c>
      <c r="T50" s="383">
        <f t="shared" si="36"/>
        <v>8.2330885304734008E-3</v>
      </c>
      <c r="U50" s="383">
        <f t="shared" si="36"/>
        <v>8.8541710826056975E-3</v>
      </c>
      <c r="V50" s="383">
        <f t="shared" si="36"/>
        <v>8.8951106298833238E-3</v>
      </c>
      <c r="W50" s="383">
        <f t="shared" si="36"/>
        <v>9.5279347424342149E-3</v>
      </c>
      <c r="X50" s="383">
        <f t="shared" si="36"/>
        <v>1.0586572525383612E-2</v>
      </c>
      <c r="Y50" s="383">
        <f t="shared" si="36"/>
        <v>1.3050708908181701E-2</v>
      </c>
      <c r="Z50" s="383">
        <f t="shared" si="36"/>
        <v>1.305596427840783E-2</v>
      </c>
      <c r="AA50" s="383">
        <f t="shared" si="36"/>
        <v>1.3861805792386685E-2</v>
      </c>
      <c r="AB50" s="383">
        <f t="shared" si="36"/>
        <v>1.4207064886838879E-2</v>
      </c>
      <c r="AC50" s="383">
        <f t="shared" si="36"/>
        <v>1.5107955844270955E-2</v>
      </c>
      <c r="AD50" s="383">
        <f t="shared" si="36"/>
        <v>1.6588971847228341E-2</v>
      </c>
      <c r="AE50" s="383">
        <f t="shared" si="36"/>
        <v>1.7694787301858927E-2</v>
      </c>
      <c r="AF50" s="383">
        <f t="shared" si="36"/>
        <v>1.8208738372718192E-2</v>
      </c>
      <c r="AG50" s="383">
        <f t="shared" si="36"/>
        <v>1.9422099852875529E-2</v>
      </c>
      <c r="AH50" s="383">
        <f t="shared" si="36"/>
        <v>2.0029851061206326E-2</v>
      </c>
      <c r="AI50" s="383">
        <f t="shared" si="36"/>
        <v>2.2818283571806732E-2</v>
      </c>
      <c r="AJ50" s="383">
        <f t="shared" si="36"/>
        <v>2.3531412165248355E-2</v>
      </c>
      <c r="AK50" s="383">
        <f t="shared" si="36"/>
        <v>2.4980334294755865E-2</v>
      </c>
      <c r="AL50" s="383">
        <f t="shared" si="36"/>
        <v>2.57932129386635E-2</v>
      </c>
      <c r="AM50" s="383">
        <f t="shared" si="36"/>
        <v>2.7361582270235718E-2</v>
      </c>
      <c r="AN50" s="383">
        <f t="shared" si="36"/>
        <v>2.9067882042654928E-2</v>
      </c>
      <c r="AO50" s="383">
        <f t="shared" si="36"/>
        <v>3.0861827408531297E-2</v>
      </c>
      <c r="AP50" s="383">
        <f t="shared" si="36"/>
        <v>3.1866188276976577E-2</v>
      </c>
      <c r="AQ50" s="383">
        <f t="shared" si="36"/>
        <v>3.3796522154590981E-2</v>
      </c>
      <c r="AR50" s="383">
        <f t="shared" si="36"/>
        <v>3.4919594657816175E-2</v>
      </c>
      <c r="AS50" s="383">
        <f t="shared" si="36"/>
        <v>3.6993557575525041E-2</v>
      </c>
      <c r="AT50" s="383">
        <f t="shared" si="36"/>
        <v>3.8242132370016925E-2</v>
      </c>
      <c r="AU50" s="383">
        <f t="shared" si="36"/>
        <v>4.0467817163605729E-2</v>
      </c>
      <c r="AV50" s="383">
        <f t="shared" si="36"/>
        <v>4.185018295365369E-2</v>
      </c>
      <c r="AW50" s="383">
        <f t="shared" si="36"/>
        <v>4.4236518683025999E-2</v>
      </c>
      <c r="AX50" s="383">
        <f t="shared" si="36"/>
        <v>4.6983997334033217E-2</v>
      </c>
      <c r="AY50" s="383">
        <f t="shared" si="36"/>
        <v>4.9668567810712681E-2</v>
      </c>
      <c r="AZ50" s="383">
        <f t="shared" si="36"/>
        <v>5.1332816568934209E-2</v>
      </c>
      <c r="BA50" s="383">
        <f t="shared" si="36"/>
        <v>5.4203872455639034E-2</v>
      </c>
      <c r="BB50" s="383">
        <f t="shared" si="36"/>
        <v>5.6032193569116796E-2</v>
      </c>
      <c r="BC50" s="383">
        <f t="shared" si="36"/>
        <v>0</v>
      </c>
      <c r="BD50" s="383">
        <f t="shared" si="36"/>
        <v>0</v>
      </c>
      <c r="BE50" s="383">
        <f t="shared" si="36"/>
        <v>0</v>
      </c>
      <c r="BF50" s="383">
        <f t="shared" si="36"/>
        <v>0</v>
      </c>
      <c r="BG50" s="383">
        <f t="shared" si="36"/>
        <v>0</v>
      </c>
      <c r="BH50" s="383">
        <f t="shared" si="36"/>
        <v>0</v>
      </c>
      <c r="BI50" s="383">
        <f t="shared" si="36"/>
        <v>0</v>
      </c>
      <c r="BJ50" s="383">
        <f t="shared" si="36"/>
        <v>0</v>
      </c>
      <c r="BK50" s="383">
        <f t="shared" si="36"/>
        <v>0</v>
      </c>
      <c r="BL50" s="383">
        <f t="shared" si="36"/>
        <v>0</v>
      </c>
      <c r="BM50" s="383">
        <f t="shared" si="36"/>
        <v>0</v>
      </c>
      <c r="BN50" s="383">
        <f t="shared" si="36"/>
        <v>0</v>
      </c>
      <c r="BO50" s="383">
        <f t="shared" si="36"/>
        <v>0</v>
      </c>
      <c r="BP50" s="383">
        <f t="shared" si="36"/>
        <v>0</v>
      </c>
      <c r="BQ50" s="383">
        <f t="shared" si="36"/>
        <v>0</v>
      </c>
      <c r="BR50" s="383">
        <f t="shared" ref="BR50:CA50" si="37" xml:space="preserve"> BR$46</f>
        <v>0</v>
      </c>
      <c r="BS50" s="383">
        <f t="shared" si="37"/>
        <v>0</v>
      </c>
      <c r="BT50" s="383">
        <f t="shared" si="37"/>
        <v>0</v>
      </c>
      <c r="BU50" s="383">
        <f t="shared" si="37"/>
        <v>0</v>
      </c>
      <c r="BV50" s="383">
        <f t="shared" si="37"/>
        <v>0</v>
      </c>
      <c r="BW50" s="383">
        <f t="shared" si="37"/>
        <v>0</v>
      </c>
      <c r="BX50" s="383">
        <f t="shared" si="37"/>
        <v>0</v>
      </c>
      <c r="BY50" s="383">
        <f t="shared" si="37"/>
        <v>0</v>
      </c>
      <c r="BZ50" s="383">
        <f t="shared" si="37"/>
        <v>0</v>
      </c>
      <c r="CA50" s="383">
        <f t="shared" si="37"/>
        <v>0</v>
      </c>
    </row>
    <row r="51" spans="1:79" s="383" customFormat="1" x14ac:dyDescent="0.2">
      <c r="A51" s="386"/>
      <c r="B51" s="387"/>
      <c r="C51" s="388"/>
      <c r="D51" s="389"/>
      <c r="E51" s="383" t="s">
        <v>314</v>
      </c>
      <c r="H51" s="383">
        <f>SUM(J51:CA51)</f>
        <v>1.0000100000000001</v>
      </c>
      <c r="J51" s="383">
        <f xml:space="preserve"> ROUND(J50, 5)</f>
        <v>0</v>
      </c>
      <c r="K51" s="383">
        <f t="shared" ref="K51:BV51" si="38" xml:space="preserve"> ROUND(K50, 5)</f>
        <v>0</v>
      </c>
      <c r="L51" s="383">
        <f t="shared" si="38"/>
        <v>0</v>
      </c>
      <c r="M51" s="383">
        <f t="shared" si="38"/>
        <v>0</v>
      </c>
      <c r="N51" s="383">
        <f t="shared" si="38"/>
        <v>0</v>
      </c>
      <c r="O51" s="383">
        <f t="shared" si="38"/>
        <v>9.41E-3</v>
      </c>
      <c r="P51" s="383">
        <f t="shared" si="38"/>
        <v>1.01E-2</v>
      </c>
      <c r="Q51" s="383">
        <f t="shared" si="38"/>
        <v>1.12E-2</v>
      </c>
      <c r="R51" s="383">
        <f t="shared" si="38"/>
        <v>8.1200000000000005E-3</v>
      </c>
      <c r="S51" s="383">
        <f t="shared" si="38"/>
        <v>8.8500000000000002E-3</v>
      </c>
      <c r="T51" s="383">
        <f t="shared" si="38"/>
        <v>8.2299999999999995E-3</v>
      </c>
      <c r="U51" s="383">
        <f t="shared" si="38"/>
        <v>8.8500000000000002E-3</v>
      </c>
      <c r="V51" s="383">
        <f t="shared" si="38"/>
        <v>8.8999999999999999E-3</v>
      </c>
      <c r="W51" s="383">
        <f t="shared" si="38"/>
        <v>9.5300000000000003E-3</v>
      </c>
      <c r="X51" s="383">
        <f t="shared" si="38"/>
        <v>1.059E-2</v>
      </c>
      <c r="Y51" s="383">
        <f t="shared" si="38"/>
        <v>1.3050000000000001E-2</v>
      </c>
      <c r="Z51" s="383">
        <f t="shared" si="38"/>
        <v>1.306E-2</v>
      </c>
      <c r="AA51" s="383">
        <f t="shared" si="38"/>
        <v>1.3860000000000001E-2</v>
      </c>
      <c r="AB51" s="383">
        <f t="shared" si="38"/>
        <v>1.421E-2</v>
      </c>
      <c r="AC51" s="383">
        <f t="shared" si="38"/>
        <v>1.511E-2</v>
      </c>
      <c r="AD51" s="383">
        <f t="shared" si="38"/>
        <v>1.6590000000000001E-2</v>
      </c>
      <c r="AE51" s="383">
        <f t="shared" si="38"/>
        <v>1.7690000000000001E-2</v>
      </c>
      <c r="AF51" s="383">
        <f t="shared" si="38"/>
        <v>1.821E-2</v>
      </c>
      <c r="AG51" s="383">
        <f t="shared" si="38"/>
        <v>1.942E-2</v>
      </c>
      <c r="AH51" s="383">
        <f t="shared" si="38"/>
        <v>2.0029999999999999E-2</v>
      </c>
      <c r="AI51" s="383">
        <f t="shared" si="38"/>
        <v>2.282E-2</v>
      </c>
      <c r="AJ51" s="383">
        <f t="shared" si="38"/>
        <v>2.3529999999999999E-2</v>
      </c>
      <c r="AK51" s="383">
        <f t="shared" si="38"/>
        <v>2.4979999999999999E-2</v>
      </c>
      <c r="AL51" s="383">
        <f t="shared" si="38"/>
        <v>2.579E-2</v>
      </c>
      <c r="AM51" s="383">
        <f t="shared" si="38"/>
        <v>2.7359999999999999E-2</v>
      </c>
      <c r="AN51" s="383">
        <f t="shared" si="38"/>
        <v>2.9069999999999999E-2</v>
      </c>
      <c r="AO51" s="383">
        <f t="shared" si="38"/>
        <v>3.0859999999999999E-2</v>
      </c>
      <c r="AP51" s="383">
        <f t="shared" si="38"/>
        <v>3.1870000000000002E-2</v>
      </c>
      <c r="AQ51" s="383">
        <f t="shared" si="38"/>
        <v>3.3799999999999997E-2</v>
      </c>
      <c r="AR51" s="383">
        <f t="shared" si="38"/>
        <v>3.492E-2</v>
      </c>
      <c r="AS51" s="383">
        <f t="shared" si="38"/>
        <v>3.6990000000000002E-2</v>
      </c>
      <c r="AT51" s="383">
        <f t="shared" si="38"/>
        <v>3.8240000000000003E-2</v>
      </c>
      <c r="AU51" s="383">
        <f t="shared" si="38"/>
        <v>4.0469999999999999E-2</v>
      </c>
      <c r="AV51" s="383">
        <f t="shared" si="38"/>
        <v>4.1849999999999998E-2</v>
      </c>
      <c r="AW51" s="383">
        <f t="shared" si="38"/>
        <v>4.4240000000000002E-2</v>
      </c>
      <c r="AX51" s="383">
        <f t="shared" si="38"/>
        <v>4.6980000000000001E-2</v>
      </c>
      <c r="AY51" s="383">
        <f t="shared" si="38"/>
        <v>4.9669999999999999E-2</v>
      </c>
      <c r="AZ51" s="383">
        <f t="shared" si="38"/>
        <v>5.1330000000000001E-2</v>
      </c>
      <c r="BA51" s="383">
        <f t="shared" si="38"/>
        <v>5.4199999999999998E-2</v>
      </c>
      <c r="BB51" s="383">
        <f t="shared" si="38"/>
        <v>5.6030000000000003E-2</v>
      </c>
      <c r="BC51" s="383">
        <f t="shared" si="38"/>
        <v>0</v>
      </c>
      <c r="BD51" s="383">
        <f t="shared" si="38"/>
        <v>0</v>
      </c>
      <c r="BE51" s="383">
        <f t="shared" si="38"/>
        <v>0</v>
      </c>
      <c r="BF51" s="383">
        <f t="shared" si="38"/>
        <v>0</v>
      </c>
      <c r="BG51" s="383">
        <f t="shared" si="38"/>
        <v>0</v>
      </c>
      <c r="BH51" s="383">
        <f t="shared" si="38"/>
        <v>0</v>
      </c>
      <c r="BI51" s="383">
        <f t="shared" si="38"/>
        <v>0</v>
      </c>
      <c r="BJ51" s="383">
        <f t="shared" si="38"/>
        <v>0</v>
      </c>
      <c r="BK51" s="383">
        <f t="shared" si="38"/>
        <v>0</v>
      </c>
      <c r="BL51" s="383">
        <f t="shared" si="38"/>
        <v>0</v>
      </c>
      <c r="BM51" s="383">
        <f t="shared" si="38"/>
        <v>0</v>
      </c>
      <c r="BN51" s="383">
        <f t="shared" si="38"/>
        <v>0</v>
      </c>
      <c r="BO51" s="383">
        <f t="shared" si="38"/>
        <v>0</v>
      </c>
      <c r="BP51" s="383">
        <f t="shared" si="38"/>
        <v>0</v>
      </c>
      <c r="BQ51" s="383">
        <f t="shared" si="38"/>
        <v>0</v>
      </c>
      <c r="BR51" s="383">
        <f t="shared" si="38"/>
        <v>0</v>
      </c>
      <c r="BS51" s="383">
        <f t="shared" si="38"/>
        <v>0</v>
      </c>
      <c r="BT51" s="383">
        <f t="shared" si="38"/>
        <v>0</v>
      </c>
      <c r="BU51" s="383">
        <f t="shared" si="38"/>
        <v>0</v>
      </c>
      <c r="BV51" s="383">
        <f t="shared" si="38"/>
        <v>0</v>
      </c>
      <c r="BW51" s="383">
        <f t="shared" ref="BW51:CA51" si="39" xml:space="preserve"> ROUND(BW50, 5)</f>
        <v>0</v>
      </c>
      <c r="BX51" s="383">
        <f t="shared" si="39"/>
        <v>0</v>
      </c>
      <c r="BY51" s="383">
        <f t="shared" si="39"/>
        <v>0</v>
      </c>
      <c r="BZ51" s="383">
        <f t="shared" si="39"/>
        <v>0</v>
      </c>
      <c r="CA51" s="383">
        <f t="shared" si="39"/>
        <v>0</v>
      </c>
    </row>
    <row r="52" spans="1:79" s="394" customFormat="1" x14ac:dyDescent="0.2">
      <c r="A52" s="390"/>
      <c r="B52" s="391"/>
      <c r="C52" s="392"/>
      <c r="D52" s="393"/>
      <c r="E52" s="394" t="s">
        <v>316</v>
      </c>
      <c r="H52" s="394">
        <f>SUM(J52:CA52)</f>
        <v>1</v>
      </c>
      <c r="J52" s="394">
        <f xml:space="preserve"> IF(J49 = 1, 100% - SUM($I52:I52), J51)</f>
        <v>0</v>
      </c>
      <c r="K52" s="394">
        <f xml:space="preserve"> IF(K49 = 1, 100% - SUM($I52:J52), K51)</f>
        <v>0</v>
      </c>
      <c r="L52" s="394">
        <f xml:space="preserve"> IF(L49 = 1, 100% - SUM($I52:K52), L51)</f>
        <v>0</v>
      </c>
      <c r="M52" s="394">
        <f xml:space="preserve"> IF(M49 = 1, 100% - SUM($I52:L52), M51)</f>
        <v>0</v>
      </c>
      <c r="N52" s="394">
        <f xml:space="preserve"> IF(N49 = 1, 100% - SUM($I52:M52), N51)</f>
        <v>0</v>
      </c>
      <c r="O52" s="394">
        <f xml:space="preserve"> IF(O49 = 1, 100% - SUM($I52:N52), O51)</f>
        <v>9.41E-3</v>
      </c>
      <c r="P52" s="394">
        <f xml:space="preserve"> IF(P49 = 1, 100% - SUM($I52:O52), P51)</f>
        <v>1.01E-2</v>
      </c>
      <c r="Q52" s="394">
        <f xml:space="preserve"> IF(Q49 = 1, 100% - SUM($I52:P52), Q51)</f>
        <v>1.12E-2</v>
      </c>
      <c r="R52" s="394">
        <f xml:space="preserve"> IF(R49 = 1, 100% - SUM($I52:Q52), R51)</f>
        <v>8.1200000000000005E-3</v>
      </c>
      <c r="S52" s="394">
        <f xml:space="preserve"> IF(S49 = 1, 100% - SUM($I52:R52), S51)</f>
        <v>8.8500000000000002E-3</v>
      </c>
      <c r="T52" s="394">
        <f xml:space="preserve"> IF(T49 = 1, 100% - SUM($I52:S52), T51)</f>
        <v>8.2299999999999995E-3</v>
      </c>
      <c r="U52" s="394">
        <f xml:space="preserve"> IF(U49 = 1, 100% - SUM($I52:T52), U51)</f>
        <v>8.8500000000000002E-3</v>
      </c>
      <c r="V52" s="394">
        <f xml:space="preserve"> IF(V49 = 1, 100% - SUM($I52:U52), V51)</f>
        <v>8.8999999999999999E-3</v>
      </c>
      <c r="W52" s="394">
        <f xml:space="preserve"> IF(W49 = 1, 100% - SUM($I52:V52), W51)</f>
        <v>9.5300000000000003E-3</v>
      </c>
      <c r="X52" s="394">
        <f xml:space="preserve"> IF(X49 = 1, 100% - SUM($I52:W52), X51)</f>
        <v>1.059E-2</v>
      </c>
      <c r="Y52" s="394">
        <f xml:space="preserve"> IF(Y49 = 1, 100% - SUM($I52:X52), Y51)</f>
        <v>1.3050000000000001E-2</v>
      </c>
      <c r="Z52" s="394">
        <f xml:space="preserve"> IF(Z49 = 1, 100% - SUM($I52:Y52), Z51)</f>
        <v>1.306E-2</v>
      </c>
      <c r="AA52" s="394">
        <f xml:space="preserve"> IF(AA49 = 1, 100% - SUM($I52:Z52), AA51)</f>
        <v>1.3860000000000001E-2</v>
      </c>
      <c r="AB52" s="394">
        <f xml:space="preserve"> IF(AB49 = 1, 100% - SUM($I52:AA52), AB51)</f>
        <v>1.421E-2</v>
      </c>
      <c r="AC52" s="394">
        <f xml:space="preserve"> IF(AC49 = 1, 100% - SUM($I52:AB52), AC51)</f>
        <v>1.511E-2</v>
      </c>
      <c r="AD52" s="394">
        <f xml:space="preserve"> IF(AD49 = 1, 100% - SUM($I52:AC52), AD51)</f>
        <v>1.6590000000000001E-2</v>
      </c>
      <c r="AE52" s="394">
        <f xml:space="preserve"> IF(AE49 = 1, 100% - SUM($I52:AD52), AE51)</f>
        <v>1.7690000000000001E-2</v>
      </c>
      <c r="AF52" s="394">
        <f xml:space="preserve"> IF(AF49 = 1, 100% - SUM($I52:AE52), AF51)</f>
        <v>1.821E-2</v>
      </c>
      <c r="AG52" s="394">
        <f xml:space="preserve"> IF(AG49 = 1, 100% - SUM($I52:AF52), AG51)</f>
        <v>1.942E-2</v>
      </c>
      <c r="AH52" s="394">
        <f xml:space="preserve"> IF(AH49 = 1, 100% - SUM($I52:AG52), AH51)</f>
        <v>2.0029999999999999E-2</v>
      </c>
      <c r="AI52" s="394">
        <f xml:space="preserve"> IF(AI49 = 1, 100% - SUM($I52:AH52), AI51)</f>
        <v>2.282E-2</v>
      </c>
      <c r="AJ52" s="394">
        <f xml:space="preserve"> IF(AJ49 = 1, 100% - SUM($I52:AI52), AJ51)</f>
        <v>2.3529999999999999E-2</v>
      </c>
      <c r="AK52" s="394">
        <f xml:space="preserve"> IF(AK49 = 1, 100% - SUM($I52:AJ52), AK51)</f>
        <v>2.4979999999999999E-2</v>
      </c>
      <c r="AL52" s="394">
        <f xml:space="preserve"> IF(AL49 = 1, 100% - SUM($I52:AK52), AL51)</f>
        <v>2.579E-2</v>
      </c>
      <c r="AM52" s="394">
        <f xml:space="preserve"> IF(AM49 = 1, 100% - SUM($I52:AL52), AM51)</f>
        <v>2.7359999999999999E-2</v>
      </c>
      <c r="AN52" s="394">
        <f xml:space="preserve"> IF(AN49 = 1, 100% - SUM($I52:AM52), AN51)</f>
        <v>2.9069999999999999E-2</v>
      </c>
      <c r="AO52" s="394">
        <f xml:space="preserve"> IF(AO49 = 1, 100% - SUM($I52:AN52), AO51)</f>
        <v>3.0859999999999999E-2</v>
      </c>
      <c r="AP52" s="394">
        <f xml:space="preserve"> IF(AP49 = 1, 100% - SUM($I52:AO52), AP51)</f>
        <v>3.1870000000000002E-2</v>
      </c>
      <c r="AQ52" s="394">
        <f xml:space="preserve"> IF(AQ49 = 1, 100% - SUM($I52:AP52), AQ51)</f>
        <v>3.3799999999999997E-2</v>
      </c>
      <c r="AR52" s="394">
        <f xml:space="preserve"> IF(AR49 = 1, 100% - SUM($I52:AQ52), AR51)</f>
        <v>3.492E-2</v>
      </c>
      <c r="AS52" s="394">
        <f xml:space="preserve"> IF(AS49 = 1, 100% - SUM($I52:AR52), AS51)</f>
        <v>3.6990000000000002E-2</v>
      </c>
      <c r="AT52" s="394">
        <f xml:space="preserve"> IF(AT49 = 1, 100% - SUM($I52:AS52), AT51)</f>
        <v>3.8240000000000003E-2</v>
      </c>
      <c r="AU52" s="394">
        <f xml:space="preserve"> IF(AU49 = 1, 100% - SUM($I52:AT52), AU51)</f>
        <v>4.0469999999999999E-2</v>
      </c>
      <c r="AV52" s="394">
        <f xml:space="preserve"> IF(AV49 = 1, 100% - SUM($I52:AU52), AV51)</f>
        <v>4.1849999999999998E-2</v>
      </c>
      <c r="AW52" s="394">
        <f xml:space="preserve"> IF(AW49 = 1, 100% - SUM($I52:AV52), AW51)</f>
        <v>4.4240000000000002E-2</v>
      </c>
      <c r="AX52" s="394">
        <f xml:space="preserve"> IF(AX49 = 1, 100% - SUM($I52:AW52), AX51)</f>
        <v>4.6980000000000001E-2</v>
      </c>
      <c r="AY52" s="394">
        <f xml:space="preserve"> IF(AY49 = 1, 100% - SUM($I52:AX52), AY51)</f>
        <v>4.9669999999999999E-2</v>
      </c>
      <c r="AZ52" s="394">
        <f xml:space="preserve"> IF(AZ49 = 1, 100% - SUM($I52:AY52), AZ51)</f>
        <v>5.1330000000000001E-2</v>
      </c>
      <c r="BA52" s="394">
        <f xml:space="preserve"> IF(BA49 = 1, 100% - SUM($I52:AZ52), BA51)</f>
        <v>5.4199999999999998E-2</v>
      </c>
      <c r="BB52" s="394">
        <f xml:space="preserve"> IF(BB49 = 1, 100% - SUM($I52:BA52), BB51)</f>
        <v>5.6019999999999959E-2</v>
      </c>
      <c r="BC52" s="394">
        <f xml:space="preserve"> IF(BC49 = 1, 100% - SUM($I52:BB52), BC51)</f>
        <v>0</v>
      </c>
      <c r="BD52" s="394">
        <f xml:space="preserve"> IF(BD49 = 1, 100% - SUM($I52:BC52), BD51)</f>
        <v>0</v>
      </c>
      <c r="BE52" s="394">
        <f xml:space="preserve"> IF(BE49 = 1, 100% - SUM($I52:BD52), BE51)</f>
        <v>0</v>
      </c>
      <c r="BF52" s="394">
        <f xml:space="preserve"> IF(BF49 = 1, 100% - SUM($I52:BE52), BF51)</f>
        <v>0</v>
      </c>
      <c r="BG52" s="394">
        <f xml:space="preserve"> IF(BG49 = 1, 100% - SUM($I52:BF52), BG51)</f>
        <v>0</v>
      </c>
      <c r="BH52" s="394">
        <f xml:space="preserve"> IF(BH49 = 1, 100% - SUM($I52:BG52), BH51)</f>
        <v>0</v>
      </c>
      <c r="BI52" s="394">
        <f xml:space="preserve"> IF(BI49 = 1, 100% - SUM($I52:BH52), BI51)</f>
        <v>0</v>
      </c>
      <c r="BJ52" s="394">
        <f xml:space="preserve"> IF(BJ49 = 1, 100% - SUM($I52:BI52), BJ51)</f>
        <v>0</v>
      </c>
      <c r="BK52" s="394">
        <f xml:space="preserve"> IF(BK49 = 1, 100% - SUM($I52:BJ52), BK51)</f>
        <v>0</v>
      </c>
      <c r="BL52" s="394">
        <f xml:space="preserve"> IF(BL49 = 1, 100% - SUM($I52:BK52), BL51)</f>
        <v>0</v>
      </c>
      <c r="BM52" s="394">
        <f xml:space="preserve"> IF(BM49 = 1, 100% - SUM($I52:BL52), BM51)</f>
        <v>0</v>
      </c>
      <c r="BN52" s="394">
        <f xml:space="preserve"> IF(BN49 = 1, 100% - SUM($I52:BM52), BN51)</f>
        <v>0</v>
      </c>
      <c r="BO52" s="394">
        <f xml:space="preserve"> IF(BO49 = 1, 100% - SUM($I52:BN52), BO51)</f>
        <v>0</v>
      </c>
      <c r="BP52" s="394">
        <f xml:space="preserve"> IF(BP49 = 1, 100% - SUM($I52:BO52), BP51)</f>
        <v>0</v>
      </c>
      <c r="BQ52" s="394">
        <f xml:space="preserve"> IF(BQ49 = 1, 100% - SUM($I52:BP52), BQ51)</f>
        <v>0</v>
      </c>
      <c r="BR52" s="394">
        <f xml:space="preserve"> IF(BR49 = 1, 100% - SUM($I52:BQ52), BR51)</f>
        <v>0</v>
      </c>
      <c r="BS52" s="394">
        <f xml:space="preserve"> IF(BS49 = 1, 100% - SUM($I52:BR52), BS51)</f>
        <v>0</v>
      </c>
      <c r="BT52" s="394">
        <f xml:space="preserve"> IF(BT49 = 1, 100% - SUM($I52:BS52), BT51)</f>
        <v>0</v>
      </c>
      <c r="BU52" s="394">
        <f xml:space="preserve"> IF(BU49 = 1, 100% - SUM($I52:BT52), BU51)</f>
        <v>0</v>
      </c>
      <c r="BV52" s="394">
        <f xml:space="preserve"> IF(BV49 = 1, 100% - SUM($I52:BU52), BV51)</f>
        <v>0</v>
      </c>
      <c r="BW52" s="394">
        <f xml:space="preserve"> IF(BW49 = 1, 100% - SUM($I52:BV52), BW51)</f>
        <v>0</v>
      </c>
      <c r="BX52" s="394">
        <f xml:space="preserve"> IF(BX49 = 1, 100% - SUM($I52:BW52), BX51)</f>
        <v>0</v>
      </c>
      <c r="BY52" s="394">
        <f xml:space="preserve"> IF(BY49 = 1, 100% - SUM($I52:BX52), BY51)</f>
        <v>0</v>
      </c>
      <c r="BZ52" s="394">
        <f xml:space="preserve"> IF(BZ49 = 1, 100% - SUM($I52:BY52), BZ51)</f>
        <v>0</v>
      </c>
      <c r="CA52" s="394">
        <f xml:space="preserve"> IF(CA49 = 1, 100% - SUM($I52:BZ52), CA51)</f>
        <v>0</v>
      </c>
    </row>
    <row r="54" spans="1:79" x14ac:dyDescent="0.2">
      <c r="E54" s="85" t="s">
        <v>310</v>
      </c>
      <c r="F54" s="405">
        <v>0</v>
      </c>
      <c r="G54" s="85" t="s">
        <v>311</v>
      </c>
    </row>
    <row r="55" spans="1:79" s="272" customFormat="1" x14ac:dyDescent="0.2">
      <c r="A55" s="252"/>
      <c r="B55" s="97"/>
      <c r="C55" s="98"/>
      <c r="D55" s="271"/>
      <c r="E55" s="272" t="str">
        <f xml:space="preserve"> E$46</f>
        <v>Sculpted repayment profile LIVE</v>
      </c>
      <c r="F55" s="272">
        <f t="shared" ref="F55:BQ55" si="40" xml:space="preserve"> F$46</f>
        <v>0</v>
      </c>
      <c r="G55" s="272">
        <f t="shared" si="40"/>
        <v>0</v>
      </c>
      <c r="H55" s="272">
        <f t="shared" si="40"/>
        <v>1.0000043251647142</v>
      </c>
      <c r="I55" s="272">
        <f t="shared" si="40"/>
        <v>0</v>
      </c>
      <c r="J55" s="272">
        <f t="shared" si="40"/>
        <v>0</v>
      </c>
      <c r="K55" s="272">
        <f t="shared" si="40"/>
        <v>0</v>
      </c>
      <c r="L55" s="272">
        <f t="shared" si="40"/>
        <v>0</v>
      </c>
      <c r="M55" s="272">
        <f t="shared" si="40"/>
        <v>0</v>
      </c>
      <c r="N55" s="272">
        <f t="shared" si="40"/>
        <v>0</v>
      </c>
      <c r="O55" s="272">
        <f t="shared" si="40"/>
        <v>9.4061194824071465E-3</v>
      </c>
      <c r="P55" s="272">
        <f t="shared" si="40"/>
        <v>1.0095031920023801E-2</v>
      </c>
      <c r="Q55" s="272">
        <f t="shared" si="40"/>
        <v>1.1203121824279686E-2</v>
      </c>
      <c r="R55" s="272">
        <f t="shared" si="40"/>
        <v>8.1214678427570901E-3</v>
      </c>
      <c r="S55" s="272">
        <f t="shared" si="40"/>
        <v>8.8452621729494668E-3</v>
      </c>
      <c r="T55" s="272">
        <f t="shared" si="40"/>
        <v>8.2330885304734008E-3</v>
      </c>
      <c r="U55" s="272">
        <f t="shared" si="40"/>
        <v>8.8541710826056975E-3</v>
      </c>
      <c r="V55" s="272">
        <f t="shared" si="40"/>
        <v>8.8951106298833238E-3</v>
      </c>
      <c r="W55" s="272">
        <f t="shared" si="40"/>
        <v>9.5279347424342149E-3</v>
      </c>
      <c r="X55" s="272">
        <f t="shared" si="40"/>
        <v>1.0586572525383612E-2</v>
      </c>
      <c r="Y55" s="272">
        <f t="shared" si="40"/>
        <v>1.3050708908181701E-2</v>
      </c>
      <c r="Z55" s="272">
        <f t="shared" si="40"/>
        <v>1.305596427840783E-2</v>
      </c>
      <c r="AA55" s="272">
        <f t="shared" si="40"/>
        <v>1.3861805792386685E-2</v>
      </c>
      <c r="AB55" s="272">
        <f t="shared" si="40"/>
        <v>1.4207064886838879E-2</v>
      </c>
      <c r="AC55" s="272">
        <f t="shared" si="40"/>
        <v>1.5107955844270955E-2</v>
      </c>
      <c r="AD55" s="272">
        <f t="shared" si="40"/>
        <v>1.6588971847228341E-2</v>
      </c>
      <c r="AE55" s="272">
        <f t="shared" si="40"/>
        <v>1.7694787301858927E-2</v>
      </c>
      <c r="AF55" s="272">
        <f t="shared" si="40"/>
        <v>1.8208738372718192E-2</v>
      </c>
      <c r="AG55" s="272">
        <f t="shared" si="40"/>
        <v>1.9422099852875529E-2</v>
      </c>
      <c r="AH55" s="272">
        <f t="shared" si="40"/>
        <v>2.0029851061206326E-2</v>
      </c>
      <c r="AI55" s="272">
        <f t="shared" si="40"/>
        <v>2.2818283571806732E-2</v>
      </c>
      <c r="AJ55" s="272">
        <f t="shared" si="40"/>
        <v>2.3531412165248355E-2</v>
      </c>
      <c r="AK55" s="272">
        <f t="shared" si="40"/>
        <v>2.4980334294755865E-2</v>
      </c>
      <c r="AL55" s="272">
        <f t="shared" si="40"/>
        <v>2.57932129386635E-2</v>
      </c>
      <c r="AM55" s="272">
        <f t="shared" si="40"/>
        <v>2.7361582270235718E-2</v>
      </c>
      <c r="AN55" s="272">
        <f t="shared" si="40"/>
        <v>2.9067882042654928E-2</v>
      </c>
      <c r="AO55" s="272">
        <f t="shared" si="40"/>
        <v>3.0861827408531297E-2</v>
      </c>
      <c r="AP55" s="272">
        <f t="shared" si="40"/>
        <v>3.1866188276976577E-2</v>
      </c>
      <c r="AQ55" s="272">
        <f t="shared" si="40"/>
        <v>3.3796522154590981E-2</v>
      </c>
      <c r="AR55" s="272">
        <f t="shared" si="40"/>
        <v>3.4919594657816175E-2</v>
      </c>
      <c r="AS55" s="272">
        <f t="shared" si="40"/>
        <v>3.6993557575525041E-2</v>
      </c>
      <c r="AT55" s="272">
        <f t="shared" si="40"/>
        <v>3.8242132370016925E-2</v>
      </c>
      <c r="AU55" s="272">
        <f t="shared" si="40"/>
        <v>4.0467817163605729E-2</v>
      </c>
      <c r="AV55" s="272">
        <f t="shared" si="40"/>
        <v>4.185018295365369E-2</v>
      </c>
      <c r="AW55" s="272">
        <f t="shared" si="40"/>
        <v>4.4236518683025999E-2</v>
      </c>
      <c r="AX55" s="272">
        <f t="shared" si="40"/>
        <v>4.6983997334033217E-2</v>
      </c>
      <c r="AY55" s="272">
        <f t="shared" si="40"/>
        <v>4.9668567810712681E-2</v>
      </c>
      <c r="AZ55" s="272">
        <f t="shared" si="40"/>
        <v>5.1332816568934209E-2</v>
      </c>
      <c r="BA55" s="272">
        <f t="shared" si="40"/>
        <v>5.4203872455639034E-2</v>
      </c>
      <c r="BB55" s="272">
        <f t="shared" si="40"/>
        <v>5.6032193569116796E-2</v>
      </c>
      <c r="BC55" s="272">
        <f t="shared" si="40"/>
        <v>0</v>
      </c>
      <c r="BD55" s="272">
        <f t="shared" si="40"/>
        <v>0</v>
      </c>
      <c r="BE55" s="272">
        <f t="shared" si="40"/>
        <v>0</v>
      </c>
      <c r="BF55" s="272">
        <f t="shared" si="40"/>
        <v>0</v>
      </c>
      <c r="BG55" s="272">
        <f t="shared" si="40"/>
        <v>0</v>
      </c>
      <c r="BH55" s="272">
        <f t="shared" si="40"/>
        <v>0</v>
      </c>
      <c r="BI55" s="272">
        <f t="shared" si="40"/>
        <v>0</v>
      </c>
      <c r="BJ55" s="272">
        <f t="shared" si="40"/>
        <v>0</v>
      </c>
      <c r="BK55" s="272">
        <f t="shared" si="40"/>
        <v>0</v>
      </c>
      <c r="BL55" s="272">
        <f t="shared" si="40"/>
        <v>0</v>
      </c>
      <c r="BM55" s="272">
        <f t="shared" si="40"/>
        <v>0</v>
      </c>
      <c r="BN55" s="272">
        <f t="shared" si="40"/>
        <v>0</v>
      </c>
      <c r="BO55" s="272">
        <f t="shared" si="40"/>
        <v>0</v>
      </c>
      <c r="BP55" s="272">
        <f t="shared" si="40"/>
        <v>0</v>
      </c>
      <c r="BQ55" s="272">
        <f t="shared" si="40"/>
        <v>0</v>
      </c>
      <c r="BR55" s="272">
        <f t="shared" ref="BR55:CA55" si="41" xml:space="preserve"> BR$46</f>
        <v>0</v>
      </c>
      <c r="BS55" s="272">
        <f t="shared" si="41"/>
        <v>0</v>
      </c>
      <c r="BT55" s="272">
        <f t="shared" si="41"/>
        <v>0</v>
      </c>
      <c r="BU55" s="272">
        <f t="shared" si="41"/>
        <v>0</v>
      </c>
      <c r="BV55" s="272">
        <f t="shared" si="41"/>
        <v>0</v>
      </c>
      <c r="BW55" s="272">
        <f t="shared" si="41"/>
        <v>0</v>
      </c>
      <c r="BX55" s="272">
        <f t="shared" si="41"/>
        <v>0</v>
      </c>
      <c r="BY55" s="272">
        <f t="shared" si="41"/>
        <v>0</v>
      </c>
      <c r="BZ55" s="272">
        <f t="shared" si="41"/>
        <v>0</v>
      </c>
      <c r="CA55" s="272">
        <f t="shared" si="41"/>
        <v>0</v>
      </c>
    </row>
    <row r="56" spans="1:79" s="185" customFormat="1" x14ac:dyDescent="0.2">
      <c r="A56" s="182"/>
      <c r="B56" s="182"/>
      <c r="C56" s="183"/>
      <c r="D56" s="198"/>
      <c r="E56" s="185" t="str">
        <f>InpS!E$35</f>
        <v>Senior debt repayment profile - saved selection</v>
      </c>
      <c r="F56" s="185">
        <f>InpS!F$35</f>
        <v>0</v>
      </c>
      <c r="G56" s="185">
        <f>InpS!G$35</f>
        <v>0</v>
      </c>
      <c r="H56" s="185">
        <f>InpS!H$35</f>
        <v>1</v>
      </c>
      <c r="I56" s="185">
        <f>InpS!I$35</f>
        <v>0</v>
      </c>
      <c r="J56" s="185">
        <f>InpS!J$35</f>
        <v>0</v>
      </c>
      <c r="K56" s="185">
        <f>InpS!K$35</f>
        <v>0</v>
      </c>
      <c r="L56" s="185">
        <f>InpS!L$35</f>
        <v>0</v>
      </c>
      <c r="M56" s="185">
        <f>InpS!M$35</f>
        <v>0</v>
      </c>
      <c r="N56" s="185">
        <f>InpS!N$35</f>
        <v>0</v>
      </c>
      <c r="O56" s="185">
        <f>InpS!O$35</f>
        <v>9.41E-3</v>
      </c>
      <c r="P56" s="185">
        <f>InpS!P$35</f>
        <v>1.009E-2</v>
      </c>
      <c r="Q56" s="185">
        <f>InpS!Q$35</f>
        <v>1.12E-2</v>
      </c>
      <c r="R56" s="185">
        <f>InpS!R$35</f>
        <v>8.1200000000000005E-3</v>
      </c>
      <c r="S56" s="185">
        <f>InpS!S$35</f>
        <v>8.8500000000000002E-3</v>
      </c>
      <c r="T56" s="185">
        <f>InpS!T$35</f>
        <v>8.2299999999999995E-3</v>
      </c>
      <c r="U56" s="185">
        <f>InpS!U$35</f>
        <v>8.8500000000000002E-3</v>
      </c>
      <c r="V56" s="185">
        <f>InpS!V$35</f>
        <v>8.8999999999999999E-3</v>
      </c>
      <c r="W56" s="185">
        <f>InpS!W$35</f>
        <v>9.5300000000000003E-3</v>
      </c>
      <c r="X56" s="185">
        <f>InpS!X$35</f>
        <v>1.059E-2</v>
      </c>
      <c r="Y56" s="185">
        <f>InpS!Y$35</f>
        <v>1.3050000000000001E-2</v>
      </c>
      <c r="Z56" s="185">
        <f>InpS!Z$35</f>
        <v>1.306E-2</v>
      </c>
      <c r="AA56" s="185">
        <f>InpS!AA$35</f>
        <v>1.3860000000000001E-2</v>
      </c>
      <c r="AB56" s="185">
        <f>InpS!AB$35</f>
        <v>1.421E-2</v>
      </c>
      <c r="AC56" s="185">
        <f>InpS!AC$35</f>
        <v>1.511E-2</v>
      </c>
      <c r="AD56" s="185">
        <f>InpS!AD$35</f>
        <v>1.6590000000000001E-2</v>
      </c>
      <c r="AE56" s="185">
        <f>InpS!AE$35</f>
        <v>1.7690000000000001E-2</v>
      </c>
      <c r="AF56" s="185">
        <f>InpS!AF$35</f>
        <v>1.821E-2</v>
      </c>
      <c r="AG56" s="185">
        <f>InpS!AG$35</f>
        <v>1.942E-2</v>
      </c>
      <c r="AH56" s="185">
        <f>InpS!AH$35</f>
        <v>2.0029999999999999E-2</v>
      </c>
      <c r="AI56" s="185">
        <f>InpS!AI$35</f>
        <v>2.282E-2</v>
      </c>
      <c r="AJ56" s="185">
        <f>InpS!AJ$35</f>
        <v>2.3529999999999999E-2</v>
      </c>
      <c r="AK56" s="185">
        <f>InpS!AK$35</f>
        <v>2.4979999999999999E-2</v>
      </c>
      <c r="AL56" s="185">
        <f>InpS!AL$35</f>
        <v>2.579E-2</v>
      </c>
      <c r="AM56" s="185">
        <f>InpS!AM$35</f>
        <v>2.7359999999999999E-2</v>
      </c>
      <c r="AN56" s="185">
        <f>InpS!AN$35</f>
        <v>2.9069999999999999E-2</v>
      </c>
      <c r="AO56" s="185">
        <f>InpS!AO$35</f>
        <v>3.0859999999999999E-2</v>
      </c>
      <c r="AP56" s="185">
        <f>InpS!AP$35</f>
        <v>3.1870000000000002E-2</v>
      </c>
      <c r="AQ56" s="185">
        <f>InpS!AQ$35</f>
        <v>3.3799999999999997E-2</v>
      </c>
      <c r="AR56" s="185">
        <f>InpS!AR$35</f>
        <v>3.492E-2</v>
      </c>
      <c r="AS56" s="185">
        <f>InpS!AS$35</f>
        <v>3.6990000000000002E-2</v>
      </c>
      <c r="AT56" s="185">
        <f>InpS!AT$35</f>
        <v>3.8240000000000003E-2</v>
      </c>
      <c r="AU56" s="185">
        <f>InpS!AU$35</f>
        <v>4.0469999999999999E-2</v>
      </c>
      <c r="AV56" s="185">
        <f>InpS!AV$35</f>
        <v>4.1849999999999998E-2</v>
      </c>
      <c r="AW56" s="185">
        <f>InpS!AW$35</f>
        <v>4.4240000000000002E-2</v>
      </c>
      <c r="AX56" s="185">
        <f>InpS!AX$35</f>
        <v>4.6980000000000001E-2</v>
      </c>
      <c r="AY56" s="185">
        <f>InpS!AY$35</f>
        <v>4.9669999999999999E-2</v>
      </c>
      <c r="AZ56" s="185">
        <f>InpS!AZ$35</f>
        <v>5.1330000000000001E-2</v>
      </c>
      <c r="BA56" s="185">
        <f>InpS!BA$35</f>
        <v>5.4199999999999998E-2</v>
      </c>
      <c r="BB56" s="185">
        <f>InpS!BB$35</f>
        <v>5.6030000000000024E-2</v>
      </c>
      <c r="BC56" s="185">
        <f>InpS!BC$35</f>
        <v>0</v>
      </c>
      <c r="BD56" s="185">
        <f>InpS!BD$35</f>
        <v>0</v>
      </c>
      <c r="BE56" s="185">
        <f>InpS!BE$35</f>
        <v>0</v>
      </c>
      <c r="BF56" s="185">
        <f>InpS!BF$35</f>
        <v>0</v>
      </c>
      <c r="BG56" s="185">
        <f>InpS!BG$35</f>
        <v>0</v>
      </c>
      <c r="BH56" s="185">
        <f>InpS!BH$35</f>
        <v>0</v>
      </c>
      <c r="BI56" s="185">
        <f>InpS!BI$35</f>
        <v>0</v>
      </c>
      <c r="BJ56" s="185">
        <f>InpS!BJ$35</f>
        <v>0</v>
      </c>
      <c r="BK56" s="185">
        <f>InpS!BK$35</f>
        <v>0</v>
      </c>
      <c r="BL56" s="185">
        <f>InpS!BL$35</f>
        <v>0</v>
      </c>
      <c r="BM56" s="185">
        <f>InpS!BM$35</f>
        <v>0</v>
      </c>
      <c r="BN56" s="185">
        <f>InpS!BN$35</f>
        <v>0</v>
      </c>
      <c r="BO56" s="185">
        <f>InpS!BO$35</f>
        <v>0</v>
      </c>
      <c r="BP56" s="185">
        <f>InpS!BP$35</f>
        <v>0</v>
      </c>
      <c r="BQ56" s="185">
        <f>InpS!BQ$35</f>
        <v>0</v>
      </c>
      <c r="BR56" s="185">
        <f>InpS!BR$35</f>
        <v>0</v>
      </c>
      <c r="BS56" s="185">
        <f>InpS!BS$35</f>
        <v>0</v>
      </c>
      <c r="BT56" s="185">
        <f>InpS!BT$35</f>
        <v>0</v>
      </c>
      <c r="BU56" s="185">
        <f>InpS!BU$35</f>
        <v>0</v>
      </c>
      <c r="BV56" s="185">
        <f>InpS!BV$35</f>
        <v>0</v>
      </c>
      <c r="BW56" s="185">
        <f>InpS!BW$35</f>
        <v>0</v>
      </c>
      <c r="BX56" s="185">
        <f>InpS!BX$35</f>
        <v>0</v>
      </c>
      <c r="BY56" s="185">
        <f>InpS!BY$35</f>
        <v>0</v>
      </c>
      <c r="BZ56" s="185">
        <f>InpS!BZ$35</f>
        <v>0</v>
      </c>
      <c r="CA56" s="185">
        <f>InpS!CA$35</f>
        <v>0</v>
      </c>
    </row>
    <row r="57" spans="1:79" s="272" customFormat="1" x14ac:dyDescent="0.2">
      <c r="A57" s="252"/>
      <c r="B57" s="97"/>
      <c r="C57" s="98"/>
      <c r="D57" s="271"/>
      <c r="E57" s="272" t="s">
        <v>113</v>
      </c>
      <c r="H57" s="272">
        <f>SUM(J57:CA57)</f>
        <v>1</v>
      </c>
      <c r="J57" s="272">
        <f xml:space="preserve"> IF($F54 = 1, J55, J56)</f>
        <v>0</v>
      </c>
      <c r="K57" s="272">
        <f t="shared" ref="K57:BV57" si="42" xml:space="preserve"> IF($F54 = 1, K55, K56)</f>
        <v>0</v>
      </c>
      <c r="L57" s="272">
        <f t="shared" si="42"/>
        <v>0</v>
      </c>
      <c r="M57" s="272">
        <f t="shared" si="42"/>
        <v>0</v>
      </c>
      <c r="N57" s="272">
        <f t="shared" si="42"/>
        <v>0</v>
      </c>
      <c r="O57" s="272">
        <f t="shared" si="42"/>
        <v>9.41E-3</v>
      </c>
      <c r="P57" s="272">
        <f t="shared" si="42"/>
        <v>1.009E-2</v>
      </c>
      <c r="Q57" s="272">
        <f t="shared" si="42"/>
        <v>1.12E-2</v>
      </c>
      <c r="R57" s="272">
        <f t="shared" si="42"/>
        <v>8.1200000000000005E-3</v>
      </c>
      <c r="S57" s="272">
        <f t="shared" si="42"/>
        <v>8.8500000000000002E-3</v>
      </c>
      <c r="T57" s="272">
        <f t="shared" si="42"/>
        <v>8.2299999999999995E-3</v>
      </c>
      <c r="U57" s="272">
        <f t="shared" si="42"/>
        <v>8.8500000000000002E-3</v>
      </c>
      <c r="V57" s="272">
        <f t="shared" si="42"/>
        <v>8.8999999999999999E-3</v>
      </c>
      <c r="W57" s="272">
        <f t="shared" si="42"/>
        <v>9.5300000000000003E-3</v>
      </c>
      <c r="X57" s="272">
        <f t="shared" si="42"/>
        <v>1.059E-2</v>
      </c>
      <c r="Y57" s="272">
        <f t="shared" si="42"/>
        <v>1.3050000000000001E-2</v>
      </c>
      <c r="Z57" s="272">
        <f t="shared" si="42"/>
        <v>1.306E-2</v>
      </c>
      <c r="AA57" s="272">
        <f t="shared" si="42"/>
        <v>1.3860000000000001E-2</v>
      </c>
      <c r="AB57" s="272">
        <f t="shared" si="42"/>
        <v>1.421E-2</v>
      </c>
      <c r="AC57" s="272">
        <f t="shared" si="42"/>
        <v>1.511E-2</v>
      </c>
      <c r="AD57" s="272">
        <f t="shared" si="42"/>
        <v>1.6590000000000001E-2</v>
      </c>
      <c r="AE57" s="272">
        <f t="shared" si="42"/>
        <v>1.7690000000000001E-2</v>
      </c>
      <c r="AF57" s="272">
        <f t="shared" si="42"/>
        <v>1.821E-2</v>
      </c>
      <c r="AG57" s="272">
        <f t="shared" si="42"/>
        <v>1.942E-2</v>
      </c>
      <c r="AH57" s="272">
        <f t="shared" si="42"/>
        <v>2.0029999999999999E-2</v>
      </c>
      <c r="AI57" s="272">
        <f t="shared" si="42"/>
        <v>2.282E-2</v>
      </c>
      <c r="AJ57" s="272">
        <f t="shared" si="42"/>
        <v>2.3529999999999999E-2</v>
      </c>
      <c r="AK57" s="272">
        <f t="shared" si="42"/>
        <v>2.4979999999999999E-2</v>
      </c>
      <c r="AL57" s="272">
        <f t="shared" si="42"/>
        <v>2.579E-2</v>
      </c>
      <c r="AM57" s="272">
        <f t="shared" si="42"/>
        <v>2.7359999999999999E-2</v>
      </c>
      <c r="AN57" s="272">
        <f t="shared" si="42"/>
        <v>2.9069999999999999E-2</v>
      </c>
      <c r="AO57" s="272">
        <f t="shared" si="42"/>
        <v>3.0859999999999999E-2</v>
      </c>
      <c r="AP57" s="272">
        <f t="shared" si="42"/>
        <v>3.1870000000000002E-2</v>
      </c>
      <c r="AQ57" s="272">
        <f t="shared" si="42"/>
        <v>3.3799999999999997E-2</v>
      </c>
      <c r="AR57" s="272">
        <f t="shared" si="42"/>
        <v>3.492E-2</v>
      </c>
      <c r="AS57" s="272">
        <f t="shared" si="42"/>
        <v>3.6990000000000002E-2</v>
      </c>
      <c r="AT57" s="272">
        <f t="shared" si="42"/>
        <v>3.8240000000000003E-2</v>
      </c>
      <c r="AU57" s="272">
        <f t="shared" si="42"/>
        <v>4.0469999999999999E-2</v>
      </c>
      <c r="AV57" s="272">
        <f t="shared" si="42"/>
        <v>4.1849999999999998E-2</v>
      </c>
      <c r="AW57" s="272">
        <f t="shared" si="42"/>
        <v>4.4240000000000002E-2</v>
      </c>
      <c r="AX57" s="272">
        <f t="shared" si="42"/>
        <v>4.6980000000000001E-2</v>
      </c>
      <c r="AY57" s="272">
        <f t="shared" si="42"/>
        <v>4.9669999999999999E-2</v>
      </c>
      <c r="AZ57" s="272">
        <f t="shared" si="42"/>
        <v>5.1330000000000001E-2</v>
      </c>
      <c r="BA57" s="272">
        <f t="shared" si="42"/>
        <v>5.4199999999999998E-2</v>
      </c>
      <c r="BB57" s="272">
        <f t="shared" si="42"/>
        <v>5.6030000000000024E-2</v>
      </c>
      <c r="BC57" s="272">
        <f t="shared" si="42"/>
        <v>0</v>
      </c>
      <c r="BD57" s="272">
        <f t="shared" si="42"/>
        <v>0</v>
      </c>
      <c r="BE57" s="272">
        <f t="shared" si="42"/>
        <v>0</v>
      </c>
      <c r="BF57" s="272">
        <f t="shared" si="42"/>
        <v>0</v>
      </c>
      <c r="BG57" s="272">
        <f t="shared" si="42"/>
        <v>0</v>
      </c>
      <c r="BH57" s="272">
        <f t="shared" si="42"/>
        <v>0</v>
      </c>
      <c r="BI57" s="272">
        <f t="shared" si="42"/>
        <v>0</v>
      </c>
      <c r="BJ57" s="272">
        <f t="shared" si="42"/>
        <v>0</v>
      </c>
      <c r="BK57" s="272">
        <f t="shared" si="42"/>
        <v>0</v>
      </c>
      <c r="BL57" s="272">
        <f t="shared" si="42"/>
        <v>0</v>
      </c>
      <c r="BM57" s="272">
        <f t="shared" si="42"/>
        <v>0</v>
      </c>
      <c r="BN57" s="272">
        <f t="shared" si="42"/>
        <v>0</v>
      </c>
      <c r="BO57" s="272">
        <f t="shared" si="42"/>
        <v>0</v>
      </c>
      <c r="BP57" s="272">
        <f t="shared" si="42"/>
        <v>0</v>
      </c>
      <c r="BQ57" s="272">
        <f t="shared" si="42"/>
        <v>0</v>
      </c>
      <c r="BR57" s="272">
        <f t="shared" si="42"/>
        <v>0</v>
      </c>
      <c r="BS57" s="272">
        <f t="shared" si="42"/>
        <v>0</v>
      </c>
      <c r="BT57" s="272">
        <f t="shared" si="42"/>
        <v>0</v>
      </c>
      <c r="BU57" s="272">
        <f t="shared" si="42"/>
        <v>0</v>
      </c>
      <c r="BV57" s="272">
        <f t="shared" si="42"/>
        <v>0</v>
      </c>
      <c r="BW57" s="272">
        <f t="shared" ref="BW57:CA57" si="43" xml:space="preserve"> IF($F54 = 1, BW55, BW56)</f>
        <v>0</v>
      </c>
      <c r="BX57" s="272">
        <f t="shared" si="43"/>
        <v>0</v>
      </c>
      <c r="BY57" s="272">
        <f t="shared" si="43"/>
        <v>0</v>
      </c>
      <c r="BZ57" s="272">
        <f t="shared" si="43"/>
        <v>0</v>
      </c>
      <c r="CA57" s="272">
        <f t="shared" si="43"/>
        <v>0</v>
      </c>
    </row>
    <row r="59" spans="1:79" s="118" customFormat="1" x14ac:dyDescent="0.2">
      <c r="A59" s="115"/>
      <c r="B59" s="115"/>
      <c r="C59" s="116"/>
      <c r="D59" s="117"/>
      <c r="E59" s="197" t="str">
        <f>ConFin!E$84</f>
        <v>Construction debt converted to term total</v>
      </c>
      <c r="F59" s="197">
        <f>ConFin!F$84</f>
        <v>322723.95574629982</v>
      </c>
      <c r="G59" s="197" t="str">
        <f>ConFin!G$84</f>
        <v>€ 000s</v>
      </c>
    </row>
    <row r="60" spans="1:79" s="382" customFormat="1" x14ac:dyDescent="0.2">
      <c r="A60" s="97"/>
      <c r="B60" s="97"/>
      <c r="C60" s="98"/>
      <c r="D60" s="381"/>
      <c r="E60" s="382" t="str">
        <f>E$57</f>
        <v>Active senior debt repayment profile</v>
      </c>
      <c r="F60" s="382">
        <f t="shared" ref="F60:BQ60" si="44">F$57</f>
        <v>0</v>
      </c>
      <c r="G60" s="382">
        <f t="shared" si="44"/>
        <v>0</v>
      </c>
      <c r="H60" s="382">
        <f t="shared" si="44"/>
        <v>1</v>
      </c>
      <c r="I60" s="382">
        <f t="shared" si="44"/>
        <v>0</v>
      </c>
      <c r="J60" s="382">
        <f t="shared" si="44"/>
        <v>0</v>
      </c>
      <c r="K60" s="382">
        <f t="shared" si="44"/>
        <v>0</v>
      </c>
      <c r="L60" s="382">
        <f t="shared" si="44"/>
        <v>0</v>
      </c>
      <c r="M60" s="382">
        <f t="shared" si="44"/>
        <v>0</v>
      </c>
      <c r="N60" s="382">
        <f t="shared" si="44"/>
        <v>0</v>
      </c>
      <c r="O60" s="382">
        <f t="shared" si="44"/>
        <v>9.41E-3</v>
      </c>
      <c r="P60" s="382">
        <f t="shared" si="44"/>
        <v>1.009E-2</v>
      </c>
      <c r="Q60" s="382">
        <f t="shared" si="44"/>
        <v>1.12E-2</v>
      </c>
      <c r="R60" s="382">
        <f t="shared" si="44"/>
        <v>8.1200000000000005E-3</v>
      </c>
      <c r="S60" s="382">
        <f t="shared" si="44"/>
        <v>8.8500000000000002E-3</v>
      </c>
      <c r="T60" s="382">
        <f t="shared" si="44"/>
        <v>8.2299999999999995E-3</v>
      </c>
      <c r="U60" s="382">
        <f t="shared" si="44"/>
        <v>8.8500000000000002E-3</v>
      </c>
      <c r="V60" s="382">
        <f t="shared" si="44"/>
        <v>8.8999999999999999E-3</v>
      </c>
      <c r="W60" s="382">
        <f t="shared" si="44"/>
        <v>9.5300000000000003E-3</v>
      </c>
      <c r="X60" s="382">
        <f t="shared" si="44"/>
        <v>1.059E-2</v>
      </c>
      <c r="Y60" s="382">
        <f t="shared" si="44"/>
        <v>1.3050000000000001E-2</v>
      </c>
      <c r="Z60" s="382">
        <f t="shared" si="44"/>
        <v>1.306E-2</v>
      </c>
      <c r="AA60" s="382">
        <f t="shared" si="44"/>
        <v>1.3860000000000001E-2</v>
      </c>
      <c r="AB60" s="382">
        <f t="shared" si="44"/>
        <v>1.421E-2</v>
      </c>
      <c r="AC60" s="382">
        <f t="shared" si="44"/>
        <v>1.511E-2</v>
      </c>
      <c r="AD60" s="382">
        <f t="shared" si="44"/>
        <v>1.6590000000000001E-2</v>
      </c>
      <c r="AE60" s="382">
        <f t="shared" si="44"/>
        <v>1.7690000000000001E-2</v>
      </c>
      <c r="AF60" s="382">
        <f t="shared" si="44"/>
        <v>1.821E-2</v>
      </c>
      <c r="AG60" s="382">
        <f t="shared" si="44"/>
        <v>1.942E-2</v>
      </c>
      <c r="AH60" s="382">
        <f t="shared" si="44"/>
        <v>2.0029999999999999E-2</v>
      </c>
      <c r="AI60" s="382">
        <f t="shared" si="44"/>
        <v>2.282E-2</v>
      </c>
      <c r="AJ60" s="382">
        <f t="shared" si="44"/>
        <v>2.3529999999999999E-2</v>
      </c>
      <c r="AK60" s="382">
        <f t="shared" si="44"/>
        <v>2.4979999999999999E-2</v>
      </c>
      <c r="AL60" s="382">
        <f t="shared" si="44"/>
        <v>2.579E-2</v>
      </c>
      <c r="AM60" s="382">
        <f t="shared" si="44"/>
        <v>2.7359999999999999E-2</v>
      </c>
      <c r="AN60" s="382">
        <f t="shared" si="44"/>
        <v>2.9069999999999999E-2</v>
      </c>
      <c r="AO60" s="382">
        <f t="shared" si="44"/>
        <v>3.0859999999999999E-2</v>
      </c>
      <c r="AP60" s="382">
        <f t="shared" si="44"/>
        <v>3.1870000000000002E-2</v>
      </c>
      <c r="AQ60" s="382">
        <f t="shared" si="44"/>
        <v>3.3799999999999997E-2</v>
      </c>
      <c r="AR60" s="382">
        <f t="shared" si="44"/>
        <v>3.492E-2</v>
      </c>
      <c r="AS60" s="382">
        <f t="shared" si="44"/>
        <v>3.6990000000000002E-2</v>
      </c>
      <c r="AT60" s="382">
        <f t="shared" si="44"/>
        <v>3.8240000000000003E-2</v>
      </c>
      <c r="AU60" s="382">
        <f t="shared" si="44"/>
        <v>4.0469999999999999E-2</v>
      </c>
      <c r="AV60" s="382">
        <f t="shared" si="44"/>
        <v>4.1849999999999998E-2</v>
      </c>
      <c r="AW60" s="382">
        <f t="shared" si="44"/>
        <v>4.4240000000000002E-2</v>
      </c>
      <c r="AX60" s="382">
        <f t="shared" si="44"/>
        <v>4.6980000000000001E-2</v>
      </c>
      <c r="AY60" s="382">
        <f t="shared" si="44"/>
        <v>4.9669999999999999E-2</v>
      </c>
      <c r="AZ60" s="382">
        <f t="shared" si="44"/>
        <v>5.1330000000000001E-2</v>
      </c>
      <c r="BA60" s="382">
        <f t="shared" si="44"/>
        <v>5.4199999999999998E-2</v>
      </c>
      <c r="BB60" s="382">
        <f t="shared" si="44"/>
        <v>5.6030000000000024E-2</v>
      </c>
      <c r="BC60" s="382">
        <f t="shared" si="44"/>
        <v>0</v>
      </c>
      <c r="BD60" s="382">
        <f t="shared" si="44"/>
        <v>0</v>
      </c>
      <c r="BE60" s="382">
        <f t="shared" si="44"/>
        <v>0</v>
      </c>
      <c r="BF60" s="382">
        <f t="shared" si="44"/>
        <v>0</v>
      </c>
      <c r="BG60" s="382">
        <f t="shared" si="44"/>
        <v>0</v>
      </c>
      <c r="BH60" s="382">
        <f t="shared" si="44"/>
        <v>0</v>
      </c>
      <c r="BI60" s="382">
        <f t="shared" si="44"/>
        <v>0</v>
      </c>
      <c r="BJ60" s="382">
        <f t="shared" si="44"/>
        <v>0</v>
      </c>
      <c r="BK60" s="382">
        <f t="shared" si="44"/>
        <v>0</v>
      </c>
      <c r="BL60" s="382">
        <f t="shared" si="44"/>
        <v>0</v>
      </c>
      <c r="BM60" s="382">
        <f t="shared" si="44"/>
        <v>0</v>
      </c>
      <c r="BN60" s="382">
        <f t="shared" si="44"/>
        <v>0</v>
      </c>
      <c r="BO60" s="382">
        <f t="shared" si="44"/>
        <v>0</v>
      </c>
      <c r="BP60" s="382">
        <f t="shared" si="44"/>
        <v>0</v>
      </c>
      <c r="BQ60" s="382">
        <f t="shared" si="44"/>
        <v>0</v>
      </c>
      <c r="BR60" s="382">
        <f t="shared" ref="BR60:CA60" si="45">BR$57</f>
        <v>0</v>
      </c>
      <c r="BS60" s="382">
        <f t="shared" si="45"/>
        <v>0</v>
      </c>
      <c r="BT60" s="382">
        <f t="shared" si="45"/>
        <v>0</v>
      </c>
      <c r="BU60" s="382">
        <f t="shared" si="45"/>
        <v>0</v>
      </c>
      <c r="BV60" s="382">
        <f t="shared" si="45"/>
        <v>0</v>
      </c>
      <c r="BW60" s="382">
        <f t="shared" si="45"/>
        <v>0</v>
      </c>
      <c r="BX60" s="382">
        <f t="shared" si="45"/>
        <v>0</v>
      </c>
      <c r="BY60" s="382">
        <f t="shared" si="45"/>
        <v>0</v>
      </c>
      <c r="BZ60" s="382">
        <f t="shared" si="45"/>
        <v>0</v>
      </c>
      <c r="CA60" s="382">
        <f t="shared" si="45"/>
        <v>0</v>
      </c>
    </row>
    <row r="61" spans="1:79" s="197" customFormat="1" x14ac:dyDescent="0.2">
      <c r="A61" s="264"/>
      <c r="B61" s="264"/>
      <c r="C61" s="265"/>
      <c r="D61" s="266"/>
      <c r="E61" s="197" t="str">
        <f xml:space="preserve"> 'T&amp;E'!E$24</f>
        <v>Operating period flag</v>
      </c>
      <c r="F61" s="197">
        <f xml:space="preserve"> 'T&amp;E'!F$24</f>
        <v>0</v>
      </c>
      <c r="G61" s="197" t="str">
        <f xml:space="preserve"> 'T&amp;E'!G$24</f>
        <v>flag</v>
      </c>
      <c r="H61" s="197">
        <f xml:space="preserve"> 'T&amp;E'!H$24</f>
        <v>60</v>
      </c>
      <c r="I61" s="197">
        <f xml:space="preserve"> 'T&amp;E'!I$24</f>
        <v>0</v>
      </c>
      <c r="J61" s="197">
        <f xml:space="preserve"> 'T&amp;E'!J$24</f>
        <v>0</v>
      </c>
      <c r="K61" s="197">
        <f xml:space="preserve"> 'T&amp;E'!K$24</f>
        <v>0</v>
      </c>
      <c r="L61" s="197">
        <f xml:space="preserve"> 'T&amp;E'!L$24</f>
        <v>0</v>
      </c>
      <c r="M61" s="197">
        <f xml:space="preserve"> 'T&amp;E'!M$24</f>
        <v>0</v>
      </c>
      <c r="N61" s="197">
        <f xml:space="preserve"> 'T&amp;E'!N$24</f>
        <v>0</v>
      </c>
      <c r="O61" s="197">
        <f xml:space="preserve"> 'T&amp;E'!O$24</f>
        <v>1</v>
      </c>
      <c r="P61" s="197">
        <f xml:space="preserve"> 'T&amp;E'!P$24</f>
        <v>1</v>
      </c>
      <c r="Q61" s="197">
        <f xml:space="preserve"> 'T&amp;E'!Q$24</f>
        <v>1</v>
      </c>
      <c r="R61" s="197">
        <f xml:space="preserve"> 'T&amp;E'!R$24</f>
        <v>1</v>
      </c>
      <c r="S61" s="197">
        <f xml:space="preserve"> 'T&amp;E'!S$24</f>
        <v>1</v>
      </c>
      <c r="T61" s="197">
        <f xml:space="preserve"> 'T&amp;E'!T$24</f>
        <v>1</v>
      </c>
      <c r="U61" s="197">
        <f xml:space="preserve"> 'T&amp;E'!U$24</f>
        <v>1</v>
      </c>
      <c r="V61" s="197">
        <f xml:space="preserve"> 'T&amp;E'!V$24</f>
        <v>1</v>
      </c>
      <c r="W61" s="197">
        <f xml:space="preserve"> 'T&amp;E'!W$24</f>
        <v>1</v>
      </c>
      <c r="X61" s="197">
        <f xml:space="preserve"> 'T&amp;E'!X$24</f>
        <v>1</v>
      </c>
      <c r="Y61" s="197">
        <f xml:space="preserve"> 'T&amp;E'!Y$24</f>
        <v>1</v>
      </c>
      <c r="Z61" s="197">
        <f xml:space="preserve"> 'T&amp;E'!Z$24</f>
        <v>1</v>
      </c>
      <c r="AA61" s="197">
        <f xml:space="preserve"> 'T&amp;E'!AA$24</f>
        <v>1</v>
      </c>
      <c r="AB61" s="197">
        <f xml:space="preserve"> 'T&amp;E'!AB$24</f>
        <v>1</v>
      </c>
      <c r="AC61" s="197">
        <f xml:space="preserve"> 'T&amp;E'!AC$24</f>
        <v>1</v>
      </c>
      <c r="AD61" s="197">
        <f xml:space="preserve"> 'T&amp;E'!AD$24</f>
        <v>1</v>
      </c>
      <c r="AE61" s="197">
        <f xml:space="preserve"> 'T&amp;E'!AE$24</f>
        <v>1</v>
      </c>
      <c r="AF61" s="197">
        <f xml:space="preserve"> 'T&amp;E'!AF$24</f>
        <v>1</v>
      </c>
      <c r="AG61" s="197">
        <f xml:space="preserve"> 'T&amp;E'!AG$24</f>
        <v>1</v>
      </c>
      <c r="AH61" s="197">
        <f xml:space="preserve"> 'T&amp;E'!AH$24</f>
        <v>1</v>
      </c>
      <c r="AI61" s="197">
        <f xml:space="preserve"> 'T&amp;E'!AI$24</f>
        <v>1</v>
      </c>
      <c r="AJ61" s="197">
        <f xml:space="preserve"> 'T&amp;E'!AJ$24</f>
        <v>1</v>
      </c>
      <c r="AK61" s="197">
        <f xml:space="preserve"> 'T&amp;E'!AK$24</f>
        <v>1</v>
      </c>
      <c r="AL61" s="197">
        <f xml:space="preserve"> 'T&amp;E'!AL$24</f>
        <v>1</v>
      </c>
      <c r="AM61" s="197">
        <f xml:space="preserve"> 'T&amp;E'!AM$24</f>
        <v>1</v>
      </c>
      <c r="AN61" s="197">
        <f xml:space="preserve"> 'T&amp;E'!AN$24</f>
        <v>1</v>
      </c>
      <c r="AO61" s="197">
        <f xml:space="preserve"> 'T&amp;E'!AO$24</f>
        <v>1</v>
      </c>
      <c r="AP61" s="197">
        <f xml:space="preserve"> 'T&amp;E'!AP$24</f>
        <v>1</v>
      </c>
      <c r="AQ61" s="197">
        <f xml:space="preserve"> 'T&amp;E'!AQ$24</f>
        <v>1</v>
      </c>
      <c r="AR61" s="197">
        <f xml:space="preserve"> 'T&amp;E'!AR$24</f>
        <v>1</v>
      </c>
      <c r="AS61" s="197">
        <f xml:space="preserve"> 'T&amp;E'!AS$24</f>
        <v>1</v>
      </c>
      <c r="AT61" s="197">
        <f xml:space="preserve"> 'T&amp;E'!AT$24</f>
        <v>1</v>
      </c>
      <c r="AU61" s="197">
        <f xml:space="preserve"> 'T&amp;E'!AU$24</f>
        <v>1</v>
      </c>
      <c r="AV61" s="197">
        <f xml:space="preserve"> 'T&amp;E'!AV$24</f>
        <v>1</v>
      </c>
      <c r="AW61" s="197">
        <f xml:space="preserve"> 'T&amp;E'!AW$24</f>
        <v>1</v>
      </c>
      <c r="AX61" s="197">
        <f xml:space="preserve"> 'T&amp;E'!AX$24</f>
        <v>1</v>
      </c>
      <c r="AY61" s="197">
        <f xml:space="preserve"> 'T&amp;E'!AY$24</f>
        <v>1</v>
      </c>
      <c r="AZ61" s="197">
        <f xml:space="preserve"> 'T&amp;E'!AZ$24</f>
        <v>1</v>
      </c>
      <c r="BA61" s="197">
        <f xml:space="preserve"> 'T&amp;E'!BA$24</f>
        <v>1</v>
      </c>
      <c r="BB61" s="197">
        <f xml:space="preserve"> 'T&amp;E'!BB$24</f>
        <v>1</v>
      </c>
      <c r="BC61" s="197">
        <f xml:space="preserve"> 'T&amp;E'!BC$24</f>
        <v>1</v>
      </c>
      <c r="BD61" s="197">
        <f xml:space="preserve"> 'T&amp;E'!BD$24</f>
        <v>1</v>
      </c>
      <c r="BE61" s="197">
        <f xml:space="preserve"> 'T&amp;E'!BE$24</f>
        <v>1</v>
      </c>
      <c r="BF61" s="197">
        <f xml:space="preserve"> 'T&amp;E'!BF$24</f>
        <v>1</v>
      </c>
      <c r="BG61" s="197">
        <f xml:space="preserve"> 'T&amp;E'!BG$24</f>
        <v>1</v>
      </c>
      <c r="BH61" s="197">
        <f xml:space="preserve"> 'T&amp;E'!BH$24</f>
        <v>1</v>
      </c>
      <c r="BI61" s="197">
        <f xml:space="preserve"> 'T&amp;E'!BI$24</f>
        <v>1</v>
      </c>
      <c r="BJ61" s="197">
        <f xml:space="preserve"> 'T&amp;E'!BJ$24</f>
        <v>1</v>
      </c>
      <c r="BK61" s="197">
        <f xml:space="preserve"> 'T&amp;E'!BK$24</f>
        <v>1</v>
      </c>
      <c r="BL61" s="197">
        <f xml:space="preserve"> 'T&amp;E'!BL$24</f>
        <v>1</v>
      </c>
      <c r="BM61" s="197">
        <f xml:space="preserve"> 'T&amp;E'!BM$24</f>
        <v>1</v>
      </c>
      <c r="BN61" s="197">
        <f xml:space="preserve"> 'T&amp;E'!BN$24</f>
        <v>1</v>
      </c>
      <c r="BO61" s="197">
        <f xml:space="preserve"> 'T&amp;E'!BO$24</f>
        <v>1</v>
      </c>
      <c r="BP61" s="197">
        <f xml:space="preserve"> 'T&amp;E'!BP$24</f>
        <v>1</v>
      </c>
      <c r="BQ61" s="197">
        <f xml:space="preserve"> 'T&amp;E'!BQ$24</f>
        <v>1</v>
      </c>
      <c r="BR61" s="197">
        <f xml:space="preserve"> 'T&amp;E'!BR$24</f>
        <v>1</v>
      </c>
      <c r="BS61" s="197">
        <f xml:space="preserve"> 'T&amp;E'!BS$24</f>
        <v>1</v>
      </c>
      <c r="BT61" s="197">
        <f xml:space="preserve"> 'T&amp;E'!BT$24</f>
        <v>1</v>
      </c>
      <c r="BU61" s="197">
        <f xml:space="preserve"> 'T&amp;E'!BU$24</f>
        <v>1</v>
      </c>
      <c r="BV61" s="197">
        <f xml:space="preserve"> 'T&amp;E'!BV$24</f>
        <v>1</v>
      </c>
      <c r="BW61" s="197">
        <f xml:space="preserve"> 'T&amp;E'!BW$24</f>
        <v>0</v>
      </c>
      <c r="BX61" s="197">
        <f xml:space="preserve"> 'T&amp;E'!BX$24</f>
        <v>0</v>
      </c>
      <c r="BY61" s="197">
        <f xml:space="preserve"> 'T&amp;E'!BY$24</f>
        <v>0</v>
      </c>
      <c r="BZ61" s="197">
        <f xml:space="preserve"> 'T&amp;E'!BZ$24</f>
        <v>0</v>
      </c>
      <c r="CA61" s="197">
        <f xml:space="preserve"> 'T&amp;E'!CA$24</f>
        <v>0</v>
      </c>
    </row>
    <row r="62" spans="1:79" x14ac:dyDescent="0.2">
      <c r="E62" s="124" t="s">
        <v>110</v>
      </c>
      <c r="G62" s="85" t="str">
        <f xml:space="preserve"> SMU</f>
        <v>€ 000s</v>
      </c>
      <c r="H62" s="85">
        <f>SUM(J62:CA62)</f>
        <v>322723.9557462997</v>
      </c>
      <c r="J62" s="85">
        <f xml:space="preserve"> $F59 * J60 * J61</f>
        <v>0</v>
      </c>
      <c r="K62" s="85">
        <f t="shared" ref="K62:BV62" si="46" xml:space="preserve"> $F59 * K60 * K61</f>
        <v>0</v>
      </c>
      <c r="L62" s="85">
        <f t="shared" si="46"/>
        <v>0</v>
      </c>
      <c r="M62" s="85">
        <f t="shared" si="46"/>
        <v>0</v>
      </c>
      <c r="N62" s="85">
        <f t="shared" si="46"/>
        <v>0</v>
      </c>
      <c r="O62" s="85">
        <f t="shared" si="46"/>
        <v>3036.8324235726814</v>
      </c>
      <c r="P62" s="85">
        <f t="shared" si="46"/>
        <v>3256.284713480165</v>
      </c>
      <c r="Q62" s="85">
        <f t="shared" si="46"/>
        <v>3614.5083043585578</v>
      </c>
      <c r="R62" s="85">
        <f t="shared" si="46"/>
        <v>2620.5185206599549</v>
      </c>
      <c r="S62" s="85">
        <f t="shared" si="46"/>
        <v>2856.1070083547534</v>
      </c>
      <c r="T62" s="85">
        <f t="shared" si="46"/>
        <v>2656.0181557920473</v>
      </c>
      <c r="U62" s="85">
        <f t="shared" si="46"/>
        <v>2856.1070083547534</v>
      </c>
      <c r="V62" s="85">
        <f t="shared" si="46"/>
        <v>2872.2432061420682</v>
      </c>
      <c r="W62" s="85">
        <f t="shared" si="46"/>
        <v>3075.5592982622375</v>
      </c>
      <c r="X62" s="85">
        <f t="shared" si="46"/>
        <v>3417.6466913533154</v>
      </c>
      <c r="Y62" s="85">
        <f t="shared" si="46"/>
        <v>4211.5476224892127</v>
      </c>
      <c r="Z62" s="85">
        <f t="shared" si="46"/>
        <v>4214.7748620466755</v>
      </c>
      <c r="AA62" s="85">
        <f t="shared" si="46"/>
        <v>4472.9540266437161</v>
      </c>
      <c r="AB62" s="85">
        <f t="shared" si="46"/>
        <v>4585.9074111549207</v>
      </c>
      <c r="AC62" s="85">
        <f t="shared" si="46"/>
        <v>4876.3589713265901</v>
      </c>
      <c r="AD62" s="85">
        <f t="shared" si="46"/>
        <v>5353.9904258311144</v>
      </c>
      <c r="AE62" s="85">
        <f t="shared" si="46"/>
        <v>5708.9867771520439</v>
      </c>
      <c r="AF62" s="85">
        <f t="shared" si="46"/>
        <v>5876.8032341401195</v>
      </c>
      <c r="AG62" s="85">
        <f t="shared" si="46"/>
        <v>6267.2992205931423</v>
      </c>
      <c r="AH62" s="85">
        <f t="shared" si="46"/>
        <v>6464.1608335983856</v>
      </c>
      <c r="AI62" s="85">
        <f t="shared" si="46"/>
        <v>7364.5606701305614</v>
      </c>
      <c r="AJ62" s="85">
        <f t="shared" si="46"/>
        <v>7593.6946787104343</v>
      </c>
      <c r="AK62" s="85">
        <f t="shared" si="46"/>
        <v>8061.6444145425694</v>
      </c>
      <c r="AL62" s="85">
        <f t="shared" si="46"/>
        <v>8323.0508186970728</v>
      </c>
      <c r="AM62" s="85">
        <f t="shared" si="46"/>
        <v>8829.7274292187631</v>
      </c>
      <c r="AN62" s="85">
        <f t="shared" si="46"/>
        <v>9381.5853935449359</v>
      </c>
      <c r="AO62" s="85">
        <f t="shared" si="46"/>
        <v>9959.2612743308127</v>
      </c>
      <c r="AP62" s="85">
        <f t="shared" si="46"/>
        <v>10285.212469634576</v>
      </c>
      <c r="AQ62" s="85">
        <f t="shared" si="46"/>
        <v>10908.069704224932</v>
      </c>
      <c r="AR62" s="85">
        <f t="shared" si="46"/>
        <v>11269.520534660789</v>
      </c>
      <c r="AS62" s="85">
        <f t="shared" si="46"/>
        <v>11937.559123055631</v>
      </c>
      <c r="AT62" s="85">
        <f t="shared" si="46"/>
        <v>12340.964067738507</v>
      </c>
      <c r="AU62" s="85">
        <f t="shared" si="46"/>
        <v>13060.638489052753</v>
      </c>
      <c r="AV62" s="85">
        <f t="shared" si="46"/>
        <v>13505.997547982646</v>
      </c>
      <c r="AW62" s="85">
        <f t="shared" si="46"/>
        <v>14277.307802216304</v>
      </c>
      <c r="AX62" s="85">
        <f t="shared" si="46"/>
        <v>15161.571440961166</v>
      </c>
      <c r="AY62" s="85">
        <f t="shared" si="46"/>
        <v>16029.698881918712</v>
      </c>
      <c r="AZ62" s="85">
        <f t="shared" si="46"/>
        <v>16565.42064845757</v>
      </c>
      <c r="BA62" s="85">
        <f t="shared" si="46"/>
        <v>17491.638401449451</v>
      </c>
      <c r="BB62" s="85">
        <f t="shared" si="46"/>
        <v>18082.223240465188</v>
      </c>
      <c r="BC62" s="85">
        <f t="shared" si="46"/>
        <v>0</v>
      </c>
      <c r="BD62" s="85">
        <f t="shared" si="46"/>
        <v>0</v>
      </c>
      <c r="BE62" s="85">
        <f t="shared" si="46"/>
        <v>0</v>
      </c>
      <c r="BF62" s="85">
        <f t="shared" si="46"/>
        <v>0</v>
      </c>
      <c r="BG62" s="85">
        <f t="shared" si="46"/>
        <v>0</v>
      </c>
      <c r="BH62" s="85">
        <f t="shared" si="46"/>
        <v>0</v>
      </c>
      <c r="BI62" s="85">
        <f t="shared" si="46"/>
        <v>0</v>
      </c>
      <c r="BJ62" s="85">
        <f t="shared" si="46"/>
        <v>0</v>
      </c>
      <c r="BK62" s="85">
        <f t="shared" si="46"/>
        <v>0</v>
      </c>
      <c r="BL62" s="85">
        <f t="shared" si="46"/>
        <v>0</v>
      </c>
      <c r="BM62" s="85">
        <f t="shared" si="46"/>
        <v>0</v>
      </c>
      <c r="BN62" s="85">
        <f t="shared" si="46"/>
        <v>0</v>
      </c>
      <c r="BO62" s="85">
        <f t="shared" si="46"/>
        <v>0</v>
      </c>
      <c r="BP62" s="85">
        <f t="shared" si="46"/>
        <v>0</v>
      </c>
      <c r="BQ62" s="85">
        <f t="shared" si="46"/>
        <v>0</v>
      </c>
      <c r="BR62" s="85">
        <f t="shared" si="46"/>
        <v>0</v>
      </c>
      <c r="BS62" s="85">
        <f t="shared" si="46"/>
        <v>0</v>
      </c>
      <c r="BT62" s="85">
        <f t="shared" si="46"/>
        <v>0</v>
      </c>
      <c r="BU62" s="85">
        <f t="shared" si="46"/>
        <v>0</v>
      </c>
      <c r="BV62" s="85">
        <f t="shared" si="46"/>
        <v>0</v>
      </c>
      <c r="BW62" s="85">
        <f t="shared" ref="BW62:CA62" si="47" xml:space="preserve"> $F59 * BW60 * BW61</f>
        <v>0</v>
      </c>
      <c r="BX62" s="85">
        <f t="shared" si="47"/>
        <v>0</v>
      </c>
      <c r="BY62" s="85">
        <f t="shared" si="47"/>
        <v>0</v>
      </c>
      <c r="BZ62" s="85">
        <f t="shared" si="47"/>
        <v>0</v>
      </c>
      <c r="CA62" s="85">
        <f t="shared" si="47"/>
        <v>0</v>
      </c>
    </row>
    <row r="63" spans="1:79" s="140" customFormat="1" x14ac:dyDescent="0.2">
      <c r="A63" s="137"/>
      <c r="B63" s="137"/>
      <c r="C63" s="138"/>
      <c r="D63" s="139"/>
      <c r="E63" s="140" t="str">
        <f xml:space="preserve"> LEFT(E62, LEN(E62) - 4)</f>
        <v>Senior principal repayment</v>
      </c>
      <c r="G63" s="140" t="str">
        <f xml:space="preserve"> G62</f>
        <v>€ 000s</v>
      </c>
      <c r="H63" s="140">
        <f>SUM(J63:CA63)</f>
        <v>-322723.9557462997</v>
      </c>
      <c r="J63" s="140">
        <f t="shared" ref="J63:BU63" si="48" xml:space="preserve"> -1 * J62</f>
        <v>0</v>
      </c>
      <c r="K63" s="140">
        <f t="shared" si="48"/>
        <v>0</v>
      </c>
      <c r="L63" s="140">
        <f t="shared" si="48"/>
        <v>0</v>
      </c>
      <c r="M63" s="140">
        <f t="shared" si="48"/>
        <v>0</v>
      </c>
      <c r="N63" s="140">
        <f t="shared" si="48"/>
        <v>0</v>
      </c>
      <c r="O63" s="140">
        <f t="shared" si="48"/>
        <v>-3036.8324235726814</v>
      </c>
      <c r="P63" s="140">
        <f t="shared" si="48"/>
        <v>-3256.284713480165</v>
      </c>
      <c r="Q63" s="140">
        <f t="shared" si="48"/>
        <v>-3614.5083043585578</v>
      </c>
      <c r="R63" s="140">
        <f t="shared" si="48"/>
        <v>-2620.5185206599549</v>
      </c>
      <c r="S63" s="140">
        <f t="shared" si="48"/>
        <v>-2856.1070083547534</v>
      </c>
      <c r="T63" s="140">
        <f t="shared" si="48"/>
        <v>-2656.0181557920473</v>
      </c>
      <c r="U63" s="140">
        <f t="shared" si="48"/>
        <v>-2856.1070083547534</v>
      </c>
      <c r="V63" s="140">
        <f t="shared" si="48"/>
        <v>-2872.2432061420682</v>
      </c>
      <c r="W63" s="140">
        <f t="shared" si="48"/>
        <v>-3075.5592982622375</v>
      </c>
      <c r="X63" s="140">
        <f t="shared" si="48"/>
        <v>-3417.6466913533154</v>
      </c>
      <c r="Y63" s="140">
        <f t="shared" si="48"/>
        <v>-4211.5476224892127</v>
      </c>
      <c r="Z63" s="140">
        <f t="shared" si="48"/>
        <v>-4214.7748620466755</v>
      </c>
      <c r="AA63" s="140">
        <f t="shared" si="48"/>
        <v>-4472.9540266437161</v>
      </c>
      <c r="AB63" s="140">
        <f t="shared" si="48"/>
        <v>-4585.9074111549207</v>
      </c>
      <c r="AC63" s="140">
        <f t="shared" si="48"/>
        <v>-4876.3589713265901</v>
      </c>
      <c r="AD63" s="140">
        <f t="shared" si="48"/>
        <v>-5353.9904258311144</v>
      </c>
      <c r="AE63" s="140">
        <f t="shared" si="48"/>
        <v>-5708.9867771520439</v>
      </c>
      <c r="AF63" s="140">
        <f t="shared" si="48"/>
        <v>-5876.8032341401195</v>
      </c>
      <c r="AG63" s="140">
        <f t="shared" si="48"/>
        <v>-6267.2992205931423</v>
      </c>
      <c r="AH63" s="140">
        <f t="shared" si="48"/>
        <v>-6464.1608335983856</v>
      </c>
      <c r="AI63" s="140">
        <f t="shared" si="48"/>
        <v>-7364.5606701305614</v>
      </c>
      <c r="AJ63" s="140">
        <f t="shared" si="48"/>
        <v>-7593.6946787104343</v>
      </c>
      <c r="AK63" s="140">
        <f t="shared" si="48"/>
        <v>-8061.6444145425694</v>
      </c>
      <c r="AL63" s="140">
        <f t="shared" si="48"/>
        <v>-8323.0508186970728</v>
      </c>
      <c r="AM63" s="140">
        <f t="shared" si="48"/>
        <v>-8829.7274292187631</v>
      </c>
      <c r="AN63" s="140">
        <f t="shared" si="48"/>
        <v>-9381.5853935449359</v>
      </c>
      <c r="AO63" s="140">
        <f t="shared" si="48"/>
        <v>-9959.2612743308127</v>
      </c>
      <c r="AP63" s="140">
        <f t="shared" si="48"/>
        <v>-10285.212469634576</v>
      </c>
      <c r="AQ63" s="140">
        <f t="shared" si="48"/>
        <v>-10908.069704224932</v>
      </c>
      <c r="AR63" s="140">
        <f t="shared" si="48"/>
        <v>-11269.520534660789</v>
      </c>
      <c r="AS63" s="140">
        <f t="shared" si="48"/>
        <v>-11937.559123055631</v>
      </c>
      <c r="AT63" s="140">
        <f t="shared" si="48"/>
        <v>-12340.964067738507</v>
      </c>
      <c r="AU63" s="140">
        <f t="shared" si="48"/>
        <v>-13060.638489052753</v>
      </c>
      <c r="AV63" s="140">
        <f t="shared" si="48"/>
        <v>-13505.997547982646</v>
      </c>
      <c r="AW63" s="140">
        <f t="shared" si="48"/>
        <v>-14277.307802216304</v>
      </c>
      <c r="AX63" s="140">
        <f t="shared" si="48"/>
        <v>-15161.571440961166</v>
      </c>
      <c r="AY63" s="140">
        <f t="shared" si="48"/>
        <v>-16029.698881918712</v>
      </c>
      <c r="AZ63" s="140">
        <f t="shared" si="48"/>
        <v>-16565.42064845757</v>
      </c>
      <c r="BA63" s="140">
        <f t="shared" si="48"/>
        <v>-17491.638401449451</v>
      </c>
      <c r="BB63" s="140">
        <f t="shared" si="48"/>
        <v>-18082.223240465188</v>
      </c>
      <c r="BC63" s="140">
        <f t="shared" si="48"/>
        <v>0</v>
      </c>
      <c r="BD63" s="140">
        <f t="shared" si="48"/>
        <v>0</v>
      </c>
      <c r="BE63" s="140">
        <f t="shared" si="48"/>
        <v>0</v>
      </c>
      <c r="BF63" s="140">
        <f t="shared" si="48"/>
        <v>0</v>
      </c>
      <c r="BG63" s="140">
        <f t="shared" si="48"/>
        <v>0</v>
      </c>
      <c r="BH63" s="140">
        <f t="shared" si="48"/>
        <v>0</v>
      </c>
      <c r="BI63" s="140">
        <f t="shared" si="48"/>
        <v>0</v>
      </c>
      <c r="BJ63" s="140">
        <f t="shared" si="48"/>
        <v>0</v>
      </c>
      <c r="BK63" s="140">
        <f t="shared" si="48"/>
        <v>0</v>
      </c>
      <c r="BL63" s="140">
        <f t="shared" si="48"/>
        <v>0</v>
      </c>
      <c r="BM63" s="140">
        <f t="shared" si="48"/>
        <v>0</v>
      </c>
      <c r="BN63" s="140">
        <f t="shared" si="48"/>
        <v>0</v>
      </c>
      <c r="BO63" s="140">
        <f t="shared" si="48"/>
        <v>0</v>
      </c>
      <c r="BP63" s="140">
        <f t="shared" si="48"/>
        <v>0</v>
      </c>
      <c r="BQ63" s="140">
        <f t="shared" si="48"/>
        <v>0</v>
      </c>
      <c r="BR63" s="140">
        <f t="shared" si="48"/>
        <v>0</v>
      </c>
      <c r="BS63" s="140">
        <f t="shared" si="48"/>
        <v>0</v>
      </c>
      <c r="BT63" s="140">
        <f t="shared" si="48"/>
        <v>0</v>
      </c>
      <c r="BU63" s="140">
        <f t="shared" si="48"/>
        <v>0</v>
      </c>
      <c r="BV63" s="140">
        <f t="shared" ref="BV63:CA63" si="49" xml:space="preserve"> -1 * BV62</f>
        <v>0</v>
      </c>
      <c r="BW63" s="140">
        <f t="shared" si="49"/>
        <v>0</v>
      </c>
      <c r="BX63" s="140">
        <f t="shared" si="49"/>
        <v>0</v>
      </c>
      <c r="BY63" s="140">
        <f t="shared" si="49"/>
        <v>0</v>
      </c>
      <c r="BZ63" s="140">
        <f t="shared" si="49"/>
        <v>0</v>
      </c>
      <c r="CA63" s="140">
        <f t="shared" si="49"/>
        <v>0</v>
      </c>
    </row>
    <row r="66" spans="1:79" x14ac:dyDescent="0.2">
      <c r="A66" s="81" t="s">
        <v>118</v>
      </c>
    </row>
    <row r="68" spans="1:79" s="165" customFormat="1" x14ac:dyDescent="0.2">
      <c r="A68" s="161"/>
      <c r="B68" s="161"/>
      <c r="C68" s="162"/>
      <c r="D68" s="163"/>
      <c r="E68" s="164" t="str">
        <f>ConFin!E$84</f>
        <v>Construction debt converted to term total</v>
      </c>
      <c r="F68" s="164">
        <f>ConFin!F$84</f>
        <v>322723.95574629982</v>
      </c>
      <c r="G68" s="164" t="str">
        <f>ConFin!G$84</f>
        <v>€ 000s</v>
      </c>
    </row>
    <row r="69" spans="1:79" s="118" customFormat="1" x14ac:dyDescent="0.2">
      <c r="A69" s="115"/>
      <c r="B69" s="115"/>
      <c r="C69" s="116"/>
      <c r="D69" s="117"/>
      <c r="E69" s="118" t="str">
        <f>'T&amp;E'!E$19</f>
        <v>Initial operations date flag</v>
      </c>
      <c r="F69" s="118">
        <f>'T&amp;E'!F$19</f>
        <v>0</v>
      </c>
      <c r="G69" s="118" t="str">
        <f>'T&amp;E'!G$19</f>
        <v>flag</v>
      </c>
      <c r="H69" s="118">
        <f>'T&amp;E'!H$19</f>
        <v>1</v>
      </c>
      <c r="I69" s="118">
        <f>'T&amp;E'!I$19</f>
        <v>0</v>
      </c>
      <c r="J69" s="118">
        <f>'T&amp;E'!J$19</f>
        <v>0</v>
      </c>
      <c r="K69" s="118">
        <f>'T&amp;E'!K$19</f>
        <v>0</v>
      </c>
      <c r="L69" s="118">
        <f>'T&amp;E'!L$19</f>
        <v>0</v>
      </c>
      <c r="M69" s="118">
        <f>'T&amp;E'!M$19</f>
        <v>0</v>
      </c>
      <c r="N69" s="118">
        <f>'T&amp;E'!N$19</f>
        <v>1</v>
      </c>
      <c r="O69" s="118">
        <f>'T&amp;E'!O$19</f>
        <v>0</v>
      </c>
      <c r="P69" s="118">
        <f>'T&amp;E'!P$19</f>
        <v>0</v>
      </c>
      <c r="Q69" s="118">
        <f>'T&amp;E'!Q$19</f>
        <v>0</v>
      </c>
      <c r="R69" s="118">
        <f>'T&amp;E'!R$19</f>
        <v>0</v>
      </c>
      <c r="S69" s="118">
        <f>'T&amp;E'!S$19</f>
        <v>0</v>
      </c>
      <c r="T69" s="118">
        <f>'T&amp;E'!T$19</f>
        <v>0</v>
      </c>
      <c r="U69" s="118">
        <f>'T&amp;E'!U$19</f>
        <v>0</v>
      </c>
      <c r="V69" s="118">
        <f>'T&amp;E'!V$19</f>
        <v>0</v>
      </c>
      <c r="W69" s="118">
        <f>'T&amp;E'!W$19</f>
        <v>0</v>
      </c>
      <c r="X69" s="118">
        <f>'T&amp;E'!X$19</f>
        <v>0</v>
      </c>
      <c r="Y69" s="118">
        <f>'T&amp;E'!Y$19</f>
        <v>0</v>
      </c>
      <c r="Z69" s="118">
        <f>'T&amp;E'!Z$19</f>
        <v>0</v>
      </c>
      <c r="AA69" s="118">
        <f>'T&amp;E'!AA$19</f>
        <v>0</v>
      </c>
      <c r="AB69" s="118">
        <f>'T&amp;E'!AB$19</f>
        <v>0</v>
      </c>
      <c r="AC69" s="118">
        <f>'T&amp;E'!AC$19</f>
        <v>0</v>
      </c>
      <c r="AD69" s="118">
        <f>'T&amp;E'!AD$19</f>
        <v>0</v>
      </c>
      <c r="AE69" s="118">
        <f>'T&amp;E'!AE$19</f>
        <v>0</v>
      </c>
      <c r="AF69" s="118">
        <f>'T&amp;E'!AF$19</f>
        <v>0</v>
      </c>
      <c r="AG69" s="118">
        <f>'T&amp;E'!AG$19</f>
        <v>0</v>
      </c>
      <c r="AH69" s="118">
        <f>'T&amp;E'!AH$19</f>
        <v>0</v>
      </c>
      <c r="AI69" s="118">
        <f>'T&amp;E'!AI$19</f>
        <v>0</v>
      </c>
      <c r="AJ69" s="118">
        <f>'T&amp;E'!AJ$19</f>
        <v>0</v>
      </c>
      <c r="AK69" s="118">
        <f>'T&amp;E'!AK$19</f>
        <v>0</v>
      </c>
      <c r="AL69" s="118">
        <f>'T&amp;E'!AL$19</f>
        <v>0</v>
      </c>
      <c r="AM69" s="118">
        <f>'T&amp;E'!AM$19</f>
        <v>0</v>
      </c>
      <c r="AN69" s="118">
        <f>'T&amp;E'!AN$19</f>
        <v>0</v>
      </c>
      <c r="AO69" s="118">
        <f>'T&amp;E'!AO$19</f>
        <v>0</v>
      </c>
      <c r="AP69" s="118">
        <f>'T&amp;E'!AP$19</f>
        <v>0</v>
      </c>
      <c r="AQ69" s="118">
        <f>'T&amp;E'!AQ$19</f>
        <v>0</v>
      </c>
      <c r="AR69" s="118">
        <f>'T&amp;E'!AR$19</f>
        <v>0</v>
      </c>
      <c r="AS69" s="118">
        <f>'T&amp;E'!AS$19</f>
        <v>0</v>
      </c>
      <c r="AT69" s="118">
        <f>'T&amp;E'!AT$19</f>
        <v>0</v>
      </c>
      <c r="AU69" s="118">
        <f>'T&amp;E'!AU$19</f>
        <v>0</v>
      </c>
      <c r="AV69" s="118">
        <f>'T&amp;E'!AV$19</f>
        <v>0</v>
      </c>
      <c r="AW69" s="118">
        <f>'T&amp;E'!AW$19</f>
        <v>0</v>
      </c>
      <c r="AX69" s="118">
        <f>'T&amp;E'!AX$19</f>
        <v>0</v>
      </c>
      <c r="AY69" s="118">
        <f>'T&amp;E'!AY$19</f>
        <v>0</v>
      </c>
      <c r="AZ69" s="118">
        <f>'T&amp;E'!AZ$19</f>
        <v>0</v>
      </c>
      <c r="BA69" s="118">
        <f>'T&amp;E'!BA$19</f>
        <v>0</v>
      </c>
      <c r="BB69" s="118">
        <f>'T&amp;E'!BB$19</f>
        <v>0</v>
      </c>
      <c r="BC69" s="118">
        <f>'T&amp;E'!BC$19</f>
        <v>0</v>
      </c>
      <c r="BD69" s="118">
        <f>'T&amp;E'!BD$19</f>
        <v>0</v>
      </c>
      <c r="BE69" s="118">
        <f>'T&amp;E'!BE$19</f>
        <v>0</v>
      </c>
      <c r="BF69" s="118">
        <f>'T&amp;E'!BF$19</f>
        <v>0</v>
      </c>
      <c r="BG69" s="118">
        <f>'T&amp;E'!BG$19</f>
        <v>0</v>
      </c>
      <c r="BH69" s="118">
        <f>'T&amp;E'!BH$19</f>
        <v>0</v>
      </c>
      <c r="BI69" s="118">
        <f>'T&amp;E'!BI$19</f>
        <v>0</v>
      </c>
      <c r="BJ69" s="118">
        <f>'T&amp;E'!BJ$19</f>
        <v>0</v>
      </c>
      <c r="BK69" s="118">
        <f>'T&amp;E'!BK$19</f>
        <v>0</v>
      </c>
      <c r="BL69" s="118">
        <f>'T&amp;E'!BL$19</f>
        <v>0</v>
      </c>
      <c r="BM69" s="118">
        <f>'T&amp;E'!BM$19</f>
        <v>0</v>
      </c>
      <c r="BN69" s="118">
        <f>'T&amp;E'!BN$19</f>
        <v>0</v>
      </c>
      <c r="BO69" s="118">
        <f>'T&amp;E'!BO$19</f>
        <v>0</v>
      </c>
      <c r="BP69" s="118">
        <f>'T&amp;E'!BP$19</f>
        <v>0</v>
      </c>
      <c r="BQ69" s="118">
        <f>'T&amp;E'!BQ$19</f>
        <v>0</v>
      </c>
      <c r="BR69" s="118">
        <f>'T&amp;E'!BR$19</f>
        <v>0</v>
      </c>
      <c r="BS69" s="118">
        <f>'T&amp;E'!BS$19</f>
        <v>0</v>
      </c>
      <c r="BT69" s="118">
        <f>'T&amp;E'!BT$19</f>
        <v>0</v>
      </c>
      <c r="BU69" s="118">
        <f>'T&amp;E'!BU$19</f>
        <v>0</v>
      </c>
      <c r="BV69" s="118">
        <f>'T&amp;E'!BV$19</f>
        <v>0</v>
      </c>
      <c r="BW69" s="118">
        <f>'T&amp;E'!BW$19</f>
        <v>0</v>
      </c>
      <c r="BX69" s="118">
        <f>'T&amp;E'!BX$19</f>
        <v>0</v>
      </c>
      <c r="BY69" s="118">
        <f>'T&amp;E'!BY$19</f>
        <v>0</v>
      </c>
      <c r="BZ69" s="118">
        <f>'T&amp;E'!BZ$19</f>
        <v>0</v>
      </c>
      <c r="CA69" s="118">
        <f>'T&amp;E'!CA$19</f>
        <v>0</v>
      </c>
    </row>
    <row r="70" spans="1:79" s="122" customFormat="1" x14ac:dyDescent="0.2">
      <c r="A70" s="119"/>
      <c r="B70" s="119"/>
      <c r="C70" s="120"/>
      <c r="D70" s="121"/>
    </row>
    <row r="71" spans="1:79" s="122" customFormat="1" x14ac:dyDescent="0.2">
      <c r="A71" s="119"/>
      <c r="B71" s="119"/>
      <c r="C71" s="120"/>
      <c r="D71" s="121"/>
      <c r="E71" s="124" t="s">
        <v>248</v>
      </c>
      <c r="G71" s="124" t="str">
        <f xml:space="preserve"> SMU</f>
        <v>€ 000s</v>
      </c>
      <c r="J71" s="122">
        <f t="shared" ref="J71:BU71" si="50" xml:space="preserve"> I74</f>
        <v>0</v>
      </c>
      <c r="K71" s="122">
        <f t="shared" si="50"/>
        <v>0</v>
      </c>
      <c r="L71" s="122">
        <f t="shared" si="50"/>
        <v>0</v>
      </c>
      <c r="M71" s="122">
        <f t="shared" si="50"/>
        <v>0</v>
      </c>
      <c r="N71" s="122">
        <f t="shared" si="50"/>
        <v>0</v>
      </c>
      <c r="O71" s="122">
        <f t="shared" si="50"/>
        <v>322723.95574629982</v>
      </c>
      <c r="P71" s="122">
        <f t="shared" si="50"/>
        <v>319687.12332272716</v>
      </c>
      <c r="Q71" s="122">
        <f t="shared" si="50"/>
        <v>316430.838609247</v>
      </c>
      <c r="R71" s="122">
        <f t="shared" si="50"/>
        <v>312816.33030488843</v>
      </c>
      <c r="S71" s="122">
        <f t="shared" si="50"/>
        <v>310195.81178422848</v>
      </c>
      <c r="T71" s="122">
        <f t="shared" si="50"/>
        <v>307339.70477587375</v>
      </c>
      <c r="U71" s="122">
        <f t="shared" si="50"/>
        <v>304683.68662008172</v>
      </c>
      <c r="V71" s="122">
        <f t="shared" si="50"/>
        <v>301827.57961172698</v>
      </c>
      <c r="W71" s="122">
        <f t="shared" si="50"/>
        <v>298955.33640558494</v>
      </c>
      <c r="X71" s="122">
        <f t="shared" si="50"/>
        <v>295879.7771073227</v>
      </c>
      <c r="Y71" s="122">
        <f t="shared" si="50"/>
        <v>292462.13041596941</v>
      </c>
      <c r="Z71" s="122">
        <f t="shared" si="50"/>
        <v>288250.58279348019</v>
      </c>
      <c r="AA71" s="122">
        <f t="shared" si="50"/>
        <v>284035.80793143349</v>
      </c>
      <c r="AB71" s="122">
        <f t="shared" si="50"/>
        <v>279562.85390478978</v>
      </c>
      <c r="AC71" s="122">
        <f t="shared" si="50"/>
        <v>274976.94649363484</v>
      </c>
      <c r="AD71" s="122">
        <f t="shared" si="50"/>
        <v>270100.58752230823</v>
      </c>
      <c r="AE71" s="122">
        <f t="shared" si="50"/>
        <v>264746.59709647711</v>
      </c>
      <c r="AF71" s="122">
        <f t="shared" si="50"/>
        <v>259037.61031932506</v>
      </c>
      <c r="AG71" s="122">
        <f t="shared" si="50"/>
        <v>253160.80708518493</v>
      </c>
      <c r="AH71" s="122">
        <f t="shared" si="50"/>
        <v>246893.50786459178</v>
      </c>
      <c r="AI71" s="122">
        <f t="shared" si="50"/>
        <v>240429.34703099341</v>
      </c>
      <c r="AJ71" s="122">
        <f t="shared" si="50"/>
        <v>233064.78636086284</v>
      </c>
      <c r="AK71" s="122">
        <f t="shared" si="50"/>
        <v>225471.09168215242</v>
      </c>
      <c r="AL71" s="122">
        <f t="shared" si="50"/>
        <v>217409.44726760985</v>
      </c>
      <c r="AM71" s="122">
        <f t="shared" si="50"/>
        <v>209086.39644891277</v>
      </c>
      <c r="AN71" s="122">
        <f t="shared" si="50"/>
        <v>200256.669019694</v>
      </c>
      <c r="AO71" s="122">
        <f t="shared" si="50"/>
        <v>190875.08362614908</v>
      </c>
      <c r="AP71" s="122">
        <f t="shared" si="50"/>
        <v>180915.82235181826</v>
      </c>
      <c r="AQ71" s="122">
        <f t="shared" si="50"/>
        <v>170630.60988218369</v>
      </c>
      <c r="AR71" s="122">
        <f t="shared" si="50"/>
        <v>159722.54017795876</v>
      </c>
      <c r="AS71" s="122">
        <f t="shared" si="50"/>
        <v>148453.01964329797</v>
      </c>
      <c r="AT71" s="122">
        <f t="shared" si="50"/>
        <v>136515.46052024234</v>
      </c>
      <c r="AU71" s="122">
        <f t="shared" si="50"/>
        <v>124174.49645250384</v>
      </c>
      <c r="AV71" s="122">
        <f t="shared" si="50"/>
        <v>111113.85796345108</v>
      </c>
      <c r="AW71" s="122">
        <f t="shared" si="50"/>
        <v>97607.860415468429</v>
      </c>
      <c r="AX71" s="122">
        <f t="shared" si="50"/>
        <v>83330.552613252119</v>
      </c>
      <c r="AY71" s="122">
        <f t="shared" si="50"/>
        <v>68168.981172290951</v>
      </c>
      <c r="AZ71" s="122">
        <f t="shared" si="50"/>
        <v>52139.282290372241</v>
      </c>
      <c r="BA71" s="122">
        <f t="shared" si="50"/>
        <v>35573.861641914671</v>
      </c>
      <c r="BB71" s="122">
        <f t="shared" si="50"/>
        <v>18082.22324046522</v>
      </c>
      <c r="BC71" s="122">
        <f t="shared" si="50"/>
        <v>3.2741809263825417E-11</v>
      </c>
      <c r="BD71" s="122">
        <f t="shared" si="50"/>
        <v>3.2741809263825417E-11</v>
      </c>
      <c r="BE71" s="122">
        <f t="shared" si="50"/>
        <v>3.2741809263825417E-11</v>
      </c>
      <c r="BF71" s="122">
        <f t="shared" si="50"/>
        <v>3.2741809263825417E-11</v>
      </c>
      <c r="BG71" s="122">
        <f t="shared" si="50"/>
        <v>3.2741809263825417E-11</v>
      </c>
      <c r="BH71" s="122">
        <f t="shared" si="50"/>
        <v>3.2741809263825417E-11</v>
      </c>
      <c r="BI71" s="122">
        <f t="shared" si="50"/>
        <v>3.2741809263825417E-11</v>
      </c>
      <c r="BJ71" s="122">
        <f t="shared" si="50"/>
        <v>3.2741809263825417E-11</v>
      </c>
      <c r="BK71" s="122">
        <f t="shared" si="50"/>
        <v>3.2741809263825417E-11</v>
      </c>
      <c r="BL71" s="122">
        <f t="shared" si="50"/>
        <v>3.2741809263825417E-11</v>
      </c>
      <c r="BM71" s="122">
        <f t="shared" si="50"/>
        <v>3.2741809263825417E-11</v>
      </c>
      <c r="BN71" s="122">
        <f t="shared" si="50"/>
        <v>3.2741809263825417E-11</v>
      </c>
      <c r="BO71" s="122">
        <f t="shared" si="50"/>
        <v>3.2741809263825417E-11</v>
      </c>
      <c r="BP71" s="122">
        <f t="shared" si="50"/>
        <v>3.2741809263825417E-11</v>
      </c>
      <c r="BQ71" s="122">
        <f t="shared" si="50"/>
        <v>3.2741809263825417E-11</v>
      </c>
      <c r="BR71" s="122">
        <f t="shared" si="50"/>
        <v>3.2741809263825417E-11</v>
      </c>
      <c r="BS71" s="122">
        <f t="shared" si="50"/>
        <v>3.2741809263825417E-11</v>
      </c>
      <c r="BT71" s="122">
        <f t="shared" si="50"/>
        <v>3.2741809263825417E-11</v>
      </c>
      <c r="BU71" s="122">
        <f t="shared" si="50"/>
        <v>3.2741809263825417E-11</v>
      </c>
      <c r="BV71" s="122">
        <f t="shared" ref="BV71:CA71" si="51" xml:space="preserve"> BU74</f>
        <v>3.2741809263825417E-11</v>
      </c>
      <c r="BW71" s="122">
        <f t="shared" si="51"/>
        <v>3.2741809263825417E-11</v>
      </c>
      <c r="BX71" s="122">
        <f t="shared" si="51"/>
        <v>3.2741809263825417E-11</v>
      </c>
      <c r="BY71" s="122">
        <f t="shared" si="51"/>
        <v>3.2741809263825417E-11</v>
      </c>
      <c r="BZ71" s="122">
        <f t="shared" si="51"/>
        <v>3.2741809263825417E-11</v>
      </c>
      <c r="CA71" s="122">
        <f t="shared" si="51"/>
        <v>3.2741809263825417E-11</v>
      </c>
    </row>
    <row r="72" spans="1:79" s="123" customFormat="1" x14ac:dyDescent="0.2">
      <c r="A72" s="125"/>
      <c r="B72" s="125"/>
      <c r="C72" s="126"/>
      <c r="D72" s="127" t="s">
        <v>23</v>
      </c>
      <c r="E72" s="123" t="s">
        <v>109</v>
      </c>
      <c r="G72" s="123" t="str">
        <f xml:space="preserve"> SMU</f>
        <v>€ 000s</v>
      </c>
    </row>
    <row r="73" spans="1:79" s="124" customFormat="1" x14ac:dyDescent="0.2">
      <c r="A73" s="166"/>
      <c r="B73" s="166"/>
      <c r="C73" s="167"/>
      <c r="D73" s="168" t="s">
        <v>24</v>
      </c>
      <c r="E73" s="124" t="str">
        <f>E$62</f>
        <v>Senior principal repayment POS</v>
      </c>
      <c r="F73" s="124">
        <f t="shared" ref="F73:BQ73" si="52">F$62</f>
        <v>0</v>
      </c>
      <c r="G73" s="124" t="str">
        <f t="shared" si="52"/>
        <v>€ 000s</v>
      </c>
      <c r="H73" s="124">
        <f t="shared" si="52"/>
        <v>322723.9557462997</v>
      </c>
      <c r="I73" s="124">
        <f t="shared" si="52"/>
        <v>0</v>
      </c>
      <c r="J73" s="124">
        <f t="shared" si="52"/>
        <v>0</v>
      </c>
      <c r="K73" s="124">
        <f t="shared" si="52"/>
        <v>0</v>
      </c>
      <c r="L73" s="124">
        <f t="shared" si="52"/>
        <v>0</v>
      </c>
      <c r="M73" s="124">
        <f t="shared" si="52"/>
        <v>0</v>
      </c>
      <c r="N73" s="124">
        <f t="shared" si="52"/>
        <v>0</v>
      </c>
      <c r="O73" s="124">
        <f t="shared" si="52"/>
        <v>3036.8324235726814</v>
      </c>
      <c r="P73" s="124">
        <f t="shared" si="52"/>
        <v>3256.284713480165</v>
      </c>
      <c r="Q73" s="124">
        <f t="shared" si="52"/>
        <v>3614.5083043585578</v>
      </c>
      <c r="R73" s="124">
        <f t="shared" si="52"/>
        <v>2620.5185206599549</v>
      </c>
      <c r="S73" s="124">
        <f t="shared" si="52"/>
        <v>2856.1070083547534</v>
      </c>
      <c r="T73" s="124">
        <f t="shared" si="52"/>
        <v>2656.0181557920473</v>
      </c>
      <c r="U73" s="124">
        <f t="shared" si="52"/>
        <v>2856.1070083547534</v>
      </c>
      <c r="V73" s="124">
        <f t="shared" si="52"/>
        <v>2872.2432061420682</v>
      </c>
      <c r="W73" s="124">
        <f t="shared" si="52"/>
        <v>3075.5592982622375</v>
      </c>
      <c r="X73" s="124">
        <f t="shared" si="52"/>
        <v>3417.6466913533154</v>
      </c>
      <c r="Y73" s="124">
        <f t="shared" si="52"/>
        <v>4211.5476224892127</v>
      </c>
      <c r="Z73" s="124">
        <f t="shared" si="52"/>
        <v>4214.7748620466755</v>
      </c>
      <c r="AA73" s="124">
        <f t="shared" si="52"/>
        <v>4472.9540266437161</v>
      </c>
      <c r="AB73" s="124">
        <f t="shared" si="52"/>
        <v>4585.9074111549207</v>
      </c>
      <c r="AC73" s="124">
        <f t="shared" si="52"/>
        <v>4876.3589713265901</v>
      </c>
      <c r="AD73" s="124">
        <f t="shared" si="52"/>
        <v>5353.9904258311144</v>
      </c>
      <c r="AE73" s="124">
        <f t="shared" si="52"/>
        <v>5708.9867771520439</v>
      </c>
      <c r="AF73" s="124">
        <f t="shared" si="52"/>
        <v>5876.8032341401195</v>
      </c>
      <c r="AG73" s="124">
        <f t="shared" si="52"/>
        <v>6267.2992205931423</v>
      </c>
      <c r="AH73" s="124">
        <f t="shared" si="52"/>
        <v>6464.1608335983856</v>
      </c>
      <c r="AI73" s="124">
        <f t="shared" si="52"/>
        <v>7364.5606701305614</v>
      </c>
      <c r="AJ73" s="124">
        <f t="shared" si="52"/>
        <v>7593.6946787104343</v>
      </c>
      <c r="AK73" s="124">
        <f t="shared" si="52"/>
        <v>8061.6444145425694</v>
      </c>
      <c r="AL73" s="124">
        <f t="shared" si="52"/>
        <v>8323.0508186970728</v>
      </c>
      <c r="AM73" s="124">
        <f t="shared" si="52"/>
        <v>8829.7274292187631</v>
      </c>
      <c r="AN73" s="124">
        <f t="shared" si="52"/>
        <v>9381.5853935449359</v>
      </c>
      <c r="AO73" s="124">
        <f t="shared" si="52"/>
        <v>9959.2612743308127</v>
      </c>
      <c r="AP73" s="124">
        <f t="shared" si="52"/>
        <v>10285.212469634576</v>
      </c>
      <c r="AQ73" s="124">
        <f t="shared" si="52"/>
        <v>10908.069704224932</v>
      </c>
      <c r="AR73" s="124">
        <f t="shared" si="52"/>
        <v>11269.520534660789</v>
      </c>
      <c r="AS73" s="124">
        <f t="shared" si="52"/>
        <v>11937.559123055631</v>
      </c>
      <c r="AT73" s="124">
        <f t="shared" si="52"/>
        <v>12340.964067738507</v>
      </c>
      <c r="AU73" s="124">
        <f t="shared" si="52"/>
        <v>13060.638489052753</v>
      </c>
      <c r="AV73" s="124">
        <f t="shared" si="52"/>
        <v>13505.997547982646</v>
      </c>
      <c r="AW73" s="124">
        <f t="shared" si="52"/>
        <v>14277.307802216304</v>
      </c>
      <c r="AX73" s="124">
        <f t="shared" si="52"/>
        <v>15161.571440961166</v>
      </c>
      <c r="AY73" s="124">
        <f t="shared" si="52"/>
        <v>16029.698881918712</v>
      </c>
      <c r="AZ73" s="124">
        <f t="shared" si="52"/>
        <v>16565.42064845757</v>
      </c>
      <c r="BA73" s="124">
        <f t="shared" si="52"/>
        <v>17491.638401449451</v>
      </c>
      <c r="BB73" s="124">
        <f t="shared" si="52"/>
        <v>18082.223240465188</v>
      </c>
      <c r="BC73" s="124">
        <f t="shared" si="52"/>
        <v>0</v>
      </c>
      <c r="BD73" s="124">
        <f t="shared" si="52"/>
        <v>0</v>
      </c>
      <c r="BE73" s="124">
        <f t="shared" si="52"/>
        <v>0</v>
      </c>
      <c r="BF73" s="124">
        <f t="shared" si="52"/>
        <v>0</v>
      </c>
      <c r="BG73" s="124">
        <f t="shared" si="52"/>
        <v>0</v>
      </c>
      <c r="BH73" s="124">
        <f t="shared" si="52"/>
        <v>0</v>
      </c>
      <c r="BI73" s="124">
        <f t="shared" si="52"/>
        <v>0</v>
      </c>
      <c r="BJ73" s="124">
        <f t="shared" si="52"/>
        <v>0</v>
      </c>
      <c r="BK73" s="124">
        <f t="shared" si="52"/>
        <v>0</v>
      </c>
      <c r="BL73" s="124">
        <f t="shared" si="52"/>
        <v>0</v>
      </c>
      <c r="BM73" s="124">
        <f t="shared" si="52"/>
        <v>0</v>
      </c>
      <c r="BN73" s="124">
        <f t="shared" si="52"/>
        <v>0</v>
      </c>
      <c r="BO73" s="124">
        <f t="shared" si="52"/>
        <v>0</v>
      </c>
      <c r="BP73" s="124">
        <f t="shared" si="52"/>
        <v>0</v>
      </c>
      <c r="BQ73" s="124">
        <f t="shared" si="52"/>
        <v>0</v>
      </c>
      <c r="BR73" s="124">
        <f t="shared" ref="BR73:CA73" si="53">BR$62</f>
        <v>0</v>
      </c>
      <c r="BS73" s="124">
        <f t="shared" si="53"/>
        <v>0</v>
      </c>
      <c r="BT73" s="124">
        <f t="shared" si="53"/>
        <v>0</v>
      </c>
      <c r="BU73" s="124">
        <f t="shared" si="53"/>
        <v>0</v>
      </c>
      <c r="BV73" s="124">
        <f t="shared" si="53"/>
        <v>0</v>
      </c>
      <c r="BW73" s="124">
        <f t="shared" si="53"/>
        <v>0</v>
      </c>
      <c r="BX73" s="124">
        <f t="shared" si="53"/>
        <v>0</v>
      </c>
      <c r="BY73" s="124">
        <f t="shared" si="53"/>
        <v>0</v>
      </c>
      <c r="BZ73" s="124">
        <f t="shared" si="53"/>
        <v>0</v>
      </c>
      <c r="CA73" s="124">
        <f t="shared" si="53"/>
        <v>0</v>
      </c>
    </row>
    <row r="74" spans="1:79" s="173" customFormat="1" ht="13.5" thickBot="1" x14ac:dyDescent="0.25">
      <c r="A74" s="169"/>
      <c r="B74" s="169"/>
      <c r="C74" s="170"/>
      <c r="D74" s="171"/>
      <c r="E74" s="172" t="s">
        <v>247</v>
      </c>
      <c r="G74" s="172" t="str">
        <f xml:space="preserve"> SMU</f>
        <v>€ 000s</v>
      </c>
      <c r="I74" s="174"/>
      <c r="J74" s="173">
        <f t="shared" ref="J74:BU74" si="54" xml:space="preserve"> IF( J69 = 1, $F68, J71 + J72 - J73)</f>
        <v>0</v>
      </c>
      <c r="K74" s="173">
        <f t="shared" si="54"/>
        <v>0</v>
      </c>
      <c r="L74" s="173">
        <f t="shared" si="54"/>
        <v>0</v>
      </c>
      <c r="M74" s="173">
        <f t="shared" si="54"/>
        <v>0</v>
      </c>
      <c r="N74" s="173">
        <f t="shared" si="54"/>
        <v>322723.95574629982</v>
      </c>
      <c r="O74" s="173">
        <f t="shared" si="54"/>
        <v>319687.12332272716</v>
      </c>
      <c r="P74" s="173">
        <f t="shared" si="54"/>
        <v>316430.838609247</v>
      </c>
      <c r="Q74" s="173">
        <f t="shared" si="54"/>
        <v>312816.33030488843</v>
      </c>
      <c r="R74" s="173">
        <f t="shared" si="54"/>
        <v>310195.81178422848</v>
      </c>
      <c r="S74" s="173">
        <f t="shared" si="54"/>
        <v>307339.70477587375</v>
      </c>
      <c r="T74" s="173">
        <f t="shared" si="54"/>
        <v>304683.68662008172</v>
      </c>
      <c r="U74" s="173">
        <f t="shared" si="54"/>
        <v>301827.57961172698</v>
      </c>
      <c r="V74" s="173">
        <f t="shared" si="54"/>
        <v>298955.33640558494</v>
      </c>
      <c r="W74" s="173">
        <f t="shared" si="54"/>
        <v>295879.7771073227</v>
      </c>
      <c r="X74" s="173">
        <f t="shared" si="54"/>
        <v>292462.13041596941</v>
      </c>
      <c r="Y74" s="173">
        <f t="shared" si="54"/>
        <v>288250.58279348019</v>
      </c>
      <c r="Z74" s="173">
        <f t="shared" si="54"/>
        <v>284035.80793143349</v>
      </c>
      <c r="AA74" s="173">
        <f t="shared" si="54"/>
        <v>279562.85390478978</v>
      </c>
      <c r="AB74" s="173">
        <f t="shared" si="54"/>
        <v>274976.94649363484</v>
      </c>
      <c r="AC74" s="173">
        <f t="shared" si="54"/>
        <v>270100.58752230823</v>
      </c>
      <c r="AD74" s="173">
        <f t="shared" si="54"/>
        <v>264746.59709647711</v>
      </c>
      <c r="AE74" s="173">
        <f t="shared" si="54"/>
        <v>259037.61031932506</v>
      </c>
      <c r="AF74" s="173">
        <f t="shared" si="54"/>
        <v>253160.80708518493</v>
      </c>
      <c r="AG74" s="173">
        <f t="shared" si="54"/>
        <v>246893.50786459178</v>
      </c>
      <c r="AH74" s="173">
        <f t="shared" si="54"/>
        <v>240429.34703099341</v>
      </c>
      <c r="AI74" s="173">
        <f t="shared" si="54"/>
        <v>233064.78636086284</v>
      </c>
      <c r="AJ74" s="173">
        <f t="shared" si="54"/>
        <v>225471.09168215242</v>
      </c>
      <c r="AK74" s="173">
        <f t="shared" si="54"/>
        <v>217409.44726760985</v>
      </c>
      <c r="AL74" s="173">
        <f t="shared" si="54"/>
        <v>209086.39644891277</v>
      </c>
      <c r="AM74" s="173">
        <f t="shared" si="54"/>
        <v>200256.669019694</v>
      </c>
      <c r="AN74" s="173">
        <f t="shared" si="54"/>
        <v>190875.08362614908</v>
      </c>
      <c r="AO74" s="173">
        <f t="shared" si="54"/>
        <v>180915.82235181826</v>
      </c>
      <c r="AP74" s="173">
        <f t="shared" si="54"/>
        <v>170630.60988218369</v>
      </c>
      <c r="AQ74" s="173">
        <f t="shared" si="54"/>
        <v>159722.54017795876</v>
      </c>
      <c r="AR74" s="173">
        <f t="shared" si="54"/>
        <v>148453.01964329797</v>
      </c>
      <c r="AS74" s="173">
        <f t="shared" si="54"/>
        <v>136515.46052024234</v>
      </c>
      <c r="AT74" s="173">
        <f t="shared" si="54"/>
        <v>124174.49645250384</v>
      </c>
      <c r="AU74" s="173">
        <f t="shared" si="54"/>
        <v>111113.85796345108</v>
      </c>
      <c r="AV74" s="173">
        <f t="shared" si="54"/>
        <v>97607.860415468429</v>
      </c>
      <c r="AW74" s="173">
        <f t="shared" si="54"/>
        <v>83330.552613252119</v>
      </c>
      <c r="AX74" s="173">
        <f t="shared" si="54"/>
        <v>68168.981172290951</v>
      </c>
      <c r="AY74" s="173">
        <f t="shared" si="54"/>
        <v>52139.282290372241</v>
      </c>
      <c r="AZ74" s="173">
        <f t="shared" si="54"/>
        <v>35573.861641914671</v>
      </c>
      <c r="BA74" s="173">
        <f t="shared" si="54"/>
        <v>18082.22324046522</v>
      </c>
      <c r="BB74" s="173">
        <f t="shared" si="54"/>
        <v>3.2741809263825417E-11</v>
      </c>
      <c r="BC74" s="173">
        <f t="shared" si="54"/>
        <v>3.2741809263825417E-11</v>
      </c>
      <c r="BD74" s="173">
        <f t="shared" si="54"/>
        <v>3.2741809263825417E-11</v>
      </c>
      <c r="BE74" s="173">
        <f t="shared" si="54"/>
        <v>3.2741809263825417E-11</v>
      </c>
      <c r="BF74" s="173">
        <f t="shared" si="54"/>
        <v>3.2741809263825417E-11</v>
      </c>
      <c r="BG74" s="173">
        <f t="shared" si="54"/>
        <v>3.2741809263825417E-11</v>
      </c>
      <c r="BH74" s="173">
        <f t="shared" si="54"/>
        <v>3.2741809263825417E-11</v>
      </c>
      <c r="BI74" s="173">
        <f t="shared" si="54"/>
        <v>3.2741809263825417E-11</v>
      </c>
      <c r="BJ74" s="173">
        <f t="shared" si="54"/>
        <v>3.2741809263825417E-11</v>
      </c>
      <c r="BK74" s="173">
        <f t="shared" si="54"/>
        <v>3.2741809263825417E-11</v>
      </c>
      <c r="BL74" s="173">
        <f t="shared" si="54"/>
        <v>3.2741809263825417E-11</v>
      </c>
      <c r="BM74" s="173">
        <f t="shared" si="54"/>
        <v>3.2741809263825417E-11</v>
      </c>
      <c r="BN74" s="173">
        <f t="shared" si="54"/>
        <v>3.2741809263825417E-11</v>
      </c>
      <c r="BO74" s="173">
        <f t="shared" si="54"/>
        <v>3.2741809263825417E-11</v>
      </c>
      <c r="BP74" s="173">
        <f t="shared" si="54"/>
        <v>3.2741809263825417E-11</v>
      </c>
      <c r="BQ74" s="173">
        <f t="shared" si="54"/>
        <v>3.2741809263825417E-11</v>
      </c>
      <c r="BR74" s="173">
        <f t="shared" si="54"/>
        <v>3.2741809263825417E-11</v>
      </c>
      <c r="BS74" s="173">
        <f t="shared" si="54"/>
        <v>3.2741809263825417E-11</v>
      </c>
      <c r="BT74" s="173">
        <f t="shared" si="54"/>
        <v>3.2741809263825417E-11</v>
      </c>
      <c r="BU74" s="173">
        <f t="shared" si="54"/>
        <v>3.2741809263825417E-11</v>
      </c>
      <c r="BV74" s="173">
        <f t="shared" ref="BV74:CA74" si="55" xml:space="preserve"> IF( BV69 = 1, $F68, BV71 + BV72 - BV73)</f>
        <v>3.2741809263825417E-11</v>
      </c>
      <c r="BW74" s="173">
        <f t="shared" si="55"/>
        <v>3.2741809263825417E-11</v>
      </c>
      <c r="BX74" s="173">
        <f t="shared" si="55"/>
        <v>3.2741809263825417E-11</v>
      </c>
      <c r="BY74" s="173">
        <f t="shared" si="55"/>
        <v>3.2741809263825417E-11</v>
      </c>
      <c r="BZ74" s="173">
        <f t="shared" si="55"/>
        <v>3.2741809263825417E-11</v>
      </c>
      <c r="CA74" s="173">
        <f t="shared" si="55"/>
        <v>3.2741809263825417E-11</v>
      </c>
    </row>
    <row r="75" spans="1:79" s="133" customFormat="1" ht="13.5" thickTop="1" x14ac:dyDescent="0.2">
      <c r="A75" s="129"/>
      <c r="B75" s="130"/>
      <c r="C75" s="131"/>
      <c r="D75" s="132"/>
    </row>
    <row r="77" spans="1:79" x14ac:dyDescent="0.2">
      <c r="E77" s="85" t="str">
        <f xml:space="preserve"> E$30</f>
        <v>Senior debt interest expense POS</v>
      </c>
      <c r="F77" s="85">
        <f t="shared" ref="F77:BQ77" si="56" xml:space="preserve"> F$30</f>
        <v>0</v>
      </c>
      <c r="G77" s="85" t="str">
        <f t="shared" si="56"/>
        <v>€ 000s</v>
      </c>
      <c r="H77" s="85">
        <f t="shared" si="56"/>
        <v>392274.30033447064</v>
      </c>
      <c r="I77" s="85">
        <f t="shared" si="56"/>
        <v>0</v>
      </c>
      <c r="J77" s="85">
        <f t="shared" si="56"/>
        <v>0</v>
      </c>
      <c r="K77" s="85">
        <f t="shared" si="56"/>
        <v>0</v>
      </c>
      <c r="L77" s="85">
        <f t="shared" si="56"/>
        <v>0</v>
      </c>
      <c r="M77" s="85">
        <f t="shared" si="56"/>
        <v>0</v>
      </c>
      <c r="N77" s="85">
        <f t="shared" si="56"/>
        <v>0</v>
      </c>
      <c r="O77" s="85">
        <f t="shared" si="56"/>
        <v>15329.387897949242</v>
      </c>
      <c r="P77" s="85">
        <f t="shared" si="56"/>
        <v>15185.138357829541</v>
      </c>
      <c r="Q77" s="85">
        <f t="shared" si="56"/>
        <v>15030.464833939233</v>
      </c>
      <c r="R77" s="85">
        <f t="shared" si="56"/>
        <v>14858.7756894822</v>
      </c>
      <c r="S77" s="85">
        <f t="shared" si="56"/>
        <v>14734.301059750853</v>
      </c>
      <c r="T77" s="85">
        <f t="shared" si="56"/>
        <v>14598.635976854002</v>
      </c>
      <c r="U77" s="85">
        <f t="shared" si="56"/>
        <v>14472.475114453882</v>
      </c>
      <c r="V77" s="85">
        <f t="shared" si="56"/>
        <v>14336.810031557032</v>
      </c>
      <c r="W77" s="85">
        <f t="shared" si="56"/>
        <v>14200.378479265284</v>
      </c>
      <c r="X77" s="85">
        <f t="shared" si="56"/>
        <v>14054.289412597829</v>
      </c>
      <c r="Y77" s="85">
        <f t="shared" si="56"/>
        <v>13160.795868718624</v>
      </c>
      <c r="Z77" s="85">
        <f t="shared" si="56"/>
        <v>12971.276225706608</v>
      </c>
      <c r="AA77" s="85">
        <f t="shared" si="56"/>
        <v>12781.611356914507</v>
      </c>
      <c r="AB77" s="85">
        <f t="shared" si="56"/>
        <v>12580.328425715539</v>
      </c>
      <c r="AC77" s="85">
        <f t="shared" si="56"/>
        <v>12373.962592213567</v>
      </c>
      <c r="AD77" s="85">
        <f t="shared" si="56"/>
        <v>12154.52643850387</v>
      </c>
      <c r="AE77" s="85">
        <f t="shared" si="56"/>
        <v>11913.596869341469</v>
      </c>
      <c r="AF77" s="85">
        <f t="shared" si="56"/>
        <v>11656.692464369627</v>
      </c>
      <c r="AG77" s="85">
        <f t="shared" si="56"/>
        <v>11392.236318833322</v>
      </c>
      <c r="AH77" s="85">
        <f t="shared" si="56"/>
        <v>11110.20785390663</v>
      </c>
      <c r="AI77" s="85">
        <f t="shared" si="56"/>
        <v>10218.247248817219</v>
      </c>
      <c r="AJ77" s="85">
        <f t="shared" si="56"/>
        <v>9905.2534203366704</v>
      </c>
      <c r="AK77" s="85">
        <f t="shared" si="56"/>
        <v>9582.5213964914765</v>
      </c>
      <c r="AL77" s="85">
        <f t="shared" si="56"/>
        <v>9239.9015088734177</v>
      </c>
      <c r="AM77" s="85">
        <f t="shared" si="56"/>
        <v>8886.1718490787916</v>
      </c>
      <c r="AN77" s="85">
        <f t="shared" si="56"/>
        <v>8510.9084333369938</v>
      </c>
      <c r="AO77" s="85">
        <f t="shared" si="56"/>
        <v>8112.1910541113348</v>
      </c>
      <c r="AP77" s="85">
        <f t="shared" si="56"/>
        <v>7688.9224499522752</v>
      </c>
      <c r="AQ77" s="85">
        <f t="shared" si="56"/>
        <v>7251.8009199928065</v>
      </c>
      <c r="AR77" s="85">
        <f t="shared" si="56"/>
        <v>6788.2079575632461</v>
      </c>
      <c r="AS77" s="85">
        <f t="shared" si="56"/>
        <v>6309.253334840163</v>
      </c>
      <c r="AT77" s="85">
        <f t="shared" si="56"/>
        <v>5801.9070721102989</v>
      </c>
      <c r="AU77" s="85">
        <f t="shared" si="56"/>
        <v>5277.4160992314128</v>
      </c>
      <c r="AV77" s="85">
        <f t="shared" si="56"/>
        <v>4722.3389634466703</v>
      </c>
      <c r="AW77" s="85">
        <f t="shared" si="56"/>
        <v>4148.334067657408</v>
      </c>
      <c r="AX77" s="85">
        <f t="shared" si="56"/>
        <v>3541.5484860632146</v>
      </c>
      <c r="AY77" s="85">
        <f t="shared" si="56"/>
        <v>2897.1816998223653</v>
      </c>
      <c r="AZ77" s="85">
        <f t="shared" si="56"/>
        <v>2215.9194973408198</v>
      </c>
      <c r="BA77" s="85">
        <f t="shared" si="56"/>
        <v>1511.8891197813734</v>
      </c>
      <c r="BB77" s="85">
        <f t="shared" si="56"/>
        <v>768.49448771977177</v>
      </c>
      <c r="BC77" s="85">
        <f t="shared" si="56"/>
        <v>0</v>
      </c>
      <c r="BD77" s="85">
        <f t="shared" si="56"/>
        <v>0</v>
      </c>
      <c r="BE77" s="85">
        <f t="shared" si="56"/>
        <v>0</v>
      </c>
      <c r="BF77" s="85">
        <f t="shared" si="56"/>
        <v>0</v>
      </c>
      <c r="BG77" s="85">
        <f t="shared" si="56"/>
        <v>0</v>
      </c>
      <c r="BH77" s="85">
        <f t="shared" si="56"/>
        <v>0</v>
      </c>
      <c r="BI77" s="85">
        <f t="shared" si="56"/>
        <v>0</v>
      </c>
      <c r="BJ77" s="85">
        <f t="shared" si="56"/>
        <v>0</v>
      </c>
      <c r="BK77" s="85">
        <f t="shared" si="56"/>
        <v>0</v>
      </c>
      <c r="BL77" s="85">
        <f t="shared" si="56"/>
        <v>0</v>
      </c>
      <c r="BM77" s="85">
        <f t="shared" si="56"/>
        <v>0</v>
      </c>
      <c r="BN77" s="85">
        <f t="shared" si="56"/>
        <v>0</v>
      </c>
      <c r="BO77" s="85">
        <f t="shared" si="56"/>
        <v>0</v>
      </c>
      <c r="BP77" s="85">
        <f t="shared" si="56"/>
        <v>0</v>
      </c>
      <c r="BQ77" s="85">
        <f t="shared" si="56"/>
        <v>0</v>
      </c>
      <c r="BR77" s="85">
        <f t="shared" ref="BR77:CA77" si="57" xml:space="preserve"> BR$30</f>
        <v>0</v>
      </c>
      <c r="BS77" s="85">
        <f t="shared" si="57"/>
        <v>0</v>
      </c>
      <c r="BT77" s="85">
        <f t="shared" si="57"/>
        <v>0</v>
      </c>
      <c r="BU77" s="85">
        <f t="shared" si="57"/>
        <v>0</v>
      </c>
      <c r="BV77" s="85">
        <f t="shared" si="57"/>
        <v>0</v>
      </c>
      <c r="BW77" s="85">
        <f t="shared" si="57"/>
        <v>0</v>
      </c>
      <c r="BX77" s="85">
        <f t="shared" si="57"/>
        <v>0</v>
      </c>
      <c r="BY77" s="85">
        <f t="shared" si="57"/>
        <v>0</v>
      </c>
      <c r="BZ77" s="85">
        <f t="shared" si="57"/>
        <v>0</v>
      </c>
      <c r="CA77" s="85">
        <f t="shared" si="57"/>
        <v>0</v>
      </c>
    </row>
    <row r="78" spans="1:79" s="124" customFormat="1" x14ac:dyDescent="0.2">
      <c r="A78" s="166"/>
      <c r="B78" s="166"/>
      <c r="C78" s="167"/>
      <c r="D78" s="168"/>
      <c r="E78" s="124" t="str">
        <f>E$62</f>
        <v>Senior principal repayment POS</v>
      </c>
      <c r="F78" s="124">
        <f t="shared" ref="F78:BQ78" si="58">F$62</f>
        <v>0</v>
      </c>
      <c r="G78" s="124" t="str">
        <f t="shared" si="58"/>
        <v>€ 000s</v>
      </c>
      <c r="H78" s="124">
        <f t="shared" si="58"/>
        <v>322723.9557462997</v>
      </c>
      <c r="I78" s="124">
        <f t="shared" si="58"/>
        <v>0</v>
      </c>
      <c r="J78" s="124">
        <f t="shared" si="58"/>
        <v>0</v>
      </c>
      <c r="K78" s="124">
        <f t="shared" si="58"/>
        <v>0</v>
      </c>
      <c r="L78" s="124">
        <f t="shared" si="58"/>
        <v>0</v>
      </c>
      <c r="M78" s="124">
        <f t="shared" si="58"/>
        <v>0</v>
      </c>
      <c r="N78" s="124">
        <f t="shared" si="58"/>
        <v>0</v>
      </c>
      <c r="O78" s="124">
        <f t="shared" si="58"/>
        <v>3036.8324235726814</v>
      </c>
      <c r="P78" s="124">
        <f t="shared" si="58"/>
        <v>3256.284713480165</v>
      </c>
      <c r="Q78" s="124">
        <f t="shared" si="58"/>
        <v>3614.5083043585578</v>
      </c>
      <c r="R78" s="124">
        <f t="shared" si="58"/>
        <v>2620.5185206599549</v>
      </c>
      <c r="S78" s="124">
        <f t="shared" si="58"/>
        <v>2856.1070083547534</v>
      </c>
      <c r="T78" s="124">
        <f t="shared" si="58"/>
        <v>2656.0181557920473</v>
      </c>
      <c r="U78" s="124">
        <f t="shared" si="58"/>
        <v>2856.1070083547534</v>
      </c>
      <c r="V78" s="124">
        <f t="shared" si="58"/>
        <v>2872.2432061420682</v>
      </c>
      <c r="W78" s="124">
        <f t="shared" si="58"/>
        <v>3075.5592982622375</v>
      </c>
      <c r="X78" s="124">
        <f t="shared" si="58"/>
        <v>3417.6466913533154</v>
      </c>
      <c r="Y78" s="124">
        <f t="shared" si="58"/>
        <v>4211.5476224892127</v>
      </c>
      <c r="Z78" s="124">
        <f t="shared" si="58"/>
        <v>4214.7748620466755</v>
      </c>
      <c r="AA78" s="124">
        <f t="shared" si="58"/>
        <v>4472.9540266437161</v>
      </c>
      <c r="AB78" s="124">
        <f t="shared" si="58"/>
        <v>4585.9074111549207</v>
      </c>
      <c r="AC78" s="124">
        <f t="shared" si="58"/>
        <v>4876.3589713265901</v>
      </c>
      <c r="AD78" s="124">
        <f t="shared" si="58"/>
        <v>5353.9904258311144</v>
      </c>
      <c r="AE78" s="124">
        <f t="shared" si="58"/>
        <v>5708.9867771520439</v>
      </c>
      <c r="AF78" s="124">
        <f t="shared" si="58"/>
        <v>5876.8032341401195</v>
      </c>
      <c r="AG78" s="124">
        <f t="shared" si="58"/>
        <v>6267.2992205931423</v>
      </c>
      <c r="AH78" s="124">
        <f t="shared" si="58"/>
        <v>6464.1608335983856</v>
      </c>
      <c r="AI78" s="124">
        <f t="shared" si="58"/>
        <v>7364.5606701305614</v>
      </c>
      <c r="AJ78" s="124">
        <f t="shared" si="58"/>
        <v>7593.6946787104343</v>
      </c>
      <c r="AK78" s="124">
        <f t="shared" si="58"/>
        <v>8061.6444145425694</v>
      </c>
      <c r="AL78" s="124">
        <f t="shared" si="58"/>
        <v>8323.0508186970728</v>
      </c>
      <c r="AM78" s="124">
        <f t="shared" si="58"/>
        <v>8829.7274292187631</v>
      </c>
      <c r="AN78" s="124">
        <f t="shared" si="58"/>
        <v>9381.5853935449359</v>
      </c>
      <c r="AO78" s="124">
        <f t="shared" si="58"/>
        <v>9959.2612743308127</v>
      </c>
      <c r="AP78" s="124">
        <f t="shared" si="58"/>
        <v>10285.212469634576</v>
      </c>
      <c r="AQ78" s="124">
        <f t="shared" si="58"/>
        <v>10908.069704224932</v>
      </c>
      <c r="AR78" s="124">
        <f t="shared" si="58"/>
        <v>11269.520534660789</v>
      </c>
      <c r="AS78" s="124">
        <f t="shared" si="58"/>
        <v>11937.559123055631</v>
      </c>
      <c r="AT78" s="124">
        <f t="shared" si="58"/>
        <v>12340.964067738507</v>
      </c>
      <c r="AU78" s="124">
        <f t="shared" si="58"/>
        <v>13060.638489052753</v>
      </c>
      <c r="AV78" s="124">
        <f t="shared" si="58"/>
        <v>13505.997547982646</v>
      </c>
      <c r="AW78" s="124">
        <f t="shared" si="58"/>
        <v>14277.307802216304</v>
      </c>
      <c r="AX78" s="124">
        <f t="shared" si="58"/>
        <v>15161.571440961166</v>
      </c>
      <c r="AY78" s="124">
        <f t="shared" si="58"/>
        <v>16029.698881918712</v>
      </c>
      <c r="AZ78" s="124">
        <f t="shared" si="58"/>
        <v>16565.42064845757</v>
      </c>
      <c r="BA78" s="124">
        <f t="shared" si="58"/>
        <v>17491.638401449451</v>
      </c>
      <c r="BB78" s="124">
        <f t="shared" si="58"/>
        <v>18082.223240465188</v>
      </c>
      <c r="BC78" s="124">
        <f t="shared" si="58"/>
        <v>0</v>
      </c>
      <c r="BD78" s="124">
        <f t="shared" si="58"/>
        <v>0</v>
      </c>
      <c r="BE78" s="124">
        <f t="shared" si="58"/>
        <v>0</v>
      </c>
      <c r="BF78" s="124">
        <f t="shared" si="58"/>
        <v>0</v>
      </c>
      <c r="BG78" s="124">
        <f t="shared" si="58"/>
        <v>0</v>
      </c>
      <c r="BH78" s="124">
        <f t="shared" si="58"/>
        <v>0</v>
      </c>
      <c r="BI78" s="124">
        <f t="shared" si="58"/>
        <v>0</v>
      </c>
      <c r="BJ78" s="124">
        <f t="shared" si="58"/>
        <v>0</v>
      </c>
      <c r="BK78" s="124">
        <f t="shared" si="58"/>
        <v>0</v>
      </c>
      <c r="BL78" s="124">
        <f t="shared" si="58"/>
        <v>0</v>
      </c>
      <c r="BM78" s="124">
        <f t="shared" si="58"/>
        <v>0</v>
      </c>
      <c r="BN78" s="124">
        <f t="shared" si="58"/>
        <v>0</v>
      </c>
      <c r="BO78" s="124">
        <f t="shared" si="58"/>
        <v>0</v>
      </c>
      <c r="BP78" s="124">
        <f t="shared" si="58"/>
        <v>0</v>
      </c>
      <c r="BQ78" s="124">
        <f t="shared" si="58"/>
        <v>0</v>
      </c>
      <c r="BR78" s="124">
        <f t="shared" ref="BR78:CA78" si="59">BR$62</f>
        <v>0</v>
      </c>
      <c r="BS78" s="124">
        <f t="shared" si="59"/>
        <v>0</v>
      </c>
      <c r="BT78" s="124">
        <f t="shared" si="59"/>
        <v>0</v>
      </c>
      <c r="BU78" s="124">
        <f t="shared" si="59"/>
        <v>0</v>
      </c>
      <c r="BV78" s="124">
        <f t="shared" si="59"/>
        <v>0</v>
      </c>
      <c r="BW78" s="124">
        <f t="shared" si="59"/>
        <v>0</v>
      </c>
      <c r="BX78" s="124">
        <f t="shared" si="59"/>
        <v>0</v>
      </c>
      <c r="BY78" s="124">
        <f t="shared" si="59"/>
        <v>0</v>
      </c>
      <c r="BZ78" s="124">
        <f t="shared" si="59"/>
        <v>0</v>
      </c>
      <c r="CA78" s="124">
        <f t="shared" si="59"/>
        <v>0</v>
      </c>
    </row>
    <row r="79" spans="1:79" s="140" customFormat="1" x14ac:dyDescent="0.2">
      <c r="A79" s="137"/>
      <c r="B79" s="145"/>
      <c r="C79" s="146"/>
      <c r="D79" s="139"/>
      <c r="E79" s="140" t="s">
        <v>287</v>
      </c>
      <c r="H79" s="140">
        <f>SUM(J79:CA79)</f>
        <v>714998.25608077052</v>
      </c>
      <c r="J79" s="147">
        <f>SUM(J77:J78)</f>
        <v>0</v>
      </c>
      <c r="K79" s="147">
        <f t="shared" ref="K79:BV79" si="60">SUM(K77:K78)</f>
        <v>0</v>
      </c>
      <c r="L79" s="147">
        <f t="shared" si="60"/>
        <v>0</v>
      </c>
      <c r="M79" s="147">
        <f t="shared" si="60"/>
        <v>0</v>
      </c>
      <c r="N79" s="147">
        <f t="shared" si="60"/>
        <v>0</v>
      </c>
      <c r="O79" s="147">
        <f t="shared" si="60"/>
        <v>18366.220321521923</v>
      </c>
      <c r="P79" s="147">
        <f t="shared" si="60"/>
        <v>18441.423071309706</v>
      </c>
      <c r="Q79" s="147">
        <f t="shared" si="60"/>
        <v>18644.973138297792</v>
      </c>
      <c r="R79" s="147">
        <f t="shared" si="60"/>
        <v>17479.294210142154</v>
      </c>
      <c r="S79" s="147">
        <f t="shared" si="60"/>
        <v>17590.408068105608</v>
      </c>
      <c r="T79" s="147">
        <f t="shared" si="60"/>
        <v>17254.65413264605</v>
      </c>
      <c r="U79" s="147">
        <f t="shared" si="60"/>
        <v>17328.582122808635</v>
      </c>
      <c r="V79" s="147">
        <f t="shared" si="60"/>
        <v>17209.0532376991</v>
      </c>
      <c r="W79" s="147">
        <f t="shared" si="60"/>
        <v>17275.937777527521</v>
      </c>
      <c r="X79" s="147">
        <f t="shared" si="60"/>
        <v>17471.936103951146</v>
      </c>
      <c r="Y79" s="147">
        <f t="shared" si="60"/>
        <v>17372.343491207837</v>
      </c>
      <c r="Z79" s="147">
        <f t="shared" si="60"/>
        <v>17186.051087753283</v>
      </c>
      <c r="AA79" s="147">
        <f t="shared" si="60"/>
        <v>17254.565383558223</v>
      </c>
      <c r="AB79" s="147">
        <f t="shared" si="60"/>
        <v>17166.235836870459</v>
      </c>
      <c r="AC79" s="147">
        <f t="shared" si="60"/>
        <v>17250.321563540158</v>
      </c>
      <c r="AD79" s="147">
        <f t="shared" si="60"/>
        <v>17508.516864334983</v>
      </c>
      <c r="AE79" s="147">
        <f t="shared" si="60"/>
        <v>17622.583646493513</v>
      </c>
      <c r="AF79" s="147">
        <f t="shared" si="60"/>
        <v>17533.495698509745</v>
      </c>
      <c r="AG79" s="147">
        <f t="shared" si="60"/>
        <v>17659.535539426462</v>
      </c>
      <c r="AH79" s="147">
        <f t="shared" si="60"/>
        <v>17574.368687505015</v>
      </c>
      <c r="AI79" s="147">
        <f t="shared" si="60"/>
        <v>17582.807918947779</v>
      </c>
      <c r="AJ79" s="147">
        <f t="shared" si="60"/>
        <v>17498.948099047106</v>
      </c>
      <c r="AK79" s="147">
        <f t="shared" si="60"/>
        <v>17644.165811034047</v>
      </c>
      <c r="AL79" s="147">
        <f t="shared" si="60"/>
        <v>17562.952327570492</v>
      </c>
      <c r="AM79" s="147">
        <f t="shared" si="60"/>
        <v>17715.899278297555</v>
      </c>
      <c r="AN79" s="147">
        <f t="shared" si="60"/>
        <v>17892.493826881931</v>
      </c>
      <c r="AO79" s="147">
        <f t="shared" si="60"/>
        <v>18071.452328442148</v>
      </c>
      <c r="AP79" s="147">
        <f t="shared" si="60"/>
        <v>17974.134919586853</v>
      </c>
      <c r="AQ79" s="147">
        <f t="shared" si="60"/>
        <v>18159.87062421774</v>
      </c>
      <c r="AR79" s="147">
        <f t="shared" si="60"/>
        <v>18057.728492224036</v>
      </c>
      <c r="AS79" s="147">
        <f t="shared" si="60"/>
        <v>18246.812457895794</v>
      </c>
      <c r="AT79" s="147">
        <f t="shared" si="60"/>
        <v>18142.871139848805</v>
      </c>
      <c r="AU79" s="147">
        <f t="shared" si="60"/>
        <v>18338.054588284165</v>
      </c>
      <c r="AV79" s="147">
        <f t="shared" si="60"/>
        <v>18228.336511429316</v>
      </c>
      <c r="AW79" s="147">
        <f t="shared" si="60"/>
        <v>18425.641869873711</v>
      </c>
      <c r="AX79" s="147">
        <f t="shared" si="60"/>
        <v>18703.119927024381</v>
      </c>
      <c r="AY79" s="147">
        <f t="shared" si="60"/>
        <v>18926.880581741076</v>
      </c>
      <c r="AZ79" s="147">
        <f t="shared" si="60"/>
        <v>18781.340145798389</v>
      </c>
      <c r="BA79" s="147">
        <f t="shared" si="60"/>
        <v>19003.527521230822</v>
      </c>
      <c r="BB79" s="147">
        <f t="shared" si="60"/>
        <v>18850.717728184958</v>
      </c>
      <c r="BC79" s="147">
        <f t="shared" si="60"/>
        <v>0</v>
      </c>
      <c r="BD79" s="147">
        <f t="shared" si="60"/>
        <v>0</v>
      </c>
      <c r="BE79" s="147">
        <f t="shared" si="60"/>
        <v>0</v>
      </c>
      <c r="BF79" s="147">
        <f t="shared" si="60"/>
        <v>0</v>
      </c>
      <c r="BG79" s="147">
        <f t="shared" si="60"/>
        <v>0</v>
      </c>
      <c r="BH79" s="147">
        <f t="shared" si="60"/>
        <v>0</v>
      </c>
      <c r="BI79" s="147">
        <f t="shared" si="60"/>
        <v>0</v>
      </c>
      <c r="BJ79" s="147">
        <f t="shared" si="60"/>
        <v>0</v>
      </c>
      <c r="BK79" s="147">
        <f t="shared" si="60"/>
        <v>0</v>
      </c>
      <c r="BL79" s="147">
        <f t="shared" si="60"/>
        <v>0</v>
      </c>
      <c r="BM79" s="147">
        <f t="shared" si="60"/>
        <v>0</v>
      </c>
      <c r="BN79" s="147">
        <f t="shared" si="60"/>
        <v>0</v>
      </c>
      <c r="BO79" s="147">
        <f t="shared" si="60"/>
        <v>0</v>
      </c>
      <c r="BP79" s="147">
        <f t="shared" si="60"/>
        <v>0</v>
      </c>
      <c r="BQ79" s="147">
        <f t="shared" si="60"/>
        <v>0</v>
      </c>
      <c r="BR79" s="147">
        <f t="shared" si="60"/>
        <v>0</v>
      </c>
      <c r="BS79" s="147">
        <f t="shared" si="60"/>
        <v>0</v>
      </c>
      <c r="BT79" s="147">
        <f t="shared" si="60"/>
        <v>0</v>
      </c>
      <c r="BU79" s="147">
        <f t="shared" si="60"/>
        <v>0</v>
      </c>
      <c r="BV79" s="147">
        <f t="shared" si="60"/>
        <v>0</v>
      </c>
      <c r="BW79" s="147">
        <f t="shared" ref="BW79:CA79" si="61">SUM(BW77:BW78)</f>
        <v>0</v>
      </c>
      <c r="BX79" s="147">
        <f t="shared" si="61"/>
        <v>0</v>
      </c>
      <c r="BY79" s="147">
        <f t="shared" si="61"/>
        <v>0</v>
      </c>
      <c r="BZ79" s="147">
        <f t="shared" si="61"/>
        <v>0</v>
      </c>
      <c r="CA79" s="147">
        <f t="shared" si="61"/>
        <v>0</v>
      </c>
    </row>
  </sheetData>
  <printOptions heading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&amp;L&amp;"Arial,Bold"&amp;14Financial Mechanics Training Model&amp;C&amp;"Arial,Bold"&amp;14Sheet: &amp;A&amp;R&amp;"Arial,Bold"&amp;14STRICTLY NOT CONFIDENTIAL</oddHeader>
    <oddFooter>&amp;L&amp;12&amp;F (Printed on &amp;D at &amp;T) &amp;C&amp;12Page &amp;P of &amp;N&amp;R&amp;12© 2008 Financial Mechanics Ltd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66"/>
  <sheetViews>
    <sheetView defaultGridColor="0" colorId="22" workbookViewId="0">
      <pane xSplit="6" ySplit="4" topLeftCell="G5" activePane="bottomRight" state="frozen"/>
      <selection activeCell="G5" sqref="G5"/>
      <selection pane="topRight" activeCell="G5" sqref="G5"/>
      <selection pane="bottomLeft" activeCell="G5" sqref="G5"/>
      <selection pane="bottomRight" activeCell="G5" sqref="G5"/>
    </sheetView>
  </sheetViews>
  <sheetFormatPr defaultColWidth="0" defaultRowHeight="12.75" x14ac:dyDescent="0.2"/>
  <cols>
    <col min="1" max="1" width="1.28515625" style="81" customWidth="1"/>
    <col min="2" max="2" width="1.28515625" style="82" customWidth="1"/>
    <col min="3" max="3" width="1.28515625" style="83" customWidth="1"/>
    <col min="4" max="4" width="1.28515625" style="84" customWidth="1"/>
    <col min="5" max="5" width="40.7109375" style="85" customWidth="1"/>
    <col min="6" max="6" width="12.7109375" style="85" customWidth="1"/>
    <col min="7" max="8" width="11.7109375" style="85" customWidth="1"/>
    <col min="9" max="9" width="2.7109375" style="85" customWidth="1"/>
    <col min="10" max="79" width="11.7109375" style="85" customWidth="1"/>
    <col min="80" max="16384" width="0" style="85" hidden="1"/>
  </cols>
  <sheetData>
    <row r="1" spans="1:79" s="72" customFormat="1" x14ac:dyDescent="0.2">
      <c r="A1" s="69" t="str">
        <f ca="1" xml:space="preserve"> RIGHT(CELL("filename", A1), LEN(CELL("filename", A1)) - SEARCH("]", CELL("filename", A1)))</f>
        <v>DSRA</v>
      </c>
      <c r="B1" s="69"/>
      <c r="C1" s="70"/>
      <c r="D1" s="71"/>
      <c r="F1" s="73"/>
      <c r="G1" s="73"/>
      <c r="H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</row>
    <row r="2" spans="1:79" s="74" customFormat="1" x14ac:dyDescent="0.2">
      <c r="A2" s="75"/>
      <c r="B2" s="75"/>
      <c r="C2" s="107"/>
      <c r="D2" s="77"/>
      <c r="E2" s="74" t="str">
        <f xml:space="preserve"> 'T&amp;E'!E$24</f>
        <v>Operating period flag</v>
      </c>
      <c r="F2" s="74">
        <f xml:space="preserve"> 'T&amp;E'!F$24</f>
        <v>0</v>
      </c>
      <c r="G2" s="74" t="str">
        <f xml:space="preserve"> 'T&amp;E'!G$24</f>
        <v>flag</v>
      </c>
      <c r="H2" s="74">
        <f xml:space="preserve"> 'T&amp;E'!H$24</f>
        <v>60</v>
      </c>
      <c r="I2" s="74">
        <f xml:space="preserve"> 'T&amp;E'!I$24</f>
        <v>0</v>
      </c>
      <c r="J2" s="74">
        <f xml:space="preserve"> 'T&amp;E'!J$24</f>
        <v>0</v>
      </c>
      <c r="K2" s="74">
        <f xml:space="preserve"> 'T&amp;E'!K$24</f>
        <v>0</v>
      </c>
      <c r="L2" s="74">
        <f xml:space="preserve"> 'T&amp;E'!L$24</f>
        <v>0</v>
      </c>
      <c r="M2" s="74">
        <f xml:space="preserve"> 'T&amp;E'!M$24</f>
        <v>0</v>
      </c>
      <c r="N2" s="74">
        <f xml:space="preserve"> 'T&amp;E'!N$24</f>
        <v>0</v>
      </c>
      <c r="O2" s="74">
        <f xml:space="preserve"> 'T&amp;E'!O$24</f>
        <v>1</v>
      </c>
      <c r="P2" s="74">
        <f xml:space="preserve"> 'T&amp;E'!P$24</f>
        <v>1</v>
      </c>
      <c r="Q2" s="74">
        <f xml:space="preserve"> 'T&amp;E'!Q$24</f>
        <v>1</v>
      </c>
      <c r="R2" s="74">
        <f xml:space="preserve"> 'T&amp;E'!R$24</f>
        <v>1</v>
      </c>
      <c r="S2" s="74">
        <f xml:space="preserve"> 'T&amp;E'!S$24</f>
        <v>1</v>
      </c>
      <c r="T2" s="74">
        <f xml:space="preserve"> 'T&amp;E'!T$24</f>
        <v>1</v>
      </c>
      <c r="U2" s="74">
        <f xml:space="preserve"> 'T&amp;E'!U$24</f>
        <v>1</v>
      </c>
      <c r="V2" s="74">
        <f xml:space="preserve"> 'T&amp;E'!V$24</f>
        <v>1</v>
      </c>
      <c r="W2" s="74">
        <f xml:space="preserve"> 'T&amp;E'!W$24</f>
        <v>1</v>
      </c>
      <c r="X2" s="74">
        <f xml:space="preserve"> 'T&amp;E'!X$24</f>
        <v>1</v>
      </c>
      <c r="Y2" s="74">
        <f xml:space="preserve"> 'T&amp;E'!Y$24</f>
        <v>1</v>
      </c>
      <c r="Z2" s="74">
        <f xml:space="preserve"> 'T&amp;E'!Z$24</f>
        <v>1</v>
      </c>
      <c r="AA2" s="74">
        <f xml:space="preserve"> 'T&amp;E'!AA$24</f>
        <v>1</v>
      </c>
      <c r="AB2" s="74">
        <f xml:space="preserve"> 'T&amp;E'!AB$24</f>
        <v>1</v>
      </c>
      <c r="AC2" s="74">
        <f xml:space="preserve"> 'T&amp;E'!AC$24</f>
        <v>1</v>
      </c>
      <c r="AD2" s="74">
        <f xml:space="preserve"> 'T&amp;E'!AD$24</f>
        <v>1</v>
      </c>
      <c r="AE2" s="74">
        <f xml:space="preserve"> 'T&amp;E'!AE$24</f>
        <v>1</v>
      </c>
      <c r="AF2" s="74">
        <f xml:space="preserve"> 'T&amp;E'!AF$24</f>
        <v>1</v>
      </c>
      <c r="AG2" s="74">
        <f xml:space="preserve"> 'T&amp;E'!AG$24</f>
        <v>1</v>
      </c>
      <c r="AH2" s="74">
        <f xml:space="preserve"> 'T&amp;E'!AH$24</f>
        <v>1</v>
      </c>
      <c r="AI2" s="74">
        <f xml:space="preserve"> 'T&amp;E'!AI$24</f>
        <v>1</v>
      </c>
      <c r="AJ2" s="74">
        <f xml:space="preserve"> 'T&amp;E'!AJ$24</f>
        <v>1</v>
      </c>
      <c r="AK2" s="74">
        <f xml:space="preserve"> 'T&amp;E'!AK$24</f>
        <v>1</v>
      </c>
      <c r="AL2" s="74">
        <f xml:space="preserve"> 'T&amp;E'!AL$24</f>
        <v>1</v>
      </c>
      <c r="AM2" s="74">
        <f xml:space="preserve"> 'T&amp;E'!AM$24</f>
        <v>1</v>
      </c>
      <c r="AN2" s="74">
        <f xml:space="preserve"> 'T&amp;E'!AN$24</f>
        <v>1</v>
      </c>
      <c r="AO2" s="74">
        <f xml:space="preserve"> 'T&amp;E'!AO$24</f>
        <v>1</v>
      </c>
      <c r="AP2" s="74">
        <f xml:space="preserve"> 'T&amp;E'!AP$24</f>
        <v>1</v>
      </c>
      <c r="AQ2" s="74">
        <f xml:space="preserve"> 'T&amp;E'!AQ$24</f>
        <v>1</v>
      </c>
      <c r="AR2" s="74">
        <f xml:space="preserve"> 'T&amp;E'!AR$24</f>
        <v>1</v>
      </c>
      <c r="AS2" s="74">
        <f xml:space="preserve"> 'T&amp;E'!AS$24</f>
        <v>1</v>
      </c>
      <c r="AT2" s="74">
        <f xml:space="preserve"> 'T&amp;E'!AT$24</f>
        <v>1</v>
      </c>
      <c r="AU2" s="74">
        <f xml:space="preserve"> 'T&amp;E'!AU$24</f>
        <v>1</v>
      </c>
      <c r="AV2" s="74">
        <f xml:space="preserve"> 'T&amp;E'!AV$24</f>
        <v>1</v>
      </c>
      <c r="AW2" s="74">
        <f xml:space="preserve"> 'T&amp;E'!AW$24</f>
        <v>1</v>
      </c>
      <c r="AX2" s="74">
        <f xml:space="preserve"> 'T&amp;E'!AX$24</f>
        <v>1</v>
      </c>
      <c r="AY2" s="74">
        <f xml:space="preserve"> 'T&amp;E'!AY$24</f>
        <v>1</v>
      </c>
      <c r="AZ2" s="74">
        <f xml:space="preserve"> 'T&amp;E'!AZ$24</f>
        <v>1</v>
      </c>
      <c r="BA2" s="74">
        <f xml:space="preserve"> 'T&amp;E'!BA$24</f>
        <v>1</v>
      </c>
      <c r="BB2" s="74">
        <f xml:space="preserve"> 'T&amp;E'!BB$24</f>
        <v>1</v>
      </c>
      <c r="BC2" s="74">
        <f xml:space="preserve"> 'T&amp;E'!BC$24</f>
        <v>1</v>
      </c>
      <c r="BD2" s="74">
        <f xml:space="preserve"> 'T&amp;E'!BD$24</f>
        <v>1</v>
      </c>
      <c r="BE2" s="74">
        <f xml:space="preserve"> 'T&amp;E'!BE$24</f>
        <v>1</v>
      </c>
      <c r="BF2" s="74">
        <f xml:space="preserve"> 'T&amp;E'!BF$24</f>
        <v>1</v>
      </c>
      <c r="BG2" s="74">
        <f xml:space="preserve"> 'T&amp;E'!BG$24</f>
        <v>1</v>
      </c>
      <c r="BH2" s="74">
        <f xml:space="preserve"> 'T&amp;E'!BH$24</f>
        <v>1</v>
      </c>
      <c r="BI2" s="74">
        <f xml:space="preserve"> 'T&amp;E'!BI$24</f>
        <v>1</v>
      </c>
      <c r="BJ2" s="74">
        <f xml:space="preserve"> 'T&amp;E'!BJ$24</f>
        <v>1</v>
      </c>
      <c r="BK2" s="74">
        <f xml:space="preserve"> 'T&amp;E'!BK$24</f>
        <v>1</v>
      </c>
      <c r="BL2" s="74">
        <f xml:space="preserve"> 'T&amp;E'!BL$24</f>
        <v>1</v>
      </c>
      <c r="BM2" s="74">
        <f xml:space="preserve"> 'T&amp;E'!BM$24</f>
        <v>1</v>
      </c>
      <c r="BN2" s="74">
        <f xml:space="preserve"> 'T&amp;E'!BN$24</f>
        <v>1</v>
      </c>
      <c r="BO2" s="74">
        <f xml:space="preserve"> 'T&amp;E'!BO$24</f>
        <v>1</v>
      </c>
      <c r="BP2" s="74">
        <f xml:space="preserve"> 'T&amp;E'!BP$24</f>
        <v>1</v>
      </c>
      <c r="BQ2" s="74">
        <f xml:space="preserve"> 'T&amp;E'!BQ$24</f>
        <v>1</v>
      </c>
      <c r="BR2" s="74">
        <f xml:space="preserve"> 'T&amp;E'!BR$24</f>
        <v>1</v>
      </c>
      <c r="BS2" s="74">
        <f xml:space="preserve"> 'T&amp;E'!BS$24</f>
        <v>1</v>
      </c>
      <c r="BT2" s="74">
        <f xml:space="preserve"> 'T&amp;E'!BT$24</f>
        <v>1</v>
      </c>
      <c r="BU2" s="74">
        <f xml:space="preserve"> 'T&amp;E'!BU$24</f>
        <v>1</v>
      </c>
      <c r="BV2" s="74">
        <f xml:space="preserve"> 'T&amp;E'!BV$24</f>
        <v>1</v>
      </c>
      <c r="BW2" s="74">
        <f xml:space="preserve"> 'T&amp;E'!BW$24</f>
        <v>0</v>
      </c>
      <c r="BX2" s="74">
        <f xml:space="preserve"> 'T&amp;E'!BX$24</f>
        <v>0</v>
      </c>
      <c r="BY2" s="74">
        <f xml:space="preserve"> 'T&amp;E'!BY$24</f>
        <v>0</v>
      </c>
      <c r="BZ2" s="74">
        <f xml:space="preserve"> 'T&amp;E'!BZ$24</f>
        <v>0</v>
      </c>
      <c r="CA2" s="74">
        <f xml:space="preserve"> 'T&amp;E'!CA$24</f>
        <v>0</v>
      </c>
    </row>
    <row r="3" spans="1:79" s="74" customFormat="1" x14ac:dyDescent="0.2">
      <c r="A3" s="75"/>
      <c r="B3" s="75"/>
      <c r="C3" s="107"/>
      <c r="D3" s="77"/>
      <c r="E3" s="74" t="str">
        <f>'T&amp;E'!E$8</f>
        <v>Model column counter</v>
      </c>
      <c r="F3" s="74">
        <f>'T&amp;E'!F$8</f>
        <v>0</v>
      </c>
      <c r="G3" s="74">
        <f>'T&amp;E'!G$8</f>
        <v>0</v>
      </c>
      <c r="H3" s="74">
        <f>'T&amp;E'!H$8</f>
        <v>0</v>
      </c>
      <c r="I3" s="74">
        <f>'T&amp;E'!I$8</f>
        <v>0</v>
      </c>
      <c r="J3" s="74">
        <f>'T&amp;E'!J$8</f>
        <v>1</v>
      </c>
      <c r="K3" s="74">
        <f>'T&amp;E'!K$8</f>
        <v>2</v>
      </c>
      <c r="L3" s="74">
        <f>'T&amp;E'!L$8</f>
        <v>3</v>
      </c>
      <c r="M3" s="74">
        <f>'T&amp;E'!M$8</f>
        <v>4</v>
      </c>
      <c r="N3" s="74">
        <f>'T&amp;E'!N$8</f>
        <v>5</v>
      </c>
      <c r="O3" s="74">
        <f>'T&amp;E'!O$8</f>
        <v>6</v>
      </c>
      <c r="P3" s="74">
        <f>'T&amp;E'!P$8</f>
        <v>7</v>
      </c>
      <c r="Q3" s="74">
        <f>'T&amp;E'!Q$8</f>
        <v>8</v>
      </c>
      <c r="R3" s="74">
        <f>'T&amp;E'!R$8</f>
        <v>9</v>
      </c>
      <c r="S3" s="74">
        <f>'T&amp;E'!S$8</f>
        <v>10</v>
      </c>
      <c r="T3" s="74">
        <f>'T&amp;E'!T$8</f>
        <v>11</v>
      </c>
      <c r="U3" s="74">
        <f>'T&amp;E'!U$8</f>
        <v>12</v>
      </c>
      <c r="V3" s="74">
        <f>'T&amp;E'!V$8</f>
        <v>13</v>
      </c>
      <c r="W3" s="74">
        <f>'T&amp;E'!W$8</f>
        <v>14</v>
      </c>
      <c r="X3" s="74">
        <f>'T&amp;E'!X$8</f>
        <v>15</v>
      </c>
      <c r="Y3" s="74">
        <f>'T&amp;E'!Y$8</f>
        <v>16</v>
      </c>
      <c r="Z3" s="74">
        <f>'T&amp;E'!Z$8</f>
        <v>17</v>
      </c>
      <c r="AA3" s="74">
        <f>'T&amp;E'!AA$8</f>
        <v>18</v>
      </c>
      <c r="AB3" s="74">
        <f>'T&amp;E'!AB$8</f>
        <v>19</v>
      </c>
      <c r="AC3" s="74">
        <f>'T&amp;E'!AC$8</f>
        <v>20</v>
      </c>
      <c r="AD3" s="74">
        <f>'T&amp;E'!AD$8</f>
        <v>21</v>
      </c>
      <c r="AE3" s="74">
        <f>'T&amp;E'!AE$8</f>
        <v>22</v>
      </c>
      <c r="AF3" s="74">
        <f>'T&amp;E'!AF$8</f>
        <v>23</v>
      </c>
      <c r="AG3" s="74">
        <f>'T&amp;E'!AG$8</f>
        <v>24</v>
      </c>
      <c r="AH3" s="74">
        <f>'T&amp;E'!AH$8</f>
        <v>25</v>
      </c>
      <c r="AI3" s="74">
        <f>'T&amp;E'!AI$8</f>
        <v>26</v>
      </c>
      <c r="AJ3" s="74">
        <f>'T&amp;E'!AJ$8</f>
        <v>27</v>
      </c>
      <c r="AK3" s="74">
        <f>'T&amp;E'!AK$8</f>
        <v>28</v>
      </c>
      <c r="AL3" s="74">
        <f>'T&amp;E'!AL$8</f>
        <v>29</v>
      </c>
      <c r="AM3" s="74">
        <f>'T&amp;E'!AM$8</f>
        <v>30</v>
      </c>
      <c r="AN3" s="74">
        <f>'T&amp;E'!AN$8</f>
        <v>31</v>
      </c>
      <c r="AO3" s="74">
        <f>'T&amp;E'!AO$8</f>
        <v>32</v>
      </c>
      <c r="AP3" s="74">
        <f>'T&amp;E'!AP$8</f>
        <v>33</v>
      </c>
      <c r="AQ3" s="74">
        <f>'T&amp;E'!AQ$8</f>
        <v>34</v>
      </c>
      <c r="AR3" s="74">
        <f>'T&amp;E'!AR$8</f>
        <v>35</v>
      </c>
      <c r="AS3" s="74">
        <f>'T&amp;E'!AS$8</f>
        <v>36</v>
      </c>
      <c r="AT3" s="74">
        <f>'T&amp;E'!AT$8</f>
        <v>37</v>
      </c>
      <c r="AU3" s="74">
        <f>'T&amp;E'!AU$8</f>
        <v>38</v>
      </c>
      <c r="AV3" s="74">
        <f>'T&amp;E'!AV$8</f>
        <v>39</v>
      </c>
      <c r="AW3" s="74">
        <f>'T&amp;E'!AW$8</f>
        <v>40</v>
      </c>
      <c r="AX3" s="74">
        <f>'T&amp;E'!AX$8</f>
        <v>41</v>
      </c>
      <c r="AY3" s="74">
        <f>'T&amp;E'!AY$8</f>
        <v>42</v>
      </c>
      <c r="AZ3" s="74">
        <f>'T&amp;E'!AZ$8</f>
        <v>43</v>
      </c>
      <c r="BA3" s="74">
        <f>'T&amp;E'!BA$8</f>
        <v>44</v>
      </c>
      <c r="BB3" s="74">
        <f>'T&amp;E'!BB$8</f>
        <v>45</v>
      </c>
      <c r="BC3" s="74">
        <f>'T&amp;E'!BC$8</f>
        <v>46</v>
      </c>
      <c r="BD3" s="74">
        <f>'T&amp;E'!BD$8</f>
        <v>47</v>
      </c>
      <c r="BE3" s="74">
        <f>'T&amp;E'!BE$8</f>
        <v>48</v>
      </c>
      <c r="BF3" s="74">
        <f>'T&amp;E'!BF$8</f>
        <v>49</v>
      </c>
      <c r="BG3" s="74">
        <f>'T&amp;E'!BG$8</f>
        <v>50</v>
      </c>
      <c r="BH3" s="74">
        <f>'T&amp;E'!BH$8</f>
        <v>51</v>
      </c>
      <c r="BI3" s="74">
        <f>'T&amp;E'!BI$8</f>
        <v>52</v>
      </c>
      <c r="BJ3" s="74">
        <f>'T&amp;E'!BJ$8</f>
        <v>53</v>
      </c>
      <c r="BK3" s="74">
        <f>'T&amp;E'!BK$8</f>
        <v>54</v>
      </c>
      <c r="BL3" s="74">
        <f>'T&amp;E'!BL$8</f>
        <v>55</v>
      </c>
      <c r="BM3" s="74">
        <f>'T&amp;E'!BM$8</f>
        <v>56</v>
      </c>
      <c r="BN3" s="74">
        <f>'T&amp;E'!BN$8</f>
        <v>57</v>
      </c>
      <c r="BO3" s="74">
        <f>'T&amp;E'!BO$8</f>
        <v>58</v>
      </c>
      <c r="BP3" s="74">
        <f>'T&amp;E'!BP$8</f>
        <v>59</v>
      </c>
      <c r="BQ3" s="74">
        <f>'T&amp;E'!BQ$8</f>
        <v>60</v>
      </c>
      <c r="BR3" s="74">
        <f>'T&amp;E'!BR$8</f>
        <v>61</v>
      </c>
      <c r="BS3" s="74">
        <f>'T&amp;E'!BS$8</f>
        <v>62</v>
      </c>
      <c r="BT3" s="74">
        <f>'T&amp;E'!BT$8</f>
        <v>63</v>
      </c>
      <c r="BU3" s="74">
        <f>'T&amp;E'!BU$8</f>
        <v>64</v>
      </c>
      <c r="BV3" s="74">
        <f>'T&amp;E'!BV$8</f>
        <v>65</v>
      </c>
      <c r="BW3" s="74">
        <f>'T&amp;E'!BW$8</f>
        <v>66</v>
      </c>
      <c r="BX3" s="74">
        <f>'T&amp;E'!BX$8</f>
        <v>67</v>
      </c>
      <c r="BY3" s="74">
        <f>'T&amp;E'!BY$8</f>
        <v>68</v>
      </c>
      <c r="BZ3" s="74">
        <f>'T&amp;E'!BZ$8</f>
        <v>69</v>
      </c>
      <c r="CA3" s="74">
        <f>'T&amp;E'!CA$8</f>
        <v>70</v>
      </c>
    </row>
    <row r="4" spans="1:79" s="78" customFormat="1" x14ac:dyDescent="0.2">
      <c r="C4" s="79"/>
      <c r="D4" s="80"/>
      <c r="E4" s="78" t="str">
        <f xml:space="preserve"> 'T&amp;E'!E$12</f>
        <v>Model period ending</v>
      </c>
      <c r="F4" s="80" t="str">
        <f xml:space="preserve"> 'T&amp;E'!F$12</f>
        <v>constant</v>
      </c>
      <c r="G4" s="78" t="str">
        <f xml:space="preserve"> 'T&amp;E'!G$12</f>
        <v>unit</v>
      </c>
      <c r="H4" s="80" t="str">
        <f xml:space="preserve"> 'T&amp;E'!H$12</f>
        <v>total</v>
      </c>
      <c r="I4" s="78">
        <f xml:space="preserve"> 'T&amp;E'!I$12</f>
        <v>0</v>
      </c>
      <c r="J4" s="78">
        <f xml:space="preserve"> 'T&amp;E'!J$12</f>
        <v>41639</v>
      </c>
      <c r="K4" s="78">
        <f xml:space="preserve"> 'T&amp;E'!K$12</f>
        <v>41820</v>
      </c>
      <c r="L4" s="78">
        <f xml:space="preserve"> 'T&amp;E'!L$12</f>
        <v>42004</v>
      </c>
      <c r="M4" s="78">
        <f xml:space="preserve"> 'T&amp;E'!M$12</f>
        <v>42185</v>
      </c>
      <c r="N4" s="78">
        <f xml:space="preserve"> 'T&amp;E'!N$12</f>
        <v>42369</v>
      </c>
      <c r="O4" s="78">
        <f xml:space="preserve"> 'T&amp;E'!O$12</f>
        <v>42551</v>
      </c>
      <c r="P4" s="78">
        <f xml:space="preserve"> 'T&amp;E'!P$12</f>
        <v>42735</v>
      </c>
      <c r="Q4" s="78">
        <f xml:space="preserve"> 'T&amp;E'!Q$12</f>
        <v>42916</v>
      </c>
      <c r="R4" s="78">
        <f xml:space="preserve"> 'T&amp;E'!R$12</f>
        <v>43100</v>
      </c>
      <c r="S4" s="78">
        <f xml:space="preserve"> 'T&amp;E'!S$12</f>
        <v>43281</v>
      </c>
      <c r="T4" s="78">
        <f xml:space="preserve"> 'T&amp;E'!T$12</f>
        <v>43465</v>
      </c>
      <c r="U4" s="78">
        <f xml:space="preserve"> 'T&amp;E'!U$12</f>
        <v>43646</v>
      </c>
      <c r="V4" s="78">
        <f xml:space="preserve"> 'T&amp;E'!V$12</f>
        <v>43830</v>
      </c>
      <c r="W4" s="78">
        <f xml:space="preserve"> 'T&amp;E'!W$12</f>
        <v>44012</v>
      </c>
      <c r="X4" s="78">
        <f xml:space="preserve"> 'T&amp;E'!X$12</f>
        <v>44196</v>
      </c>
      <c r="Y4" s="78">
        <f xml:space="preserve"> 'T&amp;E'!Y$12</f>
        <v>44377</v>
      </c>
      <c r="Z4" s="78">
        <f xml:space="preserve"> 'T&amp;E'!Z$12</f>
        <v>44561</v>
      </c>
      <c r="AA4" s="78">
        <f xml:space="preserve"> 'T&amp;E'!AA$12</f>
        <v>44742</v>
      </c>
      <c r="AB4" s="78">
        <f xml:space="preserve"> 'T&amp;E'!AB$12</f>
        <v>44926</v>
      </c>
      <c r="AC4" s="78">
        <f xml:space="preserve"> 'T&amp;E'!AC$12</f>
        <v>45107</v>
      </c>
      <c r="AD4" s="78">
        <f xml:space="preserve"> 'T&amp;E'!AD$12</f>
        <v>45291</v>
      </c>
      <c r="AE4" s="78">
        <f xml:space="preserve"> 'T&amp;E'!AE$12</f>
        <v>45473</v>
      </c>
      <c r="AF4" s="78">
        <f xml:space="preserve"> 'T&amp;E'!AF$12</f>
        <v>45657</v>
      </c>
      <c r="AG4" s="78">
        <f xml:space="preserve"> 'T&amp;E'!AG$12</f>
        <v>45838</v>
      </c>
      <c r="AH4" s="78">
        <f xml:space="preserve"> 'T&amp;E'!AH$12</f>
        <v>46022</v>
      </c>
      <c r="AI4" s="78">
        <f xml:space="preserve"> 'T&amp;E'!AI$12</f>
        <v>46203</v>
      </c>
      <c r="AJ4" s="78">
        <f xml:space="preserve"> 'T&amp;E'!AJ$12</f>
        <v>46387</v>
      </c>
      <c r="AK4" s="78">
        <f xml:space="preserve"> 'T&amp;E'!AK$12</f>
        <v>46568</v>
      </c>
      <c r="AL4" s="78">
        <f xml:space="preserve"> 'T&amp;E'!AL$12</f>
        <v>46752</v>
      </c>
      <c r="AM4" s="78">
        <f xml:space="preserve"> 'T&amp;E'!AM$12</f>
        <v>46934</v>
      </c>
      <c r="AN4" s="78">
        <f xml:space="preserve"> 'T&amp;E'!AN$12</f>
        <v>47118</v>
      </c>
      <c r="AO4" s="78">
        <f xml:space="preserve"> 'T&amp;E'!AO$12</f>
        <v>47299</v>
      </c>
      <c r="AP4" s="78">
        <f xml:space="preserve"> 'T&amp;E'!AP$12</f>
        <v>47483</v>
      </c>
      <c r="AQ4" s="78">
        <f xml:space="preserve"> 'T&amp;E'!AQ$12</f>
        <v>47664</v>
      </c>
      <c r="AR4" s="78">
        <f xml:space="preserve"> 'T&amp;E'!AR$12</f>
        <v>47848</v>
      </c>
      <c r="AS4" s="78">
        <f xml:space="preserve"> 'T&amp;E'!AS$12</f>
        <v>48029</v>
      </c>
      <c r="AT4" s="78">
        <f xml:space="preserve"> 'T&amp;E'!AT$12</f>
        <v>48213</v>
      </c>
      <c r="AU4" s="78">
        <f xml:space="preserve"> 'T&amp;E'!AU$12</f>
        <v>48395</v>
      </c>
      <c r="AV4" s="78">
        <f xml:space="preserve"> 'T&amp;E'!AV$12</f>
        <v>48579</v>
      </c>
      <c r="AW4" s="78">
        <f xml:space="preserve"> 'T&amp;E'!AW$12</f>
        <v>48760</v>
      </c>
      <c r="AX4" s="78">
        <f xml:space="preserve"> 'T&amp;E'!AX$12</f>
        <v>48944</v>
      </c>
      <c r="AY4" s="78">
        <f xml:space="preserve"> 'T&amp;E'!AY$12</f>
        <v>49125</v>
      </c>
      <c r="AZ4" s="78">
        <f xml:space="preserve"> 'T&amp;E'!AZ$12</f>
        <v>49309</v>
      </c>
      <c r="BA4" s="78">
        <f xml:space="preserve"> 'T&amp;E'!BA$12</f>
        <v>49490</v>
      </c>
      <c r="BB4" s="78">
        <f xml:space="preserve"> 'T&amp;E'!BB$12</f>
        <v>49674</v>
      </c>
      <c r="BC4" s="78">
        <f xml:space="preserve"> 'T&amp;E'!BC$12</f>
        <v>49856</v>
      </c>
      <c r="BD4" s="78">
        <f xml:space="preserve"> 'T&amp;E'!BD$12</f>
        <v>50040</v>
      </c>
      <c r="BE4" s="78">
        <f xml:space="preserve"> 'T&amp;E'!BE$12</f>
        <v>50221</v>
      </c>
      <c r="BF4" s="78">
        <f xml:space="preserve"> 'T&amp;E'!BF$12</f>
        <v>50405</v>
      </c>
      <c r="BG4" s="78">
        <f xml:space="preserve"> 'T&amp;E'!BG$12</f>
        <v>50586</v>
      </c>
      <c r="BH4" s="78">
        <f xml:space="preserve"> 'T&amp;E'!BH$12</f>
        <v>50770</v>
      </c>
      <c r="BI4" s="78">
        <f xml:space="preserve"> 'T&amp;E'!BI$12</f>
        <v>50951</v>
      </c>
      <c r="BJ4" s="78">
        <f xml:space="preserve"> 'T&amp;E'!BJ$12</f>
        <v>51135</v>
      </c>
      <c r="BK4" s="78">
        <f xml:space="preserve"> 'T&amp;E'!BK$12</f>
        <v>51317</v>
      </c>
      <c r="BL4" s="78">
        <f xml:space="preserve"> 'T&amp;E'!BL$12</f>
        <v>51501</v>
      </c>
      <c r="BM4" s="78">
        <f xml:space="preserve"> 'T&amp;E'!BM$12</f>
        <v>51682</v>
      </c>
      <c r="BN4" s="78">
        <f xml:space="preserve"> 'T&amp;E'!BN$12</f>
        <v>51866</v>
      </c>
      <c r="BO4" s="78">
        <f xml:space="preserve"> 'T&amp;E'!BO$12</f>
        <v>52047</v>
      </c>
      <c r="BP4" s="78">
        <f xml:space="preserve"> 'T&amp;E'!BP$12</f>
        <v>52231</v>
      </c>
      <c r="BQ4" s="78">
        <f xml:space="preserve"> 'T&amp;E'!BQ$12</f>
        <v>52412</v>
      </c>
      <c r="BR4" s="78">
        <f xml:space="preserve"> 'T&amp;E'!BR$12</f>
        <v>52596</v>
      </c>
      <c r="BS4" s="78">
        <f xml:space="preserve"> 'T&amp;E'!BS$12</f>
        <v>52778</v>
      </c>
      <c r="BT4" s="78">
        <f xml:space="preserve"> 'T&amp;E'!BT$12</f>
        <v>52962</v>
      </c>
      <c r="BU4" s="78">
        <f xml:space="preserve"> 'T&amp;E'!BU$12</f>
        <v>53143</v>
      </c>
      <c r="BV4" s="78">
        <f xml:space="preserve"> 'T&amp;E'!BV$12</f>
        <v>53327</v>
      </c>
      <c r="BW4" s="78">
        <f xml:space="preserve"> 'T&amp;E'!BW$12</f>
        <v>53508</v>
      </c>
      <c r="BX4" s="78">
        <f xml:space="preserve"> 'T&amp;E'!BX$12</f>
        <v>53692</v>
      </c>
      <c r="BY4" s="78">
        <f xml:space="preserve"> 'T&amp;E'!BY$12</f>
        <v>53873</v>
      </c>
      <c r="BZ4" s="78">
        <f xml:space="preserve"> 'T&amp;E'!BZ$12</f>
        <v>54057</v>
      </c>
      <c r="CA4" s="78">
        <f xml:space="preserve"> 'T&amp;E'!CA$12</f>
        <v>54239</v>
      </c>
    </row>
    <row r="6" spans="1:79" x14ac:dyDescent="0.2">
      <c r="A6" s="81" t="s">
        <v>331</v>
      </c>
    </row>
    <row r="8" spans="1:79" s="96" customFormat="1" x14ac:dyDescent="0.2">
      <c r="A8" s="92"/>
      <c r="B8" s="93"/>
      <c r="C8" s="94"/>
      <c r="D8" s="95"/>
      <c r="E8" s="96" t="str">
        <f>SrDebt!E$79</f>
        <v>Senior debt service</v>
      </c>
      <c r="F8" s="96">
        <f>SrDebt!F$79</f>
        <v>0</v>
      </c>
      <c r="G8" s="96">
        <f>SrDebt!G$79</f>
        <v>0</v>
      </c>
      <c r="H8" s="96">
        <f>SrDebt!H$79</f>
        <v>714998.25608077052</v>
      </c>
      <c r="I8" s="96">
        <f>SrDebt!I$79</f>
        <v>0</v>
      </c>
      <c r="J8" s="96">
        <f>SrDebt!J$79</f>
        <v>0</v>
      </c>
      <c r="K8" s="96">
        <f>SrDebt!K$79</f>
        <v>0</v>
      </c>
      <c r="L8" s="96">
        <f>SrDebt!L$79</f>
        <v>0</v>
      </c>
      <c r="M8" s="96">
        <f>SrDebt!M$79</f>
        <v>0</v>
      </c>
      <c r="N8" s="96">
        <f>SrDebt!N$79</f>
        <v>0</v>
      </c>
      <c r="O8" s="96">
        <f>SrDebt!O$79</f>
        <v>18366.220321521923</v>
      </c>
      <c r="P8" s="96">
        <f>SrDebt!P$79</f>
        <v>18441.423071309706</v>
      </c>
      <c r="Q8" s="96">
        <f>SrDebt!Q$79</f>
        <v>18644.973138297792</v>
      </c>
      <c r="R8" s="96">
        <f>SrDebt!R$79</f>
        <v>17479.294210142154</v>
      </c>
      <c r="S8" s="96">
        <f>SrDebt!S$79</f>
        <v>17590.408068105608</v>
      </c>
      <c r="T8" s="96">
        <f>SrDebt!T$79</f>
        <v>17254.65413264605</v>
      </c>
      <c r="U8" s="96">
        <f>SrDebt!U$79</f>
        <v>17328.582122808635</v>
      </c>
      <c r="V8" s="96">
        <f>SrDebt!V$79</f>
        <v>17209.0532376991</v>
      </c>
      <c r="W8" s="96">
        <f>SrDebt!W$79</f>
        <v>17275.937777527521</v>
      </c>
      <c r="X8" s="96">
        <f>SrDebt!X$79</f>
        <v>17471.936103951146</v>
      </c>
      <c r="Y8" s="96">
        <f>SrDebt!Y$79</f>
        <v>17372.343491207837</v>
      </c>
      <c r="Z8" s="96">
        <f>SrDebt!Z$79</f>
        <v>17186.051087753283</v>
      </c>
      <c r="AA8" s="96">
        <f>SrDebt!AA$79</f>
        <v>17254.565383558223</v>
      </c>
      <c r="AB8" s="96">
        <f>SrDebt!AB$79</f>
        <v>17166.235836870459</v>
      </c>
      <c r="AC8" s="96">
        <f>SrDebt!AC$79</f>
        <v>17250.321563540158</v>
      </c>
      <c r="AD8" s="96">
        <f>SrDebt!AD$79</f>
        <v>17508.516864334983</v>
      </c>
      <c r="AE8" s="96">
        <f>SrDebt!AE$79</f>
        <v>17622.583646493513</v>
      </c>
      <c r="AF8" s="96">
        <f>SrDebt!AF$79</f>
        <v>17533.495698509745</v>
      </c>
      <c r="AG8" s="96">
        <f>SrDebt!AG$79</f>
        <v>17659.535539426462</v>
      </c>
      <c r="AH8" s="96">
        <f>SrDebt!AH$79</f>
        <v>17574.368687505015</v>
      </c>
      <c r="AI8" s="96">
        <f>SrDebt!AI$79</f>
        <v>17582.807918947779</v>
      </c>
      <c r="AJ8" s="96">
        <f>SrDebt!AJ$79</f>
        <v>17498.948099047106</v>
      </c>
      <c r="AK8" s="96">
        <f>SrDebt!AK$79</f>
        <v>17644.165811034047</v>
      </c>
      <c r="AL8" s="96">
        <f>SrDebt!AL$79</f>
        <v>17562.952327570492</v>
      </c>
      <c r="AM8" s="96">
        <f>SrDebt!AM$79</f>
        <v>17715.899278297555</v>
      </c>
      <c r="AN8" s="96">
        <f>SrDebt!AN$79</f>
        <v>17892.493826881931</v>
      </c>
      <c r="AO8" s="96">
        <f>SrDebt!AO$79</f>
        <v>18071.452328442148</v>
      </c>
      <c r="AP8" s="96">
        <f>SrDebt!AP$79</f>
        <v>17974.134919586853</v>
      </c>
      <c r="AQ8" s="96">
        <f>SrDebt!AQ$79</f>
        <v>18159.87062421774</v>
      </c>
      <c r="AR8" s="96">
        <f>SrDebt!AR$79</f>
        <v>18057.728492224036</v>
      </c>
      <c r="AS8" s="96">
        <f>SrDebt!AS$79</f>
        <v>18246.812457895794</v>
      </c>
      <c r="AT8" s="96">
        <f>SrDebt!AT$79</f>
        <v>18142.871139848805</v>
      </c>
      <c r="AU8" s="96">
        <f>SrDebt!AU$79</f>
        <v>18338.054588284165</v>
      </c>
      <c r="AV8" s="96">
        <f>SrDebt!AV$79</f>
        <v>18228.336511429316</v>
      </c>
      <c r="AW8" s="96">
        <f>SrDebt!AW$79</f>
        <v>18425.641869873711</v>
      </c>
      <c r="AX8" s="96">
        <f>SrDebt!AX$79</f>
        <v>18703.119927024381</v>
      </c>
      <c r="AY8" s="96">
        <f>SrDebt!AY$79</f>
        <v>18926.880581741076</v>
      </c>
      <c r="AZ8" s="96">
        <f>SrDebt!AZ$79</f>
        <v>18781.340145798389</v>
      </c>
      <c r="BA8" s="96">
        <f>SrDebt!BA$79</f>
        <v>19003.527521230822</v>
      </c>
      <c r="BB8" s="96">
        <f>SrDebt!BB$79</f>
        <v>18850.717728184958</v>
      </c>
      <c r="BC8" s="96">
        <f>SrDebt!BC$79</f>
        <v>0</v>
      </c>
      <c r="BD8" s="96">
        <f>SrDebt!BD$79</f>
        <v>0</v>
      </c>
      <c r="BE8" s="96">
        <f>SrDebt!BE$79</f>
        <v>0</v>
      </c>
      <c r="BF8" s="96">
        <f>SrDebt!BF$79</f>
        <v>0</v>
      </c>
      <c r="BG8" s="96">
        <f>SrDebt!BG$79</f>
        <v>0</v>
      </c>
      <c r="BH8" s="96">
        <f>SrDebt!BH$79</f>
        <v>0</v>
      </c>
      <c r="BI8" s="96">
        <f>SrDebt!BI$79</f>
        <v>0</v>
      </c>
      <c r="BJ8" s="96">
        <f>SrDebt!BJ$79</f>
        <v>0</v>
      </c>
      <c r="BK8" s="96">
        <f>SrDebt!BK$79</f>
        <v>0</v>
      </c>
      <c r="BL8" s="96">
        <f>SrDebt!BL$79</f>
        <v>0</v>
      </c>
      <c r="BM8" s="96">
        <f>SrDebt!BM$79</f>
        <v>0</v>
      </c>
      <c r="BN8" s="96">
        <f>SrDebt!BN$79</f>
        <v>0</v>
      </c>
      <c r="BO8" s="96">
        <f>SrDebt!BO$79</f>
        <v>0</v>
      </c>
      <c r="BP8" s="96">
        <f>SrDebt!BP$79</f>
        <v>0</v>
      </c>
      <c r="BQ8" s="96">
        <f>SrDebt!BQ$79</f>
        <v>0</v>
      </c>
      <c r="BR8" s="96">
        <f>SrDebt!BR$79</f>
        <v>0</v>
      </c>
      <c r="BS8" s="96">
        <f>SrDebt!BS$79</f>
        <v>0</v>
      </c>
      <c r="BT8" s="96">
        <f>SrDebt!BT$79</f>
        <v>0</v>
      </c>
      <c r="BU8" s="96">
        <f>SrDebt!BU$79</f>
        <v>0</v>
      </c>
      <c r="BV8" s="96">
        <f>SrDebt!BV$79</f>
        <v>0</v>
      </c>
      <c r="BW8" s="96">
        <f>SrDebt!BW$79</f>
        <v>0</v>
      </c>
      <c r="BX8" s="96">
        <f>SrDebt!BX$79</f>
        <v>0</v>
      </c>
      <c r="BY8" s="96">
        <f>SrDebt!BY$79</f>
        <v>0</v>
      </c>
      <c r="BZ8" s="96">
        <f>SrDebt!BZ$79</f>
        <v>0</v>
      </c>
      <c r="CA8" s="96">
        <f>SrDebt!CA$79</f>
        <v>0</v>
      </c>
    </row>
    <row r="9" spans="1:79" s="124" customFormat="1" x14ac:dyDescent="0.2">
      <c r="A9" s="166"/>
      <c r="B9" s="166"/>
      <c r="C9" s="167"/>
      <c r="D9" s="168"/>
      <c r="E9" s="124" t="str">
        <f xml:space="preserve"> 'T&amp;E'!E$24</f>
        <v>Operating period flag</v>
      </c>
      <c r="F9" s="124">
        <f xml:space="preserve"> 'T&amp;E'!F$24</f>
        <v>0</v>
      </c>
      <c r="G9" s="124" t="str">
        <f xml:space="preserve"> 'T&amp;E'!G$24</f>
        <v>flag</v>
      </c>
      <c r="H9" s="124">
        <f xml:space="preserve"> 'T&amp;E'!H$24</f>
        <v>60</v>
      </c>
      <c r="I9" s="124">
        <f xml:space="preserve"> 'T&amp;E'!I$24</f>
        <v>0</v>
      </c>
      <c r="J9" s="124">
        <f xml:space="preserve"> 'T&amp;E'!J$24</f>
        <v>0</v>
      </c>
      <c r="K9" s="124">
        <f xml:space="preserve"> 'T&amp;E'!K$24</f>
        <v>0</v>
      </c>
      <c r="L9" s="124">
        <f xml:space="preserve"> 'T&amp;E'!L$24</f>
        <v>0</v>
      </c>
      <c r="M9" s="124">
        <f xml:space="preserve"> 'T&amp;E'!M$24</f>
        <v>0</v>
      </c>
      <c r="N9" s="124">
        <f xml:space="preserve"> 'T&amp;E'!N$24</f>
        <v>0</v>
      </c>
      <c r="O9" s="124">
        <f xml:space="preserve"> 'T&amp;E'!O$24</f>
        <v>1</v>
      </c>
      <c r="P9" s="124">
        <f xml:space="preserve"> 'T&amp;E'!P$24</f>
        <v>1</v>
      </c>
      <c r="Q9" s="124">
        <f xml:space="preserve"> 'T&amp;E'!Q$24</f>
        <v>1</v>
      </c>
      <c r="R9" s="124">
        <f xml:space="preserve"> 'T&amp;E'!R$24</f>
        <v>1</v>
      </c>
      <c r="S9" s="124">
        <f xml:space="preserve"> 'T&amp;E'!S$24</f>
        <v>1</v>
      </c>
      <c r="T9" s="124">
        <f xml:space="preserve"> 'T&amp;E'!T$24</f>
        <v>1</v>
      </c>
      <c r="U9" s="124">
        <f xml:space="preserve"> 'T&amp;E'!U$24</f>
        <v>1</v>
      </c>
      <c r="V9" s="124">
        <f xml:space="preserve"> 'T&amp;E'!V$24</f>
        <v>1</v>
      </c>
      <c r="W9" s="124">
        <f xml:space="preserve"> 'T&amp;E'!W$24</f>
        <v>1</v>
      </c>
      <c r="X9" s="124">
        <f xml:space="preserve"> 'T&amp;E'!X$24</f>
        <v>1</v>
      </c>
      <c r="Y9" s="124">
        <f xml:space="preserve"> 'T&amp;E'!Y$24</f>
        <v>1</v>
      </c>
      <c r="Z9" s="124">
        <f xml:space="preserve"> 'T&amp;E'!Z$24</f>
        <v>1</v>
      </c>
      <c r="AA9" s="124">
        <f xml:space="preserve"> 'T&amp;E'!AA$24</f>
        <v>1</v>
      </c>
      <c r="AB9" s="124">
        <f xml:space="preserve"> 'T&amp;E'!AB$24</f>
        <v>1</v>
      </c>
      <c r="AC9" s="124">
        <f xml:space="preserve"> 'T&amp;E'!AC$24</f>
        <v>1</v>
      </c>
      <c r="AD9" s="124">
        <f xml:space="preserve"> 'T&amp;E'!AD$24</f>
        <v>1</v>
      </c>
      <c r="AE9" s="124">
        <f xml:space="preserve"> 'T&amp;E'!AE$24</f>
        <v>1</v>
      </c>
      <c r="AF9" s="124">
        <f xml:space="preserve"> 'T&amp;E'!AF$24</f>
        <v>1</v>
      </c>
      <c r="AG9" s="124">
        <f xml:space="preserve"> 'T&amp;E'!AG$24</f>
        <v>1</v>
      </c>
      <c r="AH9" s="124">
        <f xml:space="preserve"> 'T&amp;E'!AH$24</f>
        <v>1</v>
      </c>
      <c r="AI9" s="124">
        <f xml:space="preserve"> 'T&amp;E'!AI$24</f>
        <v>1</v>
      </c>
      <c r="AJ9" s="124">
        <f xml:space="preserve"> 'T&amp;E'!AJ$24</f>
        <v>1</v>
      </c>
      <c r="AK9" s="124">
        <f xml:space="preserve"> 'T&amp;E'!AK$24</f>
        <v>1</v>
      </c>
      <c r="AL9" s="124">
        <f xml:space="preserve"> 'T&amp;E'!AL$24</f>
        <v>1</v>
      </c>
      <c r="AM9" s="124">
        <f xml:space="preserve"> 'T&amp;E'!AM$24</f>
        <v>1</v>
      </c>
      <c r="AN9" s="124">
        <f xml:space="preserve"> 'T&amp;E'!AN$24</f>
        <v>1</v>
      </c>
      <c r="AO9" s="124">
        <f xml:space="preserve"> 'T&amp;E'!AO$24</f>
        <v>1</v>
      </c>
      <c r="AP9" s="124">
        <f xml:space="preserve"> 'T&amp;E'!AP$24</f>
        <v>1</v>
      </c>
      <c r="AQ9" s="124">
        <f xml:space="preserve"> 'T&amp;E'!AQ$24</f>
        <v>1</v>
      </c>
      <c r="AR9" s="124">
        <f xml:space="preserve"> 'T&amp;E'!AR$24</f>
        <v>1</v>
      </c>
      <c r="AS9" s="124">
        <f xml:space="preserve"> 'T&amp;E'!AS$24</f>
        <v>1</v>
      </c>
      <c r="AT9" s="124">
        <f xml:space="preserve"> 'T&amp;E'!AT$24</f>
        <v>1</v>
      </c>
      <c r="AU9" s="124">
        <f xml:space="preserve"> 'T&amp;E'!AU$24</f>
        <v>1</v>
      </c>
      <c r="AV9" s="124">
        <f xml:space="preserve"> 'T&amp;E'!AV$24</f>
        <v>1</v>
      </c>
      <c r="AW9" s="124">
        <f xml:space="preserve"> 'T&amp;E'!AW$24</f>
        <v>1</v>
      </c>
      <c r="AX9" s="124">
        <f xml:space="preserve"> 'T&amp;E'!AX$24</f>
        <v>1</v>
      </c>
      <c r="AY9" s="124">
        <f xml:space="preserve"> 'T&amp;E'!AY$24</f>
        <v>1</v>
      </c>
      <c r="AZ9" s="124">
        <f xml:space="preserve"> 'T&amp;E'!AZ$24</f>
        <v>1</v>
      </c>
      <c r="BA9" s="124">
        <f xml:space="preserve"> 'T&amp;E'!BA$24</f>
        <v>1</v>
      </c>
      <c r="BB9" s="124">
        <f xml:space="preserve"> 'T&amp;E'!BB$24</f>
        <v>1</v>
      </c>
      <c r="BC9" s="124">
        <f xml:space="preserve"> 'T&amp;E'!BC$24</f>
        <v>1</v>
      </c>
      <c r="BD9" s="124">
        <f xml:space="preserve"> 'T&amp;E'!BD$24</f>
        <v>1</v>
      </c>
      <c r="BE9" s="124">
        <f xml:space="preserve"> 'T&amp;E'!BE$24</f>
        <v>1</v>
      </c>
      <c r="BF9" s="124">
        <f xml:space="preserve"> 'T&amp;E'!BF$24</f>
        <v>1</v>
      </c>
      <c r="BG9" s="124">
        <f xml:space="preserve"> 'T&amp;E'!BG$24</f>
        <v>1</v>
      </c>
      <c r="BH9" s="124">
        <f xml:space="preserve"> 'T&amp;E'!BH$24</f>
        <v>1</v>
      </c>
      <c r="BI9" s="124">
        <f xml:space="preserve"> 'T&amp;E'!BI$24</f>
        <v>1</v>
      </c>
      <c r="BJ9" s="124">
        <f xml:space="preserve"> 'T&amp;E'!BJ$24</f>
        <v>1</v>
      </c>
      <c r="BK9" s="124">
        <f xml:space="preserve"> 'T&amp;E'!BK$24</f>
        <v>1</v>
      </c>
      <c r="BL9" s="124">
        <f xml:space="preserve"> 'T&amp;E'!BL$24</f>
        <v>1</v>
      </c>
      <c r="BM9" s="124">
        <f xml:space="preserve"> 'T&amp;E'!BM$24</f>
        <v>1</v>
      </c>
      <c r="BN9" s="124">
        <f xml:space="preserve"> 'T&amp;E'!BN$24</f>
        <v>1</v>
      </c>
      <c r="BO9" s="124">
        <f xml:space="preserve"> 'T&amp;E'!BO$24</f>
        <v>1</v>
      </c>
      <c r="BP9" s="124">
        <f xml:space="preserve"> 'T&amp;E'!BP$24</f>
        <v>1</v>
      </c>
      <c r="BQ9" s="124">
        <f xml:space="preserve"> 'T&amp;E'!BQ$24</f>
        <v>1</v>
      </c>
      <c r="BR9" s="124">
        <f xml:space="preserve"> 'T&amp;E'!BR$24</f>
        <v>1</v>
      </c>
      <c r="BS9" s="124">
        <f xml:space="preserve"> 'T&amp;E'!BS$24</f>
        <v>1</v>
      </c>
      <c r="BT9" s="124">
        <f xml:space="preserve"> 'T&amp;E'!BT$24</f>
        <v>1</v>
      </c>
      <c r="BU9" s="124">
        <f xml:space="preserve"> 'T&amp;E'!BU$24</f>
        <v>1</v>
      </c>
      <c r="BV9" s="124">
        <f xml:space="preserve"> 'T&amp;E'!BV$24</f>
        <v>1</v>
      </c>
      <c r="BW9" s="124">
        <f xml:space="preserve"> 'T&amp;E'!BW$24</f>
        <v>0</v>
      </c>
      <c r="BX9" s="124">
        <f xml:space="preserve"> 'T&amp;E'!BX$24</f>
        <v>0</v>
      </c>
      <c r="BY9" s="124">
        <f xml:space="preserve"> 'T&amp;E'!BY$24</f>
        <v>0</v>
      </c>
      <c r="BZ9" s="124">
        <f xml:space="preserve"> 'T&amp;E'!BZ$24</f>
        <v>0</v>
      </c>
      <c r="CA9" s="124">
        <f xml:space="preserve"> 'T&amp;E'!CA$24</f>
        <v>0</v>
      </c>
    </row>
    <row r="10" spans="1:79" x14ac:dyDescent="0.2">
      <c r="E10" s="135" t="s">
        <v>322</v>
      </c>
      <c r="F10" s="148" t="s">
        <v>323</v>
      </c>
      <c r="J10" s="85">
        <f t="shared" ref="J10:N10" si="0" xml:space="preserve"> K8 * J9</f>
        <v>0</v>
      </c>
      <c r="K10" s="85">
        <f t="shared" si="0"/>
        <v>0</v>
      </c>
      <c r="L10" s="85">
        <f t="shared" si="0"/>
        <v>0</v>
      </c>
      <c r="M10" s="85">
        <f t="shared" si="0"/>
        <v>0</v>
      </c>
      <c r="N10" s="85">
        <f t="shared" si="0"/>
        <v>0</v>
      </c>
      <c r="O10" s="85">
        <f xml:space="preserve"> P8 * O9</f>
        <v>18441.423071309706</v>
      </c>
      <c r="P10" s="85">
        <f t="shared" ref="P10:CA10" si="1" xml:space="preserve"> Q8 * P9</f>
        <v>18644.973138297792</v>
      </c>
      <c r="Q10" s="85">
        <f t="shared" si="1"/>
        <v>17479.294210142154</v>
      </c>
      <c r="R10" s="85">
        <f t="shared" si="1"/>
        <v>17590.408068105608</v>
      </c>
      <c r="S10" s="85">
        <f t="shared" si="1"/>
        <v>17254.65413264605</v>
      </c>
      <c r="T10" s="85">
        <f t="shared" si="1"/>
        <v>17328.582122808635</v>
      </c>
      <c r="U10" s="85">
        <f t="shared" si="1"/>
        <v>17209.0532376991</v>
      </c>
      <c r="V10" s="85">
        <f t="shared" si="1"/>
        <v>17275.937777527521</v>
      </c>
      <c r="W10" s="85">
        <f t="shared" si="1"/>
        <v>17471.936103951146</v>
      </c>
      <c r="X10" s="85">
        <f t="shared" si="1"/>
        <v>17372.343491207837</v>
      </c>
      <c r="Y10" s="85">
        <f t="shared" si="1"/>
        <v>17186.051087753283</v>
      </c>
      <c r="Z10" s="85">
        <f t="shared" si="1"/>
        <v>17254.565383558223</v>
      </c>
      <c r="AA10" s="85">
        <f t="shared" si="1"/>
        <v>17166.235836870459</v>
      </c>
      <c r="AB10" s="85">
        <f t="shared" si="1"/>
        <v>17250.321563540158</v>
      </c>
      <c r="AC10" s="85">
        <f t="shared" si="1"/>
        <v>17508.516864334983</v>
      </c>
      <c r="AD10" s="85">
        <f t="shared" si="1"/>
        <v>17622.583646493513</v>
      </c>
      <c r="AE10" s="85">
        <f t="shared" si="1"/>
        <v>17533.495698509745</v>
      </c>
      <c r="AF10" s="85">
        <f t="shared" si="1"/>
        <v>17659.535539426462</v>
      </c>
      <c r="AG10" s="85">
        <f t="shared" si="1"/>
        <v>17574.368687505015</v>
      </c>
      <c r="AH10" s="85">
        <f t="shared" si="1"/>
        <v>17582.807918947779</v>
      </c>
      <c r="AI10" s="85">
        <f t="shared" si="1"/>
        <v>17498.948099047106</v>
      </c>
      <c r="AJ10" s="85">
        <f t="shared" si="1"/>
        <v>17644.165811034047</v>
      </c>
      <c r="AK10" s="85">
        <f t="shared" si="1"/>
        <v>17562.952327570492</v>
      </c>
      <c r="AL10" s="85">
        <f t="shared" si="1"/>
        <v>17715.899278297555</v>
      </c>
      <c r="AM10" s="85">
        <f t="shared" si="1"/>
        <v>17892.493826881931</v>
      </c>
      <c r="AN10" s="85">
        <f t="shared" si="1"/>
        <v>18071.452328442148</v>
      </c>
      <c r="AO10" s="85">
        <f t="shared" si="1"/>
        <v>17974.134919586853</v>
      </c>
      <c r="AP10" s="85">
        <f t="shared" si="1"/>
        <v>18159.87062421774</v>
      </c>
      <c r="AQ10" s="85">
        <f t="shared" si="1"/>
        <v>18057.728492224036</v>
      </c>
      <c r="AR10" s="85">
        <f t="shared" si="1"/>
        <v>18246.812457895794</v>
      </c>
      <c r="AS10" s="85">
        <f t="shared" si="1"/>
        <v>18142.871139848805</v>
      </c>
      <c r="AT10" s="85">
        <f t="shared" si="1"/>
        <v>18338.054588284165</v>
      </c>
      <c r="AU10" s="85">
        <f t="shared" si="1"/>
        <v>18228.336511429316</v>
      </c>
      <c r="AV10" s="85">
        <f t="shared" si="1"/>
        <v>18425.641869873711</v>
      </c>
      <c r="AW10" s="85">
        <f t="shared" si="1"/>
        <v>18703.119927024381</v>
      </c>
      <c r="AX10" s="85">
        <f t="shared" si="1"/>
        <v>18926.880581741076</v>
      </c>
      <c r="AY10" s="85">
        <f t="shared" si="1"/>
        <v>18781.340145798389</v>
      </c>
      <c r="AZ10" s="85">
        <f t="shared" si="1"/>
        <v>19003.527521230822</v>
      </c>
      <c r="BA10" s="85">
        <f t="shared" si="1"/>
        <v>18850.717728184958</v>
      </c>
      <c r="BB10" s="85">
        <f t="shared" si="1"/>
        <v>0</v>
      </c>
      <c r="BC10" s="85">
        <f t="shared" si="1"/>
        <v>0</v>
      </c>
      <c r="BD10" s="85">
        <f t="shared" si="1"/>
        <v>0</v>
      </c>
      <c r="BE10" s="85">
        <f t="shared" si="1"/>
        <v>0</v>
      </c>
      <c r="BF10" s="85">
        <f t="shared" si="1"/>
        <v>0</v>
      </c>
      <c r="BG10" s="85">
        <f t="shared" si="1"/>
        <v>0</v>
      </c>
      <c r="BH10" s="85">
        <f t="shared" si="1"/>
        <v>0</v>
      </c>
      <c r="BI10" s="85">
        <f t="shared" si="1"/>
        <v>0</v>
      </c>
      <c r="BJ10" s="85">
        <f t="shared" si="1"/>
        <v>0</v>
      </c>
      <c r="BK10" s="85">
        <f t="shared" si="1"/>
        <v>0</v>
      </c>
      <c r="BL10" s="85">
        <f t="shared" si="1"/>
        <v>0</v>
      </c>
      <c r="BM10" s="85">
        <f t="shared" si="1"/>
        <v>0</v>
      </c>
      <c r="BN10" s="85">
        <f t="shared" si="1"/>
        <v>0</v>
      </c>
      <c r="BO10" s="85">
        <f t="shared" si="1"/>
        <v>0</v>
      </c>
      <c r="BP10" s="85">
        <f t="shared" si="1"/>
        <v>0</v>
      </c>
      <c r="BQ10" s="85">
        <f t="shared" si="1"/>
        <v>0</v>
      </c>
      <c r="BR10" s="85">
        <f t="shared" si="1"/>
        <v>0</v>
      </c>
      <c r="BS10" s="85">
        <f t="shared" si="1"/>
        <v>0</v>
      </c>
      <c r="BT10" s="85">
        <f t="shared" si="1"/>
        <v>0</v>
      </c>
      <c r="BU10" s="85">
        <f t="shared" si="1"/>
        <v>0</v>
      </c>
      <c r="BV10" s="85">
        <f t="shared" si="1"/>
        <v>0</v>
      </c>
      <c r="BW10" s="85">
        <f t="shared" si="1"/>
        <v>0</v>
      </c>
      <c r="BX10" s="85">
        <f t="shared" si="1"/>
        <v>0</v>
      </c>
      <c r="BY10" s="85">
        <f t="shared" si="1"/>
        <v>0</v>
      </c>
      <c r="BZ10" s="85">
        <f t="shared" si="1"/>
        <v>0</v>
      </c>
      <c r="CA10" s="85">
        <f t="shared" si="1"/>
        <v>0</v>
      </c>
    </row>
    <row r="12" spans="1:79" x14ac:dyDescent="0.2">
      <c r="E12" s="85" t="str">
        <f xml:space="preserve"> E$10</f>
        <v>Target DSRA balance</v>
      </c>
      <c r="F12" s="85" t="str">
        <f t="shared" ref="F12:BQ12" si="2" xml:space="preserve"> F$10</f>
        <v>NEXT</v>
      </c>
      <c r="G12" s="85">
        <f t="shared" si="2"/>
        <v>0</v>
      </c>
      <c r="H12" s="85">
        <f t="shared" si="2"/>
        <v>0</v>
      </c>
      <c r="I12" s="85">
        <f t="shared" si="2"/>
        <v>0</v>
      </c>
      <c r="J12" s="85">
        <f t="shared" si="2"/>
        <v>0</v>
      </c>
      <c r="K12" s="85">
        <f t="shared" si="2"/>
        <v>0</v>
      </c>
      <c r="L12" s="85">
        <f t="shared" si="2"/>
        <v>0</v>
      </c>
      <c r="M12" s="85">
        <f t="shared" si="2"/>
        <v>0</v>
      </c>
      <c r="N12" s="85">
        <f t="shared" si="2"/>
        <v>0</v>
      </c>
      <c r="O12" s="85">
        <f t="shared" si="2"/>
        <v>18441.423071309706</v>
      </c>
      <c r="P12" s="85">
        <f t="shared" si="2"/>
        <v>18644.973138297792</v>
      </c>
      <c r="Q12" s="85">
        <f t="shared" si="2"/>
        <v>17479.294210142154</v>
      </c>
      <c r="R12" s="85">
        <f t="shared" si="2"/>
        <v>17590.408068105608</v>
      </c>
      <c r="S12" s="85">
        <f t="shared" si="2"/>
        <v>17254.65413264605</v>
      </c>
      <c r="T12" s="85">
        <f t="shared" si="2"/>
        <v>17328.582122808635</v>
      </c>
      <c r="U12" s="85">
        <f t="shared" si="2"/>
        <v>17209.0532376991</v>
      </c>
      <c r="V12" s="85">
        <f t="shared" si="2"/>
        <v>17275.937777527521</v>
      </c>
      <c r="W12" s="85">
        <f t="shared" si="2"/>
        <v>17471.936103951146</v>
      </c>
      <c r="X12" s="85">
        <f t="shared" si="2"/>
        <v>17372.343491207837</v>
      </c>
      <c r="Y12" s="85">
        <f t="shared" si="2"/>
        <v>17186.051087753283</v>
      </c>
      <c r="Z12" s="85">
        <f t="shared" si="2"/>
        <v>17254.565383558223</v>
      </c>
      <c r="AA12" s="85">
        <f t="shared" si="2"/>
        <v>17166.235836870459</v>
      </c>
      <c r="AB12" s="85">
        <f t="shared" si="2"/>
        <v>17250.321563540158</v>
      </c>
      <c r="AC12" s="85">
        <f t="shared" si="2"/>
        <v>17508.516864334983</v>
      </c>
      <c r="AD12" s="85">
        <f t="shared" si="2"/>
        <v>17622.583646493513</v>
      </c>
      <c r="AE12" s="85">
        <f t="shared" si="2"/>
        <v>17533.495698509745</v>
      </c>
      <c r="AF12" s="85">
        <f t="shared" si="2"/>
        <v>17659.535539426462</v>
      </c>
      <c r="AG12" s="85">
        <f t="shared" si="2"/>
        <v>17574.368687505015</v>
      </c>
      <c r="AH12" s="85">
        <f t="shared" si="2"/>
        <v>17582.807918947779</v>
      </c>
      <c r="AI12" s="85">
        <f t="shared" si="2"/>
        <v>17498.948099047106</v>
      </c>
      <c r="AJ12" s="85">
        <f t="shared" si="2"/>
        <v>17644.165811034047</v>
      </c>
      <c r="AK12" s="85">
        <f t="shared" si="2"/>
        <v>17562.952327570492</v>
      </c>
      <c r="AL12" s="85">
        <f t="shared" si="2"/>
        <v>17715.899278297555</v>
      </c>
      <c r="AM12" s="85">
        <f t="shared" si="2"/>
        <v>17892.493826881931</v>
      </c>
      <c r="AN12" s="85">
        <f t="shared" si="2"/>
        <v>18071.452328442148</v>
      </c>
      <c r="AO12" s="85">
        <f t="shared" si="2"/>
        <v>17974.134919586853</v>
      </c>
      <c r="AP12" s="85">
        <f t="shared" si="2"/>
        <v>18159.87062421774</v>
      </c>
      <c r="AQ12" s="85">
        <f t="shared" si="2"/>
        <v>18057.728492224036</v>
      </c>
      <c r="AR12" s="85">
        <f t="shared" si="2"/>
        <v>18246.812457895794</v>
      </c>
      <c r="AS12" s="85">
        <f t="shared" si="2"/>
        <v>18142.871139848805</v>
      </c>
      <c r="AT12" s="85">
        <f t="shared" si="2"/>
        <v>18338.054588284165</v>
      </c>
      <c r="AU12" s="85">
        <f t="shared" si="2"/>
        <v>18228.336511429316</v>
      </c>
      <c r="AV12" s="85">
        <f t="shared" si="2"/>
        <v>18425.641869873711</v>
      </c>
      <c r="AW12" s="85">
        <f t="shared" si="2"/>
        <v>18703.119927024381</v>
      </c>
      <c r="AX12" s="85">
        <f t="shared" si="2"/>
        <v>18926.880581741076</v>
      </c>
      <c r="AY12" s="85">
        <f t="shared" si="2"/>
        <v>18781.340145798389</v>
      </c>
      <c r="AZ12" s="85">
        <f t="shared" si="2"/>
        <v>19003.527521230822</v>
      </c>
      <c r="BA12" s="85">
        <f t="shared" si="2"/>
        <v>18850.717728184958</v>
      </c>
      <c r="BB12" s="85">
        <f t="shared" si="2"/>
        <v>0</v>
      </c>
      <c r="BC12" s="85">
        <f t="shared" si="2"/>
        <v>0</v>
      </c>
      <c r="BD12" s="85">
        <f t="shared" si="2"/>
        <v>0</v>
      </c>
      <c r="BE12" s="85">
        <f t="shared" si="2"/>
        <v>0</v>
      </c>
      <c r="BF12" s="85">
        <f t="shared" si="2"/>
        <v>0</v>
      </c>
      <c r="BG12" s="85">
        <f t="shared" si="2"/>
        <v>0</v>
      </c>
      <c r="BH12" s="85">
        <f t="shared" si="2"/>
        <v>0</v>
      </c>
      <c r="BI12" s="85">
        <f t="shared" si="2"/>
        <v>0</v>
      </c>
      <c r="BJ12" s="85">
        <f t="shared" si="2"/>
        <v>0</v>
      </c>
      <c r="BK12" s="85">
        <f t="shared" si="2"/>
        <v>0</v>
      </c>
      <c r="BL12" s="85">
        <f t="shared" si="2"/>
        <v>0</v>
      </c>
      <c r="BM12" s="85">
        <f t="shared" si="2"/>
        <v>0</v>
      </c>
      <c r="BN12" s="85">
        <f t="shared" si="2"/>
        <v>0</v>
      </c>
      <c r="BO12" s="85">
        <f t="shared" si="2"/>
        <v>0</v>
      </c>
      <c r="BP12" s="85">
        <f t="shared" si="2"/>
        <v>0</v>
      </c>
      <c r="BQ12" s="85">
        <f t="shared" si="2"/>
        <v>0</v>
      </c>
      <c r="BR12" s="85">
        <f t="shared" ref="BR12:CA12" si="3" xml:space="preserve"> BR$10</f>
        <v>0</v>
      </c>
      <c r="BS12" s="85">
        <f t="shared" si="3"/>
        <v>0</v>
      </c>
      <c r="BT12" s="85">
        <f t="shared" si="3"/>
        <v>0</v>
      </c>
      <c r="BU12" s="85">
        <f t="shared" si="3"/>
        <v>0</v>
      </c>
      <c r="BV12" s="85">
        <f t="shared" si="3"/>
        <v>0</v>
      </c>
      <c r="BW12" s="85">
        <f t="shared" si="3"/>
        <v>0</v>
      </c>
      <c r="BX12" s="85">
        <f t="shared" si="3"/>
        <v>0</v>
      </c>
      <c r="BY12" s="85">
        <f t="shared" si="3"/>
        <v>0</v>
      </c>
      <c r="BZ12" s="85">
        <f t="shared" si="3"/>
        <v>0</v>
      </c>
      <c r="CA12" s="85">
        <f t="shared" si="3"/>
        <v>0</v>
      </c>
    </row>
    <row r="13" spans="1:79" s="160" customFormat="1" x14ac:dyDescent="0.2">
      <c r="A13" s="157"/>
      <c r="B13" s="157"/>
      <c r="C13" s="158"/>
      <c r="D13" s="159"/>
      <c r="E13" s="160" t="str">
        <f xml:space="preserve"> E$57</f>
        <v>Senior DSRA balance BEG</v>
      </c>
      <c r="F13" s="160">
        <f t="shared" ref="F13:BQ13" si="4" xml:space="preserve"> F$57</f>
        <v>0</v>
      </c>
      <c r="G13" s="160" t="str">
        <f t="shared" si="4"/>
        <v>€ 000s</v>
      </c>
      <c r="H13" s="160">
        <f t="shared" si="4"/>
        <v>0</v>
      </c>
      <c r="I13" s="160">
        <f t="shared" si="4"/>
        <v>0</v>
      </c>
      <c r="J13" s="160">
        <f t="shared" si="4"/>
        <v>0</v>
      </c>
      <c r="K13" s="160">
        <f t="shared" si="4"/>
        <v>0</v>
      </c>
      <c r="L13" s="160">
        <f t="shared" si="4"/>
        <v>0</v>
      </c>
      <c r="M13" s="160">
        <f t="shared" si="4"/>
        <v>0</v>
      </c>
      <c r="N13" s="160">
        <f t="shared" si="4"/>
        <v>0</v>
      </c>
      <c r="O13" s="160">
        <f t="shared" si="4"/>
        <v>8000</v>
      </c>
      <c r="P13" s="160">
        <f t="shared" si="4"/>
        <v>15308.914325215337</v>
      </c>
      <c r="Q13" s="160">
        <f t="shared" si="4"/>
        <v>18644.973138297792</v>
      </c>
      <c r="R13" s="160">
        <f t="shared" si="4"/>
        <v>17479.294210142154</v>
      </c>
      <c r="S13" s="160">
        <f t="shared" si="4"/>
        <v>17590.408068105608</v>
      </c>
      <c r="T13" s="160">
        <f t="shared" si="4"/>
        <v>17254.65413264605</v>
      </c>
      <c r="U13" s="160">
        <f t="shared" si="4"/>
        <v>17328.582122808635</v>
      </c>
      <c r="V13" s="160">
        <f t="shared" si="4"/>
        <v>17209.0532376991</v>
      </c>
      <c r="W13" s="160">
        <f t="shared" si="4"/>
        <v>17275.937777527521</v>
      </c>
      <c r="X13" s="160">
        <f t="shared" si="4"/>
        <v>17471.936103951146</v>
      </c>
      <c r="Y13" s="160">
        <f t="shared" si="4"/>
        <v>17372.343491207837</v>
      </c>
      <c r="Z13" s="160">
        <f t="shared" si="4"/>
        <v>17186.051087753283</v>
      </c>
      <c r="AA13" s="160">
        <f t="shared" si="4"/>
        <v>17254.565383558223</v>
      </c>
      <c r="AB13" s="160">
        <f t="shared" si="4"/>
        <v>17166.235836870459</v>
      </c>
      <c r="AC13" s="160">
        <f t="shared" si="4"/>
        <v>17250.321563540158</v>
      </c>
      <c r="AD13" s="160">
        <f t="shared" si="4"/>
        <v>17508.516864334983</v>
      </c>
      <c r="AE13" s="160">
        <f t="shared" si="4"/>
        <v>17622.583646493513</v>
      </c>
      <c r="AF13" s="160">
        <f t="shared" si="4"/>
        <v>17533.495698509745</v>
      </c>
      <c r="AG13" s="160">
        <f t="shared" si="4"/>
        <v>17659.535539426462</v>
      </c>
      <c r="AH13" s="160">
        <f t="shared" si="4"/>
        <v>17574.368687505015</v>
      </c>
      <c r="AI13" s="160">
        <f t="shared" si="4"/>
        <v>17582.807918947779</v>
      </c>
      <c r="AJ13" s="160">
        <f t="shared" si="4"/>
        <v>17498.948099047106</v>
      </c>
      <c r="AK13" s="160">
        <f t="shared" si="4"/>
        <v>17644.165811034047</v>
      </c>
      <c r="AL13" s="160">
        <f t="shared" si="4"/>
        <v>17562.952327570492</v>
      </c>
      <c r="AM13" s="160">
        <f t="shared" si="4"/>
        <v>17715.899278297555</v>
      </c>
      <c r="AN13" s="160">
        <f t="shared" si="4"/>
        <v>17892.493826881931</v>
      </c>
      <c r="AO13" s="160">
        <f t="shared" si="4"/>
        <v>18071.452328442148</v>
      </c>
      <c r="AP13" s="160">
        <f t="shared" si="4"/>
        <v>17974.134919586853</v>
      </c>
      <c r="AQ13" s="160">
        <f t="shared" si="4"/>
        <v>18159.87062421774</v>
      </c>
      <c r="AR13" s="160">
        <f t="shared" si="4"/>
        <v>18057.728492224036</v>
      </c>
      <c r="AS13" s="160">
        <f t="shared" si="4"/>
        <v>18246.812457895794</v>
      </c>
      <c r="AT13" s="160">
        <f t="shared" si="4"/>
        <v>18142.871139848805</v>
      </c>
      <c r="AU13" s="160">
        <f t="shared" si="4"/>
        <v>18338.054588284165</v>
      </c>
      <c r="AV13" s="160">
        <f t="shared" si="4"/>
        <v>18228.336511429316</v>
      </c>
      <c r="AW13" s="160">
        <f t="shared" si="4"/>
        <v>18425.641869873711</v>
      </c>
      <c r="AX13" s="160">
        <f t="shared" si="4"/>
        <v>18703.119927024381</v>
      </c>
      <c r="AY13" s="160">
        <f t="shared" si="4"/>
        <v>18926.880581741076</v>
      </c>
      <c r="AZ13" s="160">
        <f t="shared" si="4"/>
        <v>18781.340145798389</v>
      </c>
      <c r="BA13" s="160">
        <f t="shared" si="4"/>
        <v>19003.527521230822</v>
      </c>
      <c r="BB13" s="160">
        <f t="shared" si="4"/>
        <v>18850.717728184958</v>
      </c>
      <c r="BC13" s="160">
        <f t="shared" si="4"/>
        <v>0</v>
      </c>
      <c r="BD13" s="160">
        <f t="shared" si="4"/>
        <v>0</v>
      </c>
      <c r="BE13" s="160">
        <f t="shared" si="4"/>
        <v>0</v>
      </c>
      <c r="BF13" s="160">
        <f t="shared" si="4"/>
        <v>0</v>
      </c>
      <c r="BG13" s="160">
        <f t="shared" si="4"/>
        <v>0</v>
      </c>
      <c r="BH13" s="160">
        <f t="shared" si="4"/>
        <v>0</v>
      </c>
      <c r="BI13" s="160">
        <f t="shared" si="4"/>
        <v>0</v>
      </c>
      <c r="BJ13" s="160">
        <f t="shared" si="4"/>
        <v>0</v>
      </c>
      <c r="BK13" s="160">
        <f t="shared" si="4"/>
        <v>0</v>
      </c>
      <c r="BL13" s="160">
        <f t="shared" si="4"/>
        <v>0</v>
      </c>
      <c r="BM13" s="160">
        <f t="shared" si="4"/>
        <v>0</v>
      </c>
      <c r="BN13" s="160">
        <f t="shared" si="4"/>
        <v>0</v>
      </c>
      <c r="BO13" s="160">
        <f t="shared" si="4"/>
        <v>0</v>
      </c>
      <c r="BP13" s="160">
        <f t="shared" si="4"/>
        <v>0</v>
      </c>
      <c r="BQ13" s="160">
        <f t="shared" si="4"/>
        <v>0</v>
      </c>
      <c r="BR13" s="160">
        <f t="shared" ref="BR13:CA13" si="5" xml:space="preserve"> BR$57</f>
        <v>0</v>
      </c>
      <c r="BS13" s="160">
        <f t="shared" si="5"/>
        <v>0</v>
      </c>
      <c r="BT13" s="160">
        <f t="shared" si="5"/>
        <v>0</v>
      </c>
      <c r="BU13" s="160">
        <f t="shared" si="5"/>
        <v>0</v>
      </c>
      <c r="BV13" s="160">
        <f t="shared" si="5"/>
        <v>0</v>
      </c>
      <c r="BW13" s="160">
        <f t="shared" si="5"/>
        <v>0</v>
      </c>
      <c r="BX13" s="160">
        <f t="shared" si="5"/>
        <v>0</v>
      </c>
      <c r="BY13" s="160">
        <f t="shared" si="5"/>
        <v>0</v>
      </c>
      <c r="BZ13" s="160">
        <f t="shared" si="5"/>
        <v>0</v>
      </c>
      <c r="CA13" s="160">
        <f t="shared" si="5"/>
        <v>0</v>
      </c>
    </row>
    <row r="14" spans="1:79" x14ac:dyDescent="0.2">
      <c r="E14" s="85" t="s">
        <v>324</v>
      </c>
      <c r="J14" s="85">
        <f t="shared" ref="J14:N14" si="6" xml:space="preserve"> J12 - J13</f>
        <v>0</v>
      </c>
      <c r="K14" s="85">
        <f t="shared" si="6"/>
        <v>0</v>
      </c>
      <c r="L14" s="85">
        <f t="shared" si="6"/>
        <v>0</v>
      </c>
      <c r="M14" s="85">
        <f t="shared" si="6"/>
        <v>0</v>
      </c>
      <c r="N14" s="85">
        <f t="shared" si="6"/>
        <v>0</v>
      </c>
      <c r="O14" s="85">
        <f xml:space="preserve"> O12 - O13</f>
        <v>10441.423071309706</v>
      </c>
      <c r="P14" s="85">
        <f t="shared" ref="P14:CA14" si="7" xml:space="preserve"> P12 - P13</f>
        <v>3336.0588130824544</v>
      </c>
      <c r="Q14" s="85">
        <f t="shared" si="7"/>
        <v>-1165.6789281556375</v>
      </c>
      <c r="R14" s="85">
        <f t="shared" si="7"/>
        <v>111.11385796345348</v>
      </c>
      <c r="S14" s="85">
        <f t="shared" si="7"/>
        <v>-335.7539354595574</v>
      </c>
      <c r="T14" s="85">
        <f t="shared" si="7"/>
        <v>73.927990162585047</v>
      </c>
      <c r="U14" s="85">
        <f t="shared" si="7"/>
        <v>-119.52888510953562</v>
      </c>
      <c r="V14" s="85">
        <f t="shared" si="7"/>
        <v>66.884539828421111</v>
      </c>
      <c r="W14" s="85">
        <f t="shared" si="7"/>
        <v>195.99832642362526</v>
      </c>
      <c r="X14" s="85">
        <f t="shared" si="7"/>
        <v>-99.592612743308564</v>
      </c>
      <c r="Y14" s="85">
        <f t="shared" si="7"/>
        <v>-186.29240345455401</v>
      </c>
      <c r="Z14" s="85">
        <f t="shared" si="7"/>
        <v>68.514295804940048</v>
      </c>
      <c r="AA14" s="85">
        <f t="shared" si="7"/>
        <v>-88.329546687764378</v>
      </c>
      <c r="AB14" s="85">
        <f t="shared" si="7"/>
        <v>84.085726669698488</v>
      </c>
      <c r="AC14" s="85">
        <f t="shared" si="7"/>
        <v>258.19530079482502</v>
      </c>
      <c r="AD14" s="85">
        <f t="shared" si="7"/>
        <v>114.06678215853026</v>
      </c>
      <c r="AE14" s="85">
        <f t="shared" si="7"/>
        <v>-89.087947983767663</v>
      </c>
      <c r="AF14" s="85">
        <f t="shared" si="7"/>
        <v>126.03984091671737</v>
      </c>
      <c r="AG14" s="85">
        <f t="shared" si="7"/>
        <v>-85.166851921447233</v>
      </c>
      <c r="AH14" s="85">
        <f t="shared" si="7"/>
        <v>8.4392314427641395</v>
      </c>
      <c r="AI14" s="85">
        <f t="shared" si="7"/>
        <v>-83.859819900673756</v>
      </c>
      <c r="AJ14" s="85">
        <f t="shared" si="7"/>
        <v>145.21771198694114</v>
      </c>
      <c r="AK14" s="85">
        <f t="shared" si="7"/>
        <v>-81.213483463554439</v>
      </c>
      <c r="AL14" s="85">
        <f t="shared" si="7"/>
        <v>152.94695072706236</v>
      </c>
      <c r="AM14" s="85">
        <f t="shared" si="7"/>
        <v>176.59454858437675</v>
      </c>
      <c r="AN14" s="85">
        <f t="shared" si="7"/>
        <v>178.95850156021697</v>
      </c>
      <c r="AO14" s="85">
        <f t="shared" si="7"/>
        <v>-97.317408855295071</v>
      </c>
      <c r="AP14" s="85">
        <f t="shared" si="7"/>
        <v>185.73570463088618</v>
      </c>
      <c r="AQ14" s="85">
        <f t="shared" si="7"/>
        <v>-102.14213199370352</v>
      </c>
      <c r="AR14" s="85">
        <f t="shared" si="7"/>
        <v>189.08396567175805</v>
      </c>
      <c r="AS14" s="85">
        <f t="shared" si="7"/>
        <v>-103.94131804698918</v>
      </c>
      <c r="AT14" s="85">
        <f t="shared" si="7"/>
        <v>195.18344843536033</v>
      </c>
      <c r="AU14" s="85">
        <f t="shared" si="7"/>
        <v>-109.71807685484964</v>
      </c>
      <c r="AV14" s="85">
        <f t="shared" si="7"/>
        <v>197.3053584443951</v>
      </c>
      <c r="AW14" s="85">
        <f t="shared" si="7"/>
        <v>277.47805715067079</v>
      </c>
      <c r="AX14" s="85">
        <f t="shared" si="7"/>
        <v>223.76065471669426</v>
      </c>
      <c r="AY14" s="85">
        <f t="shared" si="7"/>
        <v>-145.5404359426866</v>
      </c>
      <c r="AZ14" s="85">
        <f t="shared" si="7"/>
        <v>222.18737543243333</v>
      </c>
      <c r="BA14" s="85">
        <f t="shared" si="7"/>
        <v>-152.80979304586435</v>
      </c>
      <c r="BB14" s="85">
        <f t="shared" si="7"/>
        <v>-18850.717728184958</v>
      </c>
      <c r="BC14" s="85">
        <f t="shared" si="7"/>
        <v>0</v>
      </c>
      <c r="BD14" s="85">
        <f t="shared" si="7"/>
        <v>0</v>
      </c>
      <c r="BE14" s="85">
        <f t="shared" si="7"/>
        <v>0</v>
      </c>
      <c r="BF14" s="85">
        <f t="shared" si="7"/>
        <v>0</v>
      </c>
      <c r="BG14" s="85">
        <f t="shared" si="7"/>
        <v>0</v>
      </c>
      <c r="BH14" s="85">
        <f t="shared" si="7"/>
        <v>0</v>
      </c>
      <c r="BI14" s="85">
        <f t="shared" si="7"/>
        <v>0</v>
      </c>
      <c r="BJ14" s="85">
        <f t="shared" si="7"/>
        <v>0</v>
      </c>
      <c r="BK14" s="85">
        <f t="shared" si="7"/>
        <v>0</v>
      </c>
      <c r="BL14" s="85">
        <f t="shared" si="7"/>
        <v>0</v>
      </c>
      <c r="BM14" s="85">
        <f t="shared" si="7"/>
        <v>0</v>
      </c>
      <c r="BN14" s="85">
        <f t="shared" si="7"/>
        <v>0</v>
      </c>
      <c r="BO14" s="85">
        <f t="shared" si="7"/>
        <v>0</v>
      </c>
      <c r="BP14" s="85">
        <f t="shared" si="7"/>
        <v>0</v>
      </c>
      <c r="BQ14" s="85">
        <f t="shared" si="7"/>
        <v>0</v>
      </c>
      <c r="BR14" s="85">
        <f t="shared" si="7"/>
        <v>0</v>
      </c>
      <c r="BS14" s="85">
        <f t="shared" si="7"/>
        <v>0</v>
      </c>
      <c r="BT14" s="85">
        <f t="shared" si="7"/>
        <v>0</v>
      </c>
      <c r="BU14" s="85">
        <f t="shared" si="7"/>
        <v>0</v>
      </c>
      <c r="BV14" s="85">
        <f t="shared" si="7"/>
        <v>0</v>
      </c>
      <c r="BW14" s="85">
        <f t="shared" si="7"/>
        <v>0</v>
      </c>
      <c r="BX14" s="85">
        <f t="shared" si="7"/>
        <v>0</v>
      </c>
      <c r="BY14" s="85">
        <f t="shared" si="7"/>
        <v>0</v>
      </c>
      <c r="BZ14" s="85">
        <f t="shared" si="7"/>
        <v>0</v>
      </c>
      <c r="CA14" s="85">
        <f t="shared" si="7"/>
        <v>0</v>
      </c>
    </row>
    <row r="16" spans="1:79" x14ac:dyDescent="0.2">
      <c r="E16" s="85" t="str">
        <f xml:space="preserve"> E$14</f>
        <v>Senior DSRA target deposit / (releases)</v>
      </c>
      <c r="F16" s="85">
        <f t="shared" ref="F16:BQ16" si="8" xml:space="preserve"> F$14</f>
        <v>0</v>
      </c>
      <c r="G16" s="85">
        <f t="shared" si="8"/>
        <v>0</v>
      </c>
      <c r="H16" s="85">
        <f t="shared" si="8"/>
        <v>0</v>
      </c>
      <c r="I16" s="85">
        <f t="shared" si="8"/>
        <v>0</v>
      </c>
      <c r="J16" s="85">
        <f t="shared" si="8"/>
        <v>0</v>
      </c>
      <c r="K16" s="85">
        <f t="shared" si="8"/>
        <v>0</v>
      </c>
      <c r="L16" s="85">
        <f t="shared" si="8"/>
        <v>0</v>
      </c>
      <c r="M16" s="85">
        <f t="shared" si="8"/>
        <v>0</v>
      </c>
      <c r="N16" s="85">
        <f t="shared" si="8"/>
        <v>0</v>
      </c>
      <c r="O16" s="85">
        <f t="shared" si="8"/>
        <v>10441.423071309706</v>
      </c>
      <c r="P16" s="85">
        <f t="shared" si="8"/>
        <v>3336.0588130824544</v>
      </c>
      <c r="Q16" s="85">
        <f t="shared" si="8"/>
        <v>-1165.6789281556375</v>
      </c>
      <c r="R16" s="85">
        <f t="shared" si="8"/>
        <v>111.11385796345348</v>
      </c>
      <c r="S16" s="85">
        <f t="shared" si="8"/>
        <v>-335.7539354595574</v>
      </c>
      <c r="T16" s="85">
        <f t="shared" si="8"/>
        <v>73.927990162585047</v>
      </c>
      <c r="U16" s="85">
        <f t="shared" si="8"/>
        <v>-119.52888510953562</v>
      </c>
      <c r="V16" s="85">
        <f t="shared" si="8"/>
        <v>66.884539828421111</v>
      </c>
      <c r="W16" s="85">
        <f t="shared" si="8"/>
        <v>195.99832642362526</v>
      </c>
      <c r="X16" s="85">
        <f t="shared" si="8"/>
        <v>-99.592612743308564</v>
      </c>
      <c r="Y16" s="85">
        <f t="shared" si="8"/>
        <v>-186.29240345455401</v>
      </c>
      <c r="Z16" s="85">
        <f t="shared" si="8"/>
        <v>68.514295804940048</v>
      </c>
      <c r="AA16" s="85">
        <f t="shared" si="8"/>
        <v>-88.329546687764378</v>
      </c>
      <c r="AB16" s="85">
        <f t="shared" si="8"/>
        <v>84.085726669698488</v>
      </c>
      <c r="AC16" s="85">
        <f t="shared" si="8"/>
        <v>258.19530079482502</v>
      </c>
      <c r="AD16" s="85">
        <f t="shared" si="8"/>
        <v>114.06678215853026</v>
      </c>
      <c r="AE16" s="85">
        <f t="shared" si="8"/>
        <v>-89.087947983767663</v>
      </c>
      <c r="AF16" s="85">
        <f t="shared" si="8"/>
        <v>126.03984091671737</v>
      </c>
      <c r="AG16" s="85">
        <f t="shared" si="8"/>
        <v>-85.166851921447233</v>
      </c>
      <c r="AH16" s="85">
        <f t="shared" si="8"/>
        <v>8.4392314427641395</v>
      </c>
      <c r="AI16" s="85">
        <f t="shared" si="8"/>
        <v>-83.859819900673756</v>
      </c>
      <c r="AJ16" s="85">
        <f t="shared" si="8"/>
        <v>145.21771198694114</v>
      </c>
      <c r="AK16" s="85">
        <f t="shared" si="8"/>
        <v>-81.213483463554439</v>
      </c>
      <c r="AL16" s="85">
        <f t="shared" si="8"/>
        <v>152.94695072706236</v>
      </c>
      <c r="AM16" s="85">
        <f t="shared" si="8"/>
        <v>176.59454858437675</v>
      </c>
      <c r="AN16" s="85">
        <f t="shared" si="8"/>
        <v>178.95850156021697</v>
      </c>
      <c r="AO16" s="85">
        <f t="shared" si="8"/>
        <v>-97.317408855295071</v>
      </c>
      <c r="AP16" s="85">
        <f t="shared" si="8"/>
        <v>185.73570463088618</v>
      </c>
      <c r="AQ16" s="85">
        <f t="shared" si="8"/>
        <v>-102.14213199370352</v>
      </c>
      <c r="AR16" s="85">
        <f t="shared" si="8"/>
        <v>189.08396567175805</v>
      </c>
      <c r="AS16" s="85">
        <f t="shared" si="8"/>
        <v>-103.94131804698918</v>
      </c>
      <c r="AT16" s="85">
        <f t="shared" si="8"/>
        <v>195.18344843536033</v>
      </c>
      <c r="AU16" s="85">
        <f t="shared" si="8"/>
        <v>-109.71807685484964</v>
      </c>
      <c r="AV16" s="85">
        <f t="shared" si="8"/>
        <v>197.3053584443951</v>
      </c>
      <c r="AW16" s="85">
        <f t="shared" si="8"/>
        <v>277.47805715067079</v>
      </c>
      <c r="AX16" s="85">
        <f t="shared" si="8"/>
        <v>223.76065471669426</v>
      </c>
      <c r="AY16" s="85">
        <f t="shared" si="8"/>
        <v>-145.5404359426866</v>
      </c>
      <c r="AZ16" s="85">
        <f t="shared" si="8"/>
        <v>222.18737543243333</v>
      </c>
      <c r="BA16" s="85">
        <f t="shared" si="8"/>
        <v>-152.80979304586435</v>
      </c>
      <c r="BB16" s="85">
        <f t="shared" si="8"/>
        <v>-18850.717728184958</v>
      </c>
      <c r="BC16" s="85">
        <f t="shared" si="8"/>
        <v>0</v>
      </c>
      <c r="BD16" s="85">
        <f t="shared" si="8"/>
        <v>0</v>
      </c>
      <c r="BE16" s="85">
        <f t="shared" si="8"/>
        <v>0</v>
      </c>
      <c r="BF16" s="85">
        <f t="shared" si="8"/>
        <v>0</v>
      </c>
      <c r="BG16" s="85">
        <f t="shared" si="8"/>
        <v>0</v>
      </c>
      <c r="BH16" s="85">
        <f t="shared" si="8"/>
        <v>0</v>
      </c>
      <c r="BI16" s="85">
        <f t="shared" si="8"/>
        <v>0</v>
      </c>
      <c r="BJ16" s="85">
        <f t="shared" si="8"/>
        <v>0</v>
      </c>
      <c r="BK16" s="85">
        <f t="shared" si="8"/>
        <v>0</v>
      </c>
      <c r="BL16" s="85">
        <f t="shared" si="8"/>
        <v>0</v>
      </c>
      <c r="BM16" s="85">
        <f t="shared" si="8"/>
        <v>0</v>
      </c>
      <c r="BN16" s="85">
        <f t="shared" si="8"/>
        <v>0</v>
      </c>
      <c r="BO16" s="85">
        <f t="shared" si="8"/>
        <v>0</v>
      </c>
      <c r="BP16" s="85">
        <f t="shared" si="8"/>
        <v>0</v>
      </c>
      <c r="BQ16" s="85">
        <f t="shared" si="8"/>
        <v>0</v>
      </c>
      <c r="BR16" s="85">
        <f t="shared" ref="BR16:CA16" si="9" xml:space="preserve"> BR$14</f>
        <v>0</v>
      </c>
      <c r="BS16" s="85">
        <f t="shared" si="9"/>
        <v>0</v>
      </c>
      <c r="BT16" s="85">
        <f t="shared" si="9"/>
        <v>0</v>
      </c>
      <c r="BU16" s="85">
        <f t="shared" si="9"/>
        <v>0</v>
      </c>
      <c r="BV16" s="85">
        <f t="shared" si="9"/>
        <v>0</v>
      </c>
      <c r="BW16" s="85">
        <f t="shared" si="9"/>
        <v>0</v>
      </c>
      <c r="BX16" s="85">
        <f t="shared" si="9"/>
        <v>0</v>
      </c>
      <c r="BY16" s="85">
        <f t="shared" si="9"/>
        <v>0</v>
      </c>
      <c r="BZ16" s="85">
        <f t="shared" si="9"/>
        <v>0</v>
      </c>
      <c r="CA16" s="85">
        <f t="shared" si="9"/>
        <v>0</v>
      </c>
    </row>
    <row r="17" spans="1:79" x14ac:dyDescent="0.2">
      <c r="E17" s="85" t="s">
        <v>326</v>
      </c>
      <c r="H17" s="85">
        <f>SUM(J17:CA17)</f>
        <v>17029.200053898516</v>
      </c>
      <c r="J17" s="85">
        <f xml:space="preserve"> MAX(J16, 0)</f>
        <v>0</v>
      </c>
      <c r="K17" s="85">
        <f t="shared" ref="K17:BV17" si="10" xml:space="preserve"> MAX(K16, 0)</f>
        <v>0</v>
      </c>
      <c r="L17" s="85">
        <f t="shared" si="10"/>
        <v>0</v>
      </c>
      <c r="M17" s="85">
        <f t="shared" si="10"/>
        <v>0</v>
      </c>
      <c r="N17" s="85">
        <f t="shared" si="10"/>
        <v>0</v>
      </c>
      <c r="O17" s="85">
        <f t="shared" si="10"/>
        <v>10441.423071309706</v>
      </c>
      <c r="P17" s="85">
        <f t="shared" si="10"/>
        <v>3336.0588130824544</v>
      </c>
      <c r="Q17" s="85">
        <f t="shared" si="10"/>
        <v>0</v>
      </c>
      <c r="R17" s="85">
        <f t="shared" si="10"/>
        <v>111.11385796345348</v>
      </c>
      <c r="S17" s="85">
        <f t="shared" si="10"/>
        <v>0</v>
      </c>
      <c r="T17" s="85">
        <f t="shared" si="10"/>
        <v>73.927990162585047</v>
      </c>
      <c r="U17" s="85">
        <f t="shared" si="10"/>
        <v>0</v>
      </c>
      <c r="V17" s="85">
        <f t="shared" si="10"/>
        <v>66.884539828421111</v>
      </c>
      <c r="W17" s="85">
        <f t="shared" si="10"/>
        <v>195.99832642362526</v>
      </c>
      <c r="X17" s="85">
        <f t="shared" si="10"/>
        <v>0</v>
      </c>
      <c r="Y17" s="85">
        <f t="shared" si="10"/>
        <v>0</v>
      </c>
      <c r="Z17" s="85">
        <f t="shared" si="10"/>
        <v>68.514295804940048</v>
      </c>
      <c r="AA17" s="85">
        <f t="shared" si="10"/>
        <v>0</v>
      </c>
      <c r="AB17" s="85">
        <f t="shared" si="10"/>
        <v>84.085726669698488</v>
      </c>
      <c r="AC17" s="85">
        <f t="shared" si="10"/>
        <v>258.19530079482502</v>
      </c>
      <c r="AD17" s="85">
        <f t="shared" si="10"/>
        <v>114.06678215853026</v>
      </c>
      <c r="AE17" s="85">
        <f t="shared" si="10"/>
        <v>0</v>
      </c>
      <c r="AF17" s="85">
        <f t="shared" si="10"/>
        <v>126.03984091671737</v>
      </c>
      <c r="AG17" s="85">
        <f t="shared" si="10"/>
        <v>0</v>
      </c>
      <c r="AH17" s="85">
        <f t="shared" si="10"/>
        <v>8.4392314427641395</v>
      </c>
      <c r="AI17" s="85">
        <f t="shared" si="10"/>
        <v>0</v>
      </c>
      <c r="AJ17" s="85">
        <f t="shared" si="10"/>
        <v>145.21771198694114</v>
      </c>
      <c r="AK17" s="85">
        <f t="shared" si="10"/>
        <v>0</v>
      </c>
      <c r="AL17" s="85">
        <f t="shared" si="10"/>
        <v>152.94695072706236</v>
      </c>
      <c r="AM17" s="85">
        <f t="shared" si="10"/>
        <v>176.59454858437675</v>
      </c>
      <c r="AN17" s="85">
        <f t="shared" si="10"/>
        <v>178.95850156021697</v>
      </c>
      <c r="AO17" s="85">
        <f t="shared" si="10"/>
        <v>0</v>
      </c>
      <c r="AP17" s="85">
        <f t="shared" si="10"/>
        <v>185.73570463088618</v>
      </c>
      <c r="AQ17" s="85">
        <f t="shared" si="10"/>
        <v>0</v>
      </c>
      <c r="AR17" s="85">
        <f t="shared" si="10"/>
        <v>189.08396567175805</v>
      </c>
      <c r="AS17" s="85">
        <f t="shared" si="10"/>
        <v>0</v>
      </c>
      <c r="AT17" s="85">
        <f t="shared" si="10"/>
        <v>195.18344843536033</v>
      </c>
      <c r="AU17" s="85">
        <f t="shared" si="10"/>
        <v>0</v>
      </c>
      <c r="AV17" s="85">
        <f t="shared" si="10"/>
        <v>197.3053584443951</v>
      </c>
      <c r="AW17" s="85">
        <f t="shared" si="10"/>
        <v>277.47805715067079</v>
      </c>
      <c r="AX17" s="85">
        <f t="shared" si="10"/>
        <v>223.76065471669426</v>
      </c>
      <c r="AY17" s="85">
        <f t="shared" si="10"/>
        <v>0</v>
      </c>
      <c r="AZ17" s="85">
        <f t="shared" si="10"/>
        <v>222.18737543243333</v>
      </c>
      <c r="BA17" s="85">
        <f t="shared" si="10"/>
        <v>0</v>
      </c>
      <c r="BB17" s="85">
        <f t="shared" si="10"/>
        <v>0</v>
      </c>
      <c r="BC17" s="85">
        <f t="shared" si="10"/>
        <v>0</v>
      </c>
      <c r="BD17" s="85">
        <f t="shared" si="10"/>
        <v>0</v>
      </c>
      <c r="BE17" s="85">
        <f t="shared" si="10"/>
        <v>0</v>
      </c>
      <c r="BF17" s="85">
        <f t="shared" si="10"/>
        <v>0</v>
      </c>
      <c r="BG17" s="85">
        <f t="shared" si="10"/>
        <v>0</v>
      </c>
      <c r="BH17" s="85">
        <f t="shared" si="10"/>
        <v>0</v>
      </c>
      <c r="BI17" s="85">
        <f t="shared" si="10"/>
        <v>0</v>
      </c>
      <c r="BJ17" s="85">
        <f t="shared" si="10"/>
        <v>0</v>
      </c>
      <c r="BK17" s="85">
        <f t="shared" si="10"/>
        <v>0</v>
      </c>
      <c r="BL17" s="85">
        <f t="shared" si="10"/>
        <v>0</v>
      </c>
      <c r="BM17" s="85">
        <f t="shared" si="10"/>
        <v>0</v>
      </c>
      <c r="BN17" s="85">
        <f t="shared" si="10"/>
        <v>0</v>
      </c>
      <c r="BO17" s="85">
        <f t="shared" si="10"/>
        <v>0</v>
      </c>
      <c r="BP17" s="85">
        <f t="shared" si="10"/>
        <v>0</v>
      </c>
      <c r="BQ17" s="85">
        <f t="shared" si="10"/>
        <v>0</v>
      </c>
      <c r="BR17" s="85">
        <f t="shared" si="10"/>
        <v>0</v>
      </c>
      <c r="BS17" s="85">
        <f t="shared" si="10"/>
        <v>0</v>
      </c>
      <c r="BT17" s="85">
        <f t="shared" si="10"/>
        <v>0</v>
      </c>
      <c r="BU17" s="85">
        <f t="shared" si="10"/>
        <v>0</v>
      </c>
      <c r="BV17" s="85">
        <f t="shared" si="10"/>
        <v>0</v>
      </c>
      <c r="BW17" s="85">
        <f t="shared" ref="BW17:CA17" si="11" xml:space="preserve"> MAX(BW16, 0)</f>
        <v>0</v>
      </c>
      <c r="BX17" s="85">
        <f t="shared" si="11"/>
        <v>0</v>
      </c>
      <c r="BY17" s="85">
        <f t="shared" si="11"/>
        <v>0</v>
      </c>
      <c r="BZ17" s="85">
        <f t="shared" si="11"/>
        <v>0</v>
      </c>
      <c r="CA17" s="85">
        <f t="shared" si="11"/>
        <v>0</v>
      </c>
    </row>
    <row r="18" spans="1:79" x14ac:dyDescent="0.2">
      <c r="E18" s="85" t="s">
        <v>325</v>
      </c>
      <c r="H18" s="85">
        <f>SUM(J18:CA18)</f>
        <v>21896.691307804147</v>
      </c>
      <c r="J18" s="85">
        <f xml:space="preserve"> -1 * MIN(J16, 0)</f>
        <v>0</v>
      </c>
      <c r="K18" s="85">
        <f t="shared" ref="K18:BV18" si="12" xml:space="preserve"> -1 * MIN(K16, 0)</f>
        <v>0</v>
      </c>
      <c r="L18" s="85">
        <f t="shared" si="12"/>
        <v>0</v>
      </c>
      <c r="M18" s="85">
        <f t="shared" si="12"/>
        <v>0</v>
      </c>
      <c r="N18" s="85">
        <f t="shared" si="12"/>
        <v>0</v>
      </c>
      <c r="O18" s="85">
        <f t="shared" si="12"/>
        <v>0</v>
      </c>
      <c r="P18" s="85">
        <f t="shared" si="12"/>
        <v>0</v>
      </c>
      <c r="Q18" s="85">
        <f t="shared" si="12"/>
        <v>1165.6789281556375</v>
      </c>
      <c r="R18" s="85">
        <f t="shared" si="12"/>
        <v>0</v>
      </c>
      <c r="S18" s="85">
        <f t="shared" si="12"/>
        <v>335.7539354595574</v>
      </c>
      <c r="T18" s="85">
        <f t="shared" si="12"/>
        <v>0</v>
      </c>
      <c r="U18" s="85">
        <f t="shared" si="12"/>
        <v>119.52888510953562</v>
      </c>
      <c r="V18" s="85">
        <f t="shared" si="12"/>
        <v>0</v>
      </c>
      <c r="W18" s="85">
        <f t="shared" si="12"/>
        <v>0</v>
      </c>
      <c r="X18" s="85">
        <f t="shared" si="12"/>
        <v>99.592612743308564</v>
      </c>
      <c r="Y18" s="85">
        <f t="shared" si="12"/>
        <v>186.29240345455401</v>
      </c>
      <c r="Z18" s="85">
        <f t="shared" si="12"/>
        <v>0</v>
      </c>
      <c r="AA18" s="85">
        <f t="shared" si="12"/>
        <v>88.329546687764378</v>
      </c>
      <c r="AB18" s="85">
        <f t="shared" si="12"/>
        <v>0</v>
      </c>
      <c r="AC18" s="85">
        <f t="shared" si="12"/>
        <v>0</v>
      </c>
      <c r="AD18" s="85">
        <f t="shared" si="12"/>
        <v>0</v>
      </c>
      <c r="AE18" s="85">
        <f t="shared" si="12"/>
        <v>89.087947983767663</v>
      </c>
      <c r="AF18" s="85">
        <f t="shared" si="12"/>
        <v>0</v>
      </c>
      <c r="AG18" s="85">
        <f t="shared" si="12"/>
        <v>85.166851921447233</v>
      </c>
      <c r="AH18" s="85">
        <f t="shared" si="12"/>
        <v>0</v>
      </c>
      <c r="AI18" s="85">
        <f t="shared" si="12"/>
        <v>83.859819900673756</v>
      </c>
      <c r="AJ18" s="85">
        <f t="shared" si="12"/>
        <v>0</v>
      </c>
      <c r="AK18" s="85">
        <f t="shared" si="12"/>
        <v>81.213483463554439</v>
      </c>
      <c r="AL18" s="85">
        <f t="shared" si="12"/>
        <v>0</v>
      </c>
      <c r="AM18" s="85">
        <f t="shared" si="12"/>
        <v>0</v>
      </c>
      <c r="AN18" s="85">
        <f t="shared" si="12"/>
        <v>0</v>
      </c>
      <c r="AO18" s="85">
        <f t="shared" si="12"/>
        <v>97.317408855295071</v>
      </c>
      <c r="AP18" s="85">
        <f t="shared" si="12"/>
        <v>0</v>
      </c>
      <c r="AQ18" s="85">
        <f t="shared" si="12"/>
        <v>102.14213199370352</v>
      </c>
      <c r="AR18" s="85">
        <f t="shared" si="12"/>
        <v>0</v>
      </c>
      <c r="AS18" s="85">
        <f t="shared" si="12"/>
        <v>103.94131804698918</v>
      </c>
      <c r="AT18" s="85">
        <f t="shared" si="12"/>
        <v>0</v>
      </c>
      <c r="AU18" s="85">
        <f t="shared" si="12"/>
        <v>109.71807685484964</v>
      </c>
      <c r="AV18" s="85">
        <f t="shared" si="12"/>
        <v>0</v>
      </c>
      <c r="AW18" s="85">
        <f t="shared" si="12"/>
        <v>0</v>
      </c>
      <c r="AX18" s="85">
        <f t="shared" si="12"/>
        <v>0</v>
      </c>
      <c r="AY18" s="85">
        <f t="shared" si="12"/>
        <v>145.5404359426866</v>
      </c>
      <c r="AZ18" s="85">
        <f t="shared" si="12"/>
        <v>0</v>
      </c>
      <c r="BA18" s="85">
        <f t="shared" si="12"/>
        <v>152.80979304586435</v>
      </c>
      <c r="BB18" s="85">
        <f t="shared" si="12"/>
        <v>18850.717728184958</v>
      </c>
      <c r="BC18" s="85">
        <f t="shared" si="12"/>
        <v>0</v>
      </c>
      <c r="BD18" s="85">
        <f t="shared" si="12"/>
        <v>0</v>
      </c>
      <c r="BE18" s="85">
        <f t="shared" si="12"/>
        <v>0</v>
      </c>
      <c r="BF18" s="85">
        <f t="shared" si="12"/>
        <v>0</v>
      </c>
      <c r="BG18" s="85">
        <f t="shared" si="12"/>
        <v>0</v>
      </c>
      <c r="BH18" s="85">
        <f t="shared" si="12"/>
        <v>0</v>
      </c>
      <c r="BI18" s="85">
        <f t="shared" si="12"/>
        <v>0</v>
      </c>
      <c r="BJ18" s="85">
        <f t="shared" si="12"/>
        <v>0</v>
      </c>
      <c r="BK18" s="85">
        <f t="shared" si="12"/>
        <v>0</v>
      </c>
      <c r="BL18" s="85">
        <f t="shared" si="12"/>
        <v>0</v>
      </c>
      <c r="BM18" s="85">
        <f t="shared" si="12"/>
        <v>0</v>
      </c>
      <c r="BN18" s="85">
        <f t="shared" si="12"/>
        <v>0</v>
      </c>
      <c r="BO18" s="85">
        <f t="shared" si="12"/>
        <v>0</v>
      </c>
      <c r="BP18" s="85">
        <f t="shared" si="12"/>
        <v>0</v>
      </c>
      <c r="BQ18" s="85">
        <f t="shared" si="12"/>
        <v>0</v>
      </c>
      <c r="BR18" s="85">
        <f t="shared" si="12"/>
        <v>0</v>
      </c>
      <c r="BS18" s="85">
        <f t="shared" si="12"/>
        <v>0</v>
      </c>
      <c r="BT18" s="85">
        <f t="shared" si="12"/>
        <v>0</v>
      </c>
      <c r="BU18" s="85">
        <f t="shared" si="12"/>
        <v>0</v>
      </c>
      <c r="BV18" s="85">
        <f t="shared" si="12"/>
        <v>0</v>
      </c>
      <c r="BW18" s="85">
        <f t="shared" ref="BW18:CA18" si="13" xml:space="preserve"> -1 * MIN(BW16, 0)</f>
        <v>0</v>
      </c>
      <c r="BX18" s="85">
        <f t="shared" si="13"/>
        <v>0</v>
      </c>
      <c r="BY18" s="85">
        <f t="shared" si="13"/>
        <v>0</v>
      </c>
      <c r="BZ18" s="85">
        <f t="shared" si="13"/>
        <v>0</v>
      </c>
      <c r="CA18" s="85">
        <f t="shared" si="13"/>
        <v>0</v>
      </c>
    </row>
    <row r="20" spans="1:79" s="196" customFormat="1" x14ac:dyDescent="0.2">
      <c r="A20" s="193"/>
      <c r="B20" s="193"/>
      <c r="C20" s="194"/>
      <c r="D20" s="195"/>
      <c r="E20" s="196" t="str">
        <f xml:space="preserve"> Equity!E$83</f>
        <v>Retained cash / (overdraft) balance BEG</v>
      </c>
      <c r="F20" s="196">
        <f xml:space="preserve"> Equity!F$83</f>
        <v>0</v>
      </c>
      <c r="G20" s="196" t="str">
        <f xml:space="preserve"> Equity!G$83</f>
        <v>€ 000s</v>
      </c>
      <c r="H20" s="196">
        <f xml:space="preserve"> Equity!H$83</f>
        <v>0</v>
      </c>
      <c r="I20" s="196">
        <f xml:space="preserve"> Equity!I$83</f>
        <v>0</v>
      </c>
      <c r="J20" s="196">
        <f xml:space="preserve"> Equity!J$83</f>
        <v>0</v>
      </c>
      <c r="K20" s="196">
        <f xml:space="preserve"> Equity!K$83</f>
        <v>0</v>
      </c>
      <c r="L20" s="196">
        <f xml:space="preserve"> Equity!L$83</f>
        <v>0</v>
      </c>
      <c r="M20" s="196">
        <f xml:space="preserve"> Equity!M$83</f>
        <v>0</v>
      </c>
      <c r="N20" s="196">
        <f xml:space="preserve"> Equity!N$83</f>
        <v>0</v>
      </c>
      <c r="O20" s="196">
        <f xml:space="preserve"> Equity!O$83</f>
        <v>0</v>
      </c>
      <c r="P20" s="196">
        <f xml:space="preserve"> Equity!P$83</f>
        <v>0</v>
      </c>
      <c r="Q20" s="196">
        <f xml:space="preserve"> Equity!Q$83</f>
        <v>0</v>
      </c>
      <c r="R20" s="196">
        <f xml:space="preserve"> Equity!R$83</f>
        <v>0</v>
      </c>
      <c r="S20" s="196">
        <f xml:space="preserve"> Equity!S$83</f>
        <v>0</v>
      </c>
      <c r="T20" s="196">
        <f xml:space="preserve"> Equity!T$83</f>
        <v>0</v>
      </c>
      <c r="U20" s="196">
        <f xml:space="preserve"> Equity!U$83</f>
        <v>0</v>
      </c>
      <c r="V20" s="196">
        <f xml:space="preserve"> Equity!V$83</f>
        <v>0</v>
      </c>
      <c r="W20" s="196">
        <f xml:space="preserve"> Equity!W$83</f>
        <v>0</v>
      </c>
      <c r="X20" s="196">
        <f xml:space="preserve"> Equity!X$83</f>
        <v>0</v>
      </c>
      <c r="Y20" s="196">
        <f xml:space="preserve"> Equity!Y$83</f>
        <v>0</v>
      </c>
      <c r="Z20" s="196">
        <f xml:space="preserve"> Equity!Z$83</f>
        <v>0</v>
      </c>
      <c r="AA20" s="196">
        <f xml:space="preserve"> Equity!AA$83</f>
        <v>0</v>
      </c>
      <c r="AB20" s="196">
        <f xml:space="preserve"> Equity!AB$83</f>
        <v>0</v>
      </c>
      <c r="AC20" s="196">
        <f xml:space="preserve"> Equity!AC$83</f>
        <v>1593.8033678062739</v>
      </c>
      <c r="AD20" s="196">
        <f xml:space="preserve"> Equity!AD$83</f>
        <v>4887.3547933510781</v>
      </c>
      <c r="AE20" s="196">
        <f xml:space="preserve"> Equity!AE$83</f>
        <v>7702.7814594223564</v>
      </c>
      <c r="AF20" s="196">
        <f xml:space="preserve"> Equity!AF$83</f>
        <v>10228.975771889969</v>
      </c>
      <c r="AG20" s="196">
        <f xml:space="preserve"> Equity!AG$83</f>
        <v>12241.704642665243</v>
      </c>
      <c r="AH20" s="196">
        <f xml:space="preserve"> Equity!AH$83</f>
        <v>13951.149083812066</v>
      </c>
      <c r="AI20" s="196">
        <f xml:space="preserve"> Equity!AI$83</f>
        <v>15252.330449376517</v>
      </c>
      <c r="AJ20" s="196">
        <f xml:space="preserve"> Equity!AJ$83</f>
        <v>15633.505419499961</v>
      </c>
      <c r="AK20" s="196">
        <f xml:space="preserve"> Equity!AK$83</f>
        <v>15450.158519416265</v>
      </c>
      <c r="AL20" s="196">
        <f xml:space="preserve"> Equity!AL$83</f>
        <v>14924.298265698259</v>
      </c>
      <c r="AM20" s="196">
        <f xml:space="preserve"> Equity!AM$83</f>
        <v>13806.926101045088</v>
      </c>
      <c r="AN20" s="196">
        <f xml:space="preserve"> Equity!AN$83</f>
        <v>12068.081909052382</v>
      </c>
      <c r="AO20" s="196">
        <f xml:space="preserve"> Equity!AO$83</f>
        <v>9688.4253717451538</v>
      </c>
      <c r="AP20" s="196">
        <f xml:space="preserve"> Equity!AP$83</f>
        <v>6925.1079574556734</v>
      </c>
      <c r="AQ20" s="196">
        <f xml:space="preserve"> Equity!AQ$83</f>
        <v>3474.6383730949583</v>
      </c>
      <c r="AR20" s="196">
        <f xml:space="preserve"> Equity!AR$83</f>
        <v>0</v>
      </c>
      <c r="AS20" s="196">
        <f xml:space="preserve"> Equity!AS$83</f>
        <v>0</v>
      </c>
      <c r="AT20" s="196">
        <f xml:space="preserve"> Equity!AT$83</f>
        <v>0</v>
      </c>
      <c r="AU20" s="196">
        <f xml:space="preserve"> Equity!AU$83</f>
        <v>0</v>
      </c>
      <c r="AV20" s="196">
        <f xml:space="preserve"> Equity!AV$83</f>
        <v>0</v>
      </c>
      <c r="AW20" s="196">
        <f xml:space="preserve"> Equity!AW$83</f>
        <v>0</v>
      </c>
      <c r="AX20" s="196">
        <f xml:space="preserve"> Equity!AX$83</f>
        <v>0</v>
      </c>
      <c r="AY20" s="196">
        <f xml:space="preserve"> Equity!AY$83</f>
        <v>0</v>
      </c>
      <c r="AZ20" s="196">
        <f xml:space="preserve"> Equity!AZ$83</f>
        <v>0</v>
      </c>
      <c r="BA20" s="196">
        <f xml:space="preserve"> Equity!BA$83</f>
        <v>0</v>
      </c>
      <c r="BB20" s="196">
        <f xml:space="preserve"> Equity!BB$83</f>
        <v>0</v>
      </c>
      <c r="BC20" s="196">
        <f xml:space="preserve"> Equity!BC$83</f>
        <v>0</v>
      </c>
      <c r="BD20" s="196">
        <f xml:space="preserve"> Equity!BD$83</f>
        <v>0</v>
      </c>
      <c r="BE20" s="196">
        <f xml:space="preserve"> Equity!BE$83</f>
        <v>0</v>
      </c>
      <c r="BF20" s="196">
        <f xml:space="preserve"> Equity!BF$83</f>
        <v>0</v>
      </c>
      <c r="BG20" s="196">
        <f xml:space="preserve"> Equity!BG$83</f>
        <v>0</v>
      </c>
      <c r="BH20" s="196">
        <f xml:space="preserve"> Equity!BH$83</f>
        <v>0</v>
      </c>
      <c r="BI20" s="196">
        <f xml:space="preserve"> Equity!BI$83</f>
        <v>0</v>
      </c>
      <c r="BJ20" s="196">
        <f xml:space="preserve"> Equity!BJ$83</f>
        <v>0</v>
      </c>
      <c r="BK20" s="196">
        <f xml:space="preserve"> Equity!BK$83</f>
        <v>0</v>
      </c>
      <c r="BL20" s="196">
        <f xml:space="preserve"> Equity!BL$83</f>
        <v>0</v>
      </c>
      <c r="BM20" s="196">
        <f xml:space="preserve"> Equity!BM$83</f>
        <v>0</v>
      </c>
      <c r="BN20" s="196">
        <f xml:space="preserve"> Equity!BN$83</f>
        <v>0</v>
      </c>
      <c r="BO20" s="196">
        <f xml:space="preserve"> Equity!BO$83</f>
        <v>0</v>
      </c>
      <c r="BP20" s="196">
        <f xml:space="preserve"> Equity!BP$83</f>
        <v>0</v>
      </c>
      <c r="BQ20" s="196">
        <f xml:space="preserve"> Equity!BQ$83</f>
        <v>0</v>
      </c>
      <c r="BR20" s="196">
        <f xml:space="preserve"> Equity!BR$83</f>
        <v>0</v>
      </c>
      <c r="BS20" s="196">
        <f xml:space="preserve"> Equity!BS$83</f>
        <v>0</v>
      </c>
      <c r="BT20" s="196">
        <f xml:space="preserve"> Equity!BT$83</f>
        <v>0</v>
      </c>
      <c r="BU20" s="196">
        <f xml:space="preserve"> Equity!BU$83</f>
        <v>0</v>
      </c>
      <c r="BV20" s="196">
        <f xml:space="preserve"> Equity!BV$83</f>
        <v>0</v>
      </c>
      <c r="BW20" s="196">
        <f xml:space="preserve"> Equity!BW$83</f>
        <v>5.0931703299283981E-11</v>
      </c>
      <c r="BX20" s="196">
        <f xml:space="preserve"> Equity!BX$83</f>
        <v>5.0931703299283981E-11</v>
      </c>
      <c r="BY20" s="196">
        <f xml:space="preserve"> Equity!BY$83</f>
        <v>5.0931703299283981E-11</v>
      </c>
      <c r="BZ20" s="196">
        <f xml:space="preserve"> Equity!BZ$83</f>
        <v>5.0931703299283981E-11</v>
      </c>
      <c r="CA20" s="196">
        <f xml:space="preserve"> Equity!CA$83</f>
        <v>5.0931703299283981E-11</v>
      </c>
    </row>
    <row r="21" spans="1:79" s="196" customFormat="1" x14ac:dyDescent="0.2">
      <c r="A21" s="193"/>
      <c r="B21" s="193"/>
      <c r="C21" s="194"/>
      <c r="D21" s="195"/>
      <c r="E21" s="196" t="str">
        <f xml:space="preserve"> Finstat!E$47</f>
        <v>Cash flow available for senior DSRA</v>
      </c>
      <c r="F21" s="196">
        <f xml:space="preserve"> Finstat!F$47</f>
        <v>0</v>
      </c>
      <c r="G21" s="196">
        <f xml:space="preserve"> Finstat!G$47</f>
        <v>0</v>
      </c>
      <c r="H21" s="196">
        <f xml:space="preserve"> Finstat!H$47</f>
        <v>876084.91671888414</v>
      </c>
      <c r="I21" s="196">
        <f xml:space="preserve"> Finstat!I$47</f>
        <v>0</v>
      </c>
      <c r="J21" s="196">
        <f xml:space="preserve"> Finstat!J$47</f>
        <v>0</v>
      </c>
      <c r="K21" s="196">
        <f xml:space="preserve"> Finstat!K$47</f>
        <v>0</v>
      </c>
      <c r="L21" s="196">
        <f xml:space="preserve"> Finstat!L$47</f>
        <v>0</v>
      </c>
      <c r="M21" s="196">
        <f xml:space="preserve"> Finstat!M$47</f>
        <v>0</v>
      </c>
      <c r="N21" s="196">
        <f xml:space="preserve"> Finstat!N$47</f>
        <v>0</v>
      </c>
      <c r="O21" s="196">
        <f xml:space="preserve"> Finstat!O$47</f>
        <v>7308.9143252153372</v>
      </c>
      <c r="P21" s="196">
        <f xml:space="preserve"> Finstat!P$47</f>
        <v>7342.869893432613</v>
      </c>
      <c r="Q21" s="196">
        <f xml:space="preserve"> Finstat!Q$47</f>
        <v>7423.0310947842408</v>
      </c>
      <c r="R21" s="196">
        <f xml:space="preserve"> Finstat!R$47</f>
        <v>6958.2869087615363</v>
      </c>
      <c r="S21" s="196">
        <f xml:space="preserve"> Finstat!S$47</f>
        <v>6999.715827039774</v>
      </c>
      <c r="T21" s="196">
        <f xml:space="preserve"> Finstat!T$47</f>
        <v>6869.600262593005</v>
      </c>
      <c r="U21" s="196">
        <f xml:space="preserve"> Finstat!U$47</f>
        <v>6899.515693748006</v>
      </c>
      <c r="V21" s="196">
        <f xml:space="preserve"> Finstat!V$47</f>
        <v>6847.8493466575201</v>
      </c>
      <c r="W21" s="196">
        <f xml:space="preserve"> Finstat!W$47</f>
        <v>6875.7469001188329</v>
      </c>
      <c r="X21" s="196">
        <f xml:space="preserve"> Finstat!X$47</f>
        <v>6953.1493289153404</v>
      </c>
      <c r="Y21" s="196">
        <f xml:space="preserve"> Finstat!Y$47</f>
        <v>6915.3728074110004</v>
      </c>
      <c r="Z21" s="196">
        <f xml:space="preserve"> Finstat!Z$47</f>
        <v>6839.0785045669109</v>
      </c>
      <c r="AA21" s="196">
        <f xml:space="preserve"> Finstat!AA$47</f>
        <v>6868.9861850694906</v>
      </c>
      <c r="AB21" s="196">
        <f xml:space="preserve"> Finstat!AB$47</f>
        <v>6831.6876304893449</v>
      </c>
      <c r="AC21" s="196">
        <f xml:space="preserve"> Finstat!AC$47</f>
        <v>6865.5598992917476</v>
      </c>
      <c r="AD21" s="196">
        <f xml:space="preserve"> Finstat!AD$47</f>
        <v>6968.792818764392</v>
      </c>
      <c r="AE21" s="196">
        <f xml:space="preserve"> Finstat!AE$47</f>
        <v>7016.8208869569426</v>
      </c>
      <c r="AF21" s="196">
        <f xml:space="preserve"> Finstat!AF$47</f>
        <v>6978.6302916967252</v>
      </c>
      <c r="AG21" s="196">
        <f xml:space="preserve"> Finstat!AG$47</f>
        <v>7030.3170359684773</v>
      </c>
      <c r="AH21" s="196">
        <f xml:space="preserve"> Finstat!AH$47</f>
        <v>6995.401792601635</v>
      </c>
      <c r="AI21" s="196">
        <f xml:space="preserve"> Finstat!AI$47</f>
        <v>6998.0537983643044</v>
      </c>
      <c r="AJ21" s="196">
        <f xml:space="preserve"> Finstat!AJ$47</f>
        <v>6966.0850089688611</v>
      </c>
      <c r="AK21" s="196">
        <f xml:space="preserve"> Finstat!AK$47</f>
        <v>7023.4025312848353</v>
      </c>
      <c r="AL21" s="196">
        <f xml:space="preserve"> Finstat!AL$47</f>
        <v>6992.3743415853241</v>
      </c>
      <c r="AM21" s="196">
        <f xml:space="preserve"> Finstat!AM$47</f>
        <v>7052.5190700362145</v>
      </c>
      <c r="AN21" s="196">
        <f xml:space="preserve"> Finstat!AN$47</f>
        <v>7121.1429613007931</v>
      </c>
      <c r="AO21" s="196">
        <f xml:space="preserve"> Finstat!AO$47</f>
        <v>7194.1573928892067</v>
      </c>
      <c r="AP21" s="196">
        <f xml:space="preserve"> Finstat!AP$47</f>
        <v>7152.8759588358771</v>
      </c>
      <c r="AQ21" s="196">
        <f xml:space="preserve"> Finstat!AQ$47</f>
        <v>7226.9586068663375</v>
      </c>
      <c r="AR21" s="196">
        <f xml:space="preserve"> Finstat!AR$47</f>
        <v>7187.6872449356997</v>
      </c>
      <c r="AS21" s="196">
        <f xml:space="preserve"> Finstat!AS$47</f>
        <v>7264.7400317440442</v>
      </c>
      <c r="AT21" s="196">
        <f xml:space="preserve"> Finstat!AT$47</f>
        <v>7222.7232101354966</v>
      </c>
      <c r="AU21" s="196">
        <f xml:space="preserve"> Finstat!AU$47</f>
        <v>7298.4689353802569</v>
      </c>
      <c r="AV21" s="196">
        <f xml:space="preserve"> Finstat!AV$47</f>
        <v>7255.8631145183208</v>
      </c>
      <c r="AW21" s="196">
        <f xml:space="preserve"> Finstat!AW$47</f>
        <v>7332.747156876856</v>
      </c>
      <c r="AX21" s="196">
        <f xml:space="preserve"> Finstat!AX$47</f>
        <v>7446.5714120853154</v>
      </c>
      <c r="AY21" s="196">
        <f xml:space="preserve"> Finstat!AY$47</f>
        <v>7533.1895184868044</v>
      </c>
      <c r="AZ21" s="196">
        <f xml:space="preserve"> Finstat!AZ$47</f>
        <v>7477.1741900896122</v>
      </c>
      <c r="BA21" s="196">
        <f xml:space="preserve"> Finstat!BA$47</f>
        <v>7566.0921671264041</v>
      </c>
      <c r="BB21" s="196">
        <f xml:space="preserve"> Finstat!BB$47</f>
        <v>7504.5088157492537</v>
      </c>
      <c r="BC21" s="196">
        <f xml:space="preserve"> Finstat!BC$47</f>
        <v>26665.4957125605</v>
      </c>
      <c r="BD21" s="196">
        <f xml:space="preserve"> Finstat!BD$47</f>
        <v>26679.509517069491</v>
      </c>
      <c r="BE21" s="196">
        <f xml:space="preserve"> Finstat!BE$47</f>
        <v>27238.761751659724</v>
      </c>
      <c r="BF21" s="196">
        <f xml:space="preserve"> Finstat!BF$47</f>
        <v>27132.130690617203</v>
      </c>
      <c r="BG21" s="196">
        <f xml:space="preserve"> Finstat!BG$47</f>
        <v>27708.238269792957</v>
      </c>
      <c r="BH21" s="196">
        <f xml:space="preserve"> Finstat!BH$47</f>
        <v>27730.379693491417</v>
      </c>
      <c r="BI21" s="196">
        <f xml:space="preserve"> Finstat!BI$47</f>
        <v>27173.623053413656</v>
      </c>
      <c r="BJ21" s="196">
        <f xml:space="preserve"> Finstat!BJ$47</f>
        <v>29384.936361395878</v>
      </c>
      <c r="BK21" s="196">
        <f xml:space="preserve"> Finstat!BK$47</f>
        <v>27650.661466390051</v>
      </c>
      <c r="BL21" s="196">
        <f xml:space="preserve"> Finstat!BL$47</f>
        <v>30054.355071744991</v>
      </c>
      <c r="BM21" s="196">
        <f xml:space="preserve"> Finstat!BM$47</f>
        <v>28279.983539298279</v>
      </c>
      <c r="BN21" s="196">
        <f xml:space="preserve"> Finstat!BN$47</f>
        <v>30746.866707974674</v>
      </c>
      <c r="BO21" s="196">
        <f xml:space="preserve"> Finstat!BO$47</f>
        <v>28931.078249245016</v>
      </c>
      <c r="BP21" s="196">
        <f xml:space="preserve"> Finstat!BP$47</f>
        <v>31462.428741065087</v>
      </c>
      <c r="BQ21" s="196">
        <f xml:space="preserve"> Finstat!BQ$47</f>
        <v>29603.901052597634</v>
      </c>
      <c r="BR21" s="196">
        <f xml:space="preserve"> Finstat!BR$47</f>
        <v>30914.484995175917</v>
      </c>
      <c r="BS21" s="196">
        <f xml:space="preserve"> Finstat!BS$47</f>
        <v>31601.01961146824</v>
      </c>
      <c r="BT21" s="196">
        <f xml:space="preserve"> Finstat!BT$47</f>
        <v>31972.652849087732</v>
      </c>
      <c r="BU21" s="196">
        <f xml:space="preserve"> Finstat!BU$47</f>
        <v>32349.94987889695</v>
      </c>
      <c r="BV21" s="196">
        <f xml:space="preserve"> Finstat!BV$47</f>
        <v>38197.796604595904</v>
      </c>
      <c r="BW21" s="196">
        <f xml:space="preserve"> Finstat!BW$47</f>
        <v>0</v>
      </c>
      <c r="BX21" s="196">
        <f xml:space="preserve"> Finstat!BX$47</f>
        <v>0</v>
      </c>
      <c r="BY21" s="196">
        <f xml:space="preserve"> Finstat!BY$47</f>
        <v>0</v>
      </c>
      <c r="BZ21" s="196">
        <f xml:space="preserve"> Finstat!BZ$47</f>
        <v>0</v>
      </c>
      <c r="CA21" s="196">
        <f xml:space="preserve"> Finstat!CA$47</f>
        <v>0</v>
      </c>
    </row>
    <row r="22" spans="1:79" x14ac:dyDescent="0.2">
      <c r="E22" s="85" t="s">
        <v>336</v>
      </c>
      <c r="J22" s="85">
        <f>SUM(J20:J21)</f>
        <v>0</v>
      </c>
      <c r="K22" s="85">
        <f t="shared" ref="K22:BV22" si="14">SUM(K20:K21)</f>
        <v>0</v>
      </c>
      <c r="L22" s="85">
        <f t="shared" si="14"/>
        <v>0</v>
      </c>
      <c r="M22" s="85">
        <f t="shared" si="14"/>
        <v>0</v>
      </c>
      <c r="N22" s="85">
        <f t="shared" si="14"/>
        <v>0</v>
      </c>
      <c r="O22" s="85">
        <f t="shared" si="14"/>
        <v>7308.9143252153372</v>
      </c>
      <c r="P22" s="85">
        <f t="shared" si="14"/>
        <v>7342.869893432613</v>
      </c>
      <c r="Q22" s="85">
        <f t="shared" si="14"/>
        <v>7423.0310947842408</v>
      </c>
      <c r="R22" s="85">
        <f t="shared" si="14"/>
        <v>6958.2869087615363</v>
      </c>
      <c r="S22" s="85">
        <f t="shared" si="14"/>
        <v>6999.715827039774</v>
      </c>
      <c r="T22" s="85">
        <f t="shared" si="14"/>
        <v>6869.600262593005</v>
      </c>
      <c r="U22" s="85">
        <f t="shared" si="14"/>
        <v>6899.515693748006</v>
      </c>
      <c r="V22" s="85">
        <f t="shared" si="14"/>
        <v>6847.8493466575201</v>
      </c>
      <c r="W22" s="85">
        <f t="shared" si="14"/>
        <v>6875.7469001188329</v>
      </c>
      <c r="X22" s="85">
        <f t="shared" si="14"/>
        <v>6953.1493289153404</v>
      </c>
      <c r="Y22" s="85">
        <f t="shared" si="14"/>
        <v>6915.3728074110004</v>
      </c>
      <c r="Z22" s="85">
        <f t="shared" si="14"/>
        <v>6839.0785045669109</v>
      </c>
      <c r="AA22" s="85">
        <f t="shared" si="14"/>
        <v>6868.9861850694906</v>
      </c>
      <c r="AB22" s="85">
        <f t="shared" si="14"/>
        <v>6831.6876304893449</v>
      </c>
      <c r="AC22" s="85">
        <f t="shared" si="14"/>
        <v>8459.3632670980223</v>
      </c>
      <c r="AD22" s="85">
        <f t="shared" si="14"/>
        <v>11856.14761211547</v>
      </c>
      <c r="AE22" s="85">
        <f t="shared" si="14"/>
        <v>14719.602346379299</v>
      </c>
      <c r="AF22" s="85">
        <f t="shared" si="14"/>
        <v>17207.606063586696</v>
      </c>
      <c r="AG22" s="85">
        <f t="shared" si="14"/>
        <v>19272.021678633719</v>
      </c>
      <c r="AH22" s="85">
        <f t="shared" si="14"/>
        <v>20946.550876413701</v>
      </c>
      <c r="AI22" s="85">
        <f t="shared" si="14"/>
        <v>22250.384247740822</v>
      </c>
      <c r="AJ22" s="85">
        <f t="shared" si="14"/>
        <v>22599.590428468822</v>
      </c>
      <c r="AK22" s="85">
        <f t="shared" si="14"/>
        <v>22473.561050701101</v>
      </c>
      <c r="AL22" s="85">
        <f t="shared" si="14"/>
        <v>21916.672607283581</v>
      </c>
      <c r="AM22" s="85">
        <f t="shared" si="14"/>
        <v>20859.445171081301</v>
      </c>
      <c r="AN22" s="85">
        <f t="shared" si="14"/>
        <v>19189.224870353173</v>
      </c>
      <c r="AO22" s="85">
        <f t="shared" si="14"/>
        <v>16882.582764634361</v>
      </c>
      <c r="AP22" s="85">
        <f t="shared" si="14"/>
        <v>14077.98391629155</v>
      </c>
      <c r="AQ22" s="85">
        <f t="shared" si="14"/>
        <v>10701.596979961296</v>
      </c>
      <c r="AR22" s="85">
        <f t="shared" si="14"/>
        <v>7187.6872449356997</v>
      </c>
      <c r="AS22" s="85">
        <f t="shared" si="14"/>
        <v>7264.7400317440442</v>
      </c>
      <c r="AT22" s="85">
        <f t="shared" si="14"/>
        <v>7222.7232101354966</v>
      </c>
      <c r="AU22" s="85">
        <f t="shared" si="14"/>
        <v>7298.4689353802569</v>
      </c>
      <c r="AV22" s="85">
        <f t="shared" si="14"/>
        <v>7255.8631145183208</v>
      </c>
      <c r="AW22" s="85">
        <f t="shared" si="14"/>
        <v>7332.747156876856</v>
      </c>
      <c r="AX22" s="85">
        <f t="shared" si="14"/>
        <v>7446.5714120853154</v>
      </c>
      <c r="AY22" s="85">
        <f t="shared" si="14"/>
        <v>7533.1895184868044</v>
      </c>
      <c r="AZ22" s="85">
        <f t="shared" si="14"/>
        <v>7477.1741900896122</v>
      </c>
      <c r="BA22" s="85">
        <f t="shared" si="14"/>
        <v>7566.0921671264041</v>
      </c>
      <c r="BB22" s="85">
        <f t="shared" si="14"/>
        <v>7504.5088157492537</v>
      </c>
      <c r="BC22" s="85">
        <f t="shared" si="14"/>
        <v>26665.4957125605</v>
      </c>
      <c r="BD22" s="85">
        <f t="shared" si="14"/>
        <v>26679.509517069491</v>
      </c>
      <c r="BE22" s="85">
        <f t="shared" si="14"/>
        <v>27238.761751659724</v>
      </c>
      <c r="BF22" s="85">
        <f t="shared" si="14"/>
        <v>27132.130690617203</v>
      </c>
      <c r="BG22" s="85">
        <f t="shared" si="14"/>
        <v>27708.238269792957</v>
      </c>
      <c r="BH22" s="85">
        <f t="shared" si="14"/>
        <v>27730.379693491417</v>
      </c>
      <c r="BI22" s="85">
        <f t="shared" si="14"/>
        <v>27173.623053413656</v>
      </c>
      <c r="BJ22" s="85">
        <f t="shared" si="14"/>
        <v>29384.936361395878</v>
      </c>
      <c r="BK22" s="85">
        <f t="shared" si="14"/>
        <v>27650.661466390051</v>
      </c>
      <c r="BL22" s="85">
        <f t="shared" si="14"/>
        <v>30054.355071744991</v>
      </c>
      <c r="BM22" s="85">
        <f t="shared" si="14"/>
        <v>28279.983539298279</v>
      </c>
      <c r="BN22" s="85">
        <f t="shared" si="14"/>
        <v>30746.866707974674</v>
      </c>
      <c r="BO22" s="85">
        <f t="shared" si="14"/>
        <v>28931.078249245016</v>
      </c>
      <c r="BP22" s="85">
        <f t="shared" si="14"/>
        <v>31462.428741065087</v>
      </c>
      <c r="BQ22" s="85">
        <f t="shared" si="14"/>
        <v>29603.901052597634</v>
      </c>
      <c r="BR22" s="85">
        <f t="shared" si="14"/>
        <v>30914.484995175917</v>
      </c>
      <c r="BS22" s="85">
        <f t="shared" si="14"/>
        <v>31601.01961146824</v>
      </c>
      <c r="BT22" s="85">
        <f t="shared" si="14"/>
        <v>31972.652849087732</v>
      </c>
      <c r="BU22" s="85">
        <f t="shared" si="14"/>
        <v>32349.94987889695</v>
      </c>
      <c r="BV22" s="85">
        <f t="shared" si="14"/>
        <v>38197.796604595904</v>
      </c>
      <c r="BW22" s="85">
        <f t="shared" ref="BW22:CA22" si="15">SUM(BW20:BW21)</f>
        <v>5.0931703299283981E-11</v>
      </c>
      <c r="BX22" s="85">
        <f t="shared" si="15"/>
        <v>5.0931703299283981E-11</v>
      </c>
      <c r="BY22" s="85">
        <f t="shared" si="15"/>
        <v>5.0931703299283981E-11</v>
      </c>
      <c r="BZ22" s="85">
        <f t="shared" si="15"/>
        <v>5.0931703299283981E-11</v>
      </c>
      <c r="CA22" s="85">
        <f t="shared" si="15"/>
        <v>5.0931703299283981E-11</v>
      </c>
    </row>
    <row r="24" spans="1:79" x14ac:dyDescent="0.2">
      <c r="E24" s="85" t="str">
        <f t="shared" ref="E24:AJ24" si="16" xml:space="preserve"> E$22</f>
        <v>Total cash available for DSRA / (shortfall amount)</v>
      </c>
      <c r="F24" s="85">
        <f t="shared" si="16"/>
        <v>0</v>
      </c>
      <c r="G24" s="85">
        <f t="shared" si="16"/>
        <v>0</v>
      </c>
      <c r="H24" s="85">
        <f t="shared" si="16"/>
        <v>0</v>
      </c>
      <c r="I24" s="85">
        <f t="shared" si="16"/>
        <v>0</v>
      </c>
      <c r="J24" s="85">
        <f t="shared" si="16"/>
        <v>0</v>
      </c>
      <c r="K24" s="85">
        <f t="shared" si="16"/>
        <v>0</v>
      </c>
      <c r="L24" s="85">
        <f t="shared" si="16"/>
        <v>0</v>
      </c>
      <c r="M24" s="85">
        <f t="shared" si="16"/>
        <v>0</v>
      </c>
      <c r="N24" s="85">
        <f t="shared" si="16"/>
        <v>0</v>
      </c>
      <c r="O24" s="85">
        <f t="shared" si="16"/>
        <v>7308.9143252153372</v>
      </c>
      <c r="P24" s="85">
        <f t="shared" si="16"/>
        <v>7342.869893432613</v>
      </c>
      <c r="Q24" s="85">
        <f t="shared" si="16"/>
        <v>7423.0310947842408</v>
      </c>
      <c r="R24" s="85">
        <f t="shared" si="16"/>
        <v>6958.2869087615363</v>
      </c>
      <c r="S24" s="85">
        <f t="shared" si="16"/>
        <v>6999.715827039774</v>
      </c>
      <c r="T24" s="85">
        <f t="shared" si="16"/>
        <v>6869.600262593005</v>
      </c>
      <c r="U24" s="85">
        <f t="shared" si="16"/>
        <v>6899.515693748006</v>
      </c>
      <c r="V24" s="85">
        <f t="shared" si="16"/>
        <v>6847.8493466575201</v>
      </c>
      <c r="W24" s="85">
        <f t="shared" si="16"/>
        <v>6875.7469001188329</v>
      </c>
      <c r="X24" s="85">
        <f t="shared" si="16"/>
        <v>6953.1493289153404</v>
      </c>
      <c r="Y24" s="85">
        <f t="shared" si="16"/>
        <v>6915.3728074110004</v>
      </c>
      <c r="Z24" s="85">
        <f t="shared" si="16"/>
        <v>6839.0785045669109</v>
      </c>
      <c r="AA24" s="85">
        <f t="shared" si="16"/>
        <v>6868.9861850694906</v>
      </c>
      <c r="AB24" s="85">
        <f t="shared" si="16"/>
        <v>6831.6876304893449</v>
      </c>
      <c r="AC24" s="85">
        <f t="shared" si="16"/>
        <v>8459.3632670980223</v>
      </c>
      <c r="AD24" s="85">
        <f t="shared" si="16"/>
        <v>11856.14761211547</v>
      </c>
      <c r="AE24" s="85">
        <f t="shared" si="16"/>
        <v>14719.602346379299</v>
      </c>
      <c r="AF24" s="85">
        <f t="shared" si="16"/>
        <v>17207.606063586696</v>
      </c>
      <c r="AG24" s="85">
        <f t="shared" si="16"/>
        <v>19272.021678633719</v>
      </c>
      <c r="AH24" s="85">
        <f t="shared" si="16"/>
        <v>20946.550876413701</v>
      </c>
      <c r="AI24" s="85">
        <f t="shared" si="16"/>
        <v>22250.384247740822</v>
      </c>
      <c r="AJ24" s="85">
        <f t="shared" si="16"/>
        <v>22599.590428468822</v>
      </c>
      <c r="AK24" s="85">
        <f t="shared" ref="AK24:BP24" si="17" xml:space="preserve"> AK$22</f>
        <v>22473.561050701101</v>
      </c>
      <c r="AL24" s="85">
        <f t="shared" si="17"/>
        <v>21916.672607283581</v>
      </c>
      <c r="AM24" s="85">
        <f t="shared" si="17"/>
        <v>20859.445171081301</v>
      </c>
      <c r="AN24" s="85">
        <f t="shared" si="17"/>
        <v>19189.224870353173</v>
      </c>
      <c r="AO24" s="85">
        <f t="shared" si="17"/>
        <v>16882.582764634361</v>
      </c>
      <c r="AP24" s="85">
        <f t="shared" si="17"/>
        <v>14077.98391629155</v>
      </c>
      <c r="AQ24" s="85">
        <f t="shared" si="17"/>
        <v>10701.596979961296</v>
      </c>
      <c r="AR24" s="85">
        <f t="shared" si="17"/>
        <v>7187.6872449356997</v>
      </c>
      <c r="AS24" s="85">
        <f t="shared" si="17"/>
        <v>7264.7400317440442</v>
      </c>
      <c r="AT24" s="85">
        <f t="shared" si="17"/>
        <v>7222.7232101354966</v>
      </c>
      <c r="AU24" s="85">
        <f t="shared" si="17"/>
        <v>7298.4689353802569</v>
      </c>
      <c r="AV24" s="85">
        <f t="shared" si="17"/>
        <v>7255.8631145183208</v>
      </c>
      <c r="AW24" s="85">
        <f t="shared" si="17"/>
        <v>7332.747156876856</v>
      </c>
      <c r="AX24" s="85">
        <f t="shared" si="17"/>
        <v>7446.5714120853154</v>
      </c>
      <c r="AY24" s="85">
        <f t="shared" si="17"/>
        <v>7533.1895184868044</v>
      </c>
      <c r="AZ24" s="85">
        <f t="shared" si="17"/>
        <v>7477.1741900896122</v>
      </c>
      <c r="BA24" s="85">
        <f t="shared" si="17"/>
        <v>7566.0921671264041</v>
      </c>
      <c r="BB24" s="85">
        <f t="shared" si="17"/>
        <v>7504.5088157492537</v>
      </c>
      <c r="BC24" s="85">
        <f t="shared" si="17"/>
        <v>26665.4957125605</v>
      </c>
      <c r="BD24" s="85">
        <f t="shared" si="17"/>
        <v>26679.509517069491</v>
      </c>
      <c r="BE24" s="85">
        <f t="shared" si="17"/>
        <v>27238.761751659724</v>
      </c>
      <c r="BF24" s="85">
        <f t="shared" si="17"/>
        <v>27132.130690617203</v>
      </c>
      <c r="BG24" s="85">
        <f t="shared" si="17"/>
        <v>27708.238269792957</v>
      </c>
      <c r="BH24" s="85">
        <f t="shared" si="17"/>
        <v>27730.379693491417</v>
      </c>
      <c r="BI24" s="85">
        <f t="shared" si="17"/>
        <v>27173.623053413656</v>
      </c>
      <c r="BJ24" s="85">
        <f t="shared" si="17"/>
        <v>29384.936361395878</v>
      </c>
      <c r="BK24" s="85">
        <f t="shared" si="17"/>
        <v>27650.661466390051</v>
      </c>
      <c r="BL24" s="85">
        <f t="shared" si="17"/>
        <v>30054.355071744991</v>
      </c>
      <c r="BM24" s="85">
        <f t="shared" si="17"/>
        <v>28279.983539298279</v>
      </c>
      <c r="BN24" s="85">
        <f t="shared" si="17"/>
        <v>30746.866707974674</v>
      </c>
      <c r="BO24" s="85">
        <f t="shared" si="17"/>
        <v>28931.078249245016</v>
      </c>
      <c r="BP24" s="85">
        <f t="shared" si="17"/>
        <v>31462.428741065087</v>
      </c>
      <c r="BQ24" s="85">
        <f t="shared" ref="BQ24:CA24" si="18" xml:space="preserve"> BQ$22</f>
        <v>29603.901052597634</v>
      </c>
      <c r="BR24" s="85">
        <f t="shared" si="18"/>
        <v>30914.484995175917</v>
      </c>
      <c r="BS24" s="85">
        <f t="shared" si="18"/>
        <v>31601.01961146824</v>
      </c>
      <c r="BT24" s="85">
        <f t="shared" si="18"/>
        <v>31972.652849087732</v>
      </c>
      <c r="BU24" s="85">
        <f t="shared" si="18"/>
        <v>32349.94987889695</v>
      </c>
      <c r="BV24" s="85">
        <f t="shared" si="18"/>
        <v>38197.796604595904</v>
      </c>
      <c r="BW24" s="85">
        <f t="shared" si="18"/>
        <v>5.0931703299283981E-11</v>
      </c>
      <c r="BX24" s="85">
        <f t="shared" si="18"/>
        <v>5.0931703299283981E-11</v>
      </c>
      <c r="BY24" s="85">
        <f t="shared" si="18"/>
        <v>5.0931703299283981E-11</v>
      </c>
      <c r="BZ24" s="85">
        <f t="shared" si="18"/>
        <v>5.0931703299283981E-11</v>
      </c>
      <c r="CA24" s="85">
        <f t="shared" si="18"/>
        <v>5.0931703299283981E-11</v>
      </c>
    </row>
    <row r="25" spans="1:79" x14ac:dyDescent="0.2">
      <c r="E25" s="85" t="s">
        <v>329</v>
      </c>
      <c r="H25" s="85">
        <f>SUM(J25:CA25)</f>
        <v>1033914.1582042156</v>
      </c>
      <c r="J25" s="85">
        <f xml:space="preserve"> MAX(J24, 0)</f>
        <v>0</v>
      </c>
      <c r="K25" s="85">
        <f t="shared" ref="K25" si="19" xml:space="preserve"> MAX(K24, 0)</f>
        <v>0</v>
      </c>
      <c r="L25" s="85">
        <f t="shared" ref="L25" si="20" xml:space="preserve"> MAX(L24, 0)</f>
        <v>0</v>
      </c>
      <c r="M25" s="85">
        <f t="shared" ref="M25" si="21" xml:space="preserve"> MAX(M24, 0)</f>
        <v>0</v>
      </c>
      <c r="N25" s="85">
        <f t="shared" ref="N25" si="22" xml:space="preserve"> MAX(N24, 0)</f>
        <v>0</v>
      </c>
      <c r="O25" s="85">
        <f t="shared" ref="O25" si="23" xml:space="preserve"> MAX(O24, 0)</f>
        <v>7308.9143252153372</v>
      </c>
      <c r="P25" s="85">
        <f t="shared" ref="P25" si="24" xml:space="preserve"> MAX(P24, 0)</f>
        <v>7342.869893432613</v>
      </c>
      <c r="Q25" s="85">
        <f t="shared" ref="Q25" si="25" xml:space="preserve"> MAX(Q24, 0)</f>
        <v>7423.0310947842408</v>
      </c>
      <c r="R25" s="85">
        <f t="shared" ref="R25" si="26" xml:space="preserve"> MAX(R24, 0)</f>
        <v>6958.2869087615363</v>
      </c>
      <c r="S25" s="85">
        <f t="shared" ref="S25" si="27" xml:space="preserve"> MAX(S24, 0)</f>
        <v>6999.715827039774</v>
      </c>
      <c r="T25" s="85">
        <f t="shared" ref="T25" si="28" xml:space="preserve"> MAX(T24, 0)</f>
        <v>6869.600262593005</v>
      </c>
      <c r="U25" s="85">
        <f t="shared" ref="U25" si="29" xml:space="preserve"> MAX(U24, 0)</f>
        <v>6899.515693748006</v>
      </c>
      <c r="V25" s="85">
        <f t="shared" ref="V25" si="30" xml:space="preserve"> MAX(V24, 0)</f>
        <v>6847.8493466575201</v>
      </c>
      <c r="W25" s="85">
        <f t="shared" ref="W25" si="31" xml:space="preserve"> MAX(W24, 0)</f>
        <v>6875.7469001188329</v>
      </c>
      <c r="X25" s="85">
        <f t="shared" ref="X25" si="32" xml:space="preserve"> MAX(X24, 0)</f>
        <v>6953.1493289153404</v>
      </c>
      <c r="Y25" s="85">
        <f t="shared" ref="Y25" si="33" xml:space="preserve"> MAX(Y24, 0)</f>
        <v>6915.3728074110004</v>
      </c>
      <c r="Z25" s="85">
        <f t="shared" ref="Z25" si="34" xml:space="preserve"> MAX(Z24, 0)</f>
        <v>6839.0785045669109</v>
      </c>
      <c r="AA25" s="85">
        <f t="shared" ref="AA25" si="35" xml:space="preserve"> MAX(AA24, 0)</f>
        <v>6868.9861850694906</v>
      </c>
      <c r="AB25" s="85">
        <f t="shared" ref="AB25" si="36" xml:space="preserve"> MAX(AB24, 0)</f>
        <v>6831.6876304893449</v>
      </c>
      <c r="AC25" s="85">
        <f t="shared" ref="AC25" si="37" xml:space="preserve"> MAX(AC24, 0)</f>
        <v>8459.3632670980223</v>
      </c>
      <c r="AD25" s="85">
        <f t="shared" ref="AD25" si="38" xml:space="preserve"> MAX(AD24, 0)</f>
        <v>11856.14761211547</v>
      </c>
      <c r="AE25" s="85">
        <f t="shared" ref="AE25" si="39" xml:space="preserve"> MAX(AE24, 0)</f>
        <v>14719.602346379299</v>
      </c>
      <c r="AF25" s="85">
        <f t="shared" ref="AF25" si="40" xml:space="preserve"> MAX(AF24, 0)</f>
        <v>17207.606063586696</v>
      </c>
      <c r="AG25" s="85">
        <f t="shared" ref="AG25" si="41" xml:space="preserve"> MAX(AG24, 0)</f>
        <v>19272.021678633719</v>
      </c>
      <c r="AH25" s="85">
        <f t="shared" ref="AH25" si="42" xml:space="preserve"> MAX(AH24, 0)</f>
        <v>20946.550876413701</v>
      </c>
      <c r="AI25" s="85">
        <f t="shared" ref="AI25" si="43" xml:space="preserve"> MAX(AI24, 0)</f>
        <v>22250.384247740822</v>
      </c>
      <c r="AJ25" s="85">
        <f t="shared" ref="AJ25" si="44" xml:space="preserve"> MAX(AJ24, 0)</f>
        <v>22599.590428468822</v>
      </c>
      <c r="AK25" s="85">
        <f t="shared" ref="AK25" si="45" xml:space="preserve"> MAX(AK24, 0)</f>
        <v>22473.561050701101</v>
      </c>
      <c r="AL25" s="85">
        <f t="shared" ref="AL25" si="46" xml:space="preserve"> MAX(AL24, 0)</f>
        <v>21916.672607283581</v>
      </c>
      <c r="AM25" s="85">
        <f t="shared" ref="AM25" si="47" xml:space="preserve"> MAX(AM24, 0)</f>
        <v>20859.445171081301</v>
      </c>
      <c r="AN25" s="85">
        <f t="shared" ref="AN25" si="48" xml:space="preserve"> MAX(AN24, 0)</f>
        <v>19189.224870353173</v>
      </c>
      <c r="AO25" s="85">
        <f t="shared" ref="AO25" si="49" xml:space="preserve"> MAX(AO24, 0)</f>
        <v>16882.582764634361</v>
      </c>
      <c r="AP25" s="85">
        <f t="shared" ref="AP25" si="50" xml:space="preserve"> MAX(AP24, 0)</f>
        <v>14077.98391629155</v>
      </c>
      <c r="AQ25" s="85">
        <f t="shared" ref="AQ25" si="51" xml:space="preserve"> MAX(AQ24, 0)</f>
        <v>10701.596979961296</v>
      </c>
      <c r="AR25" s="85">
        <f t="shared" ref="AR25" si="52" xml:space="preserve"> MAX(AR24, 0)</f>
        <v>7187.6872449356997</v>
      </c>
      <c r="AS25" s="85">
        <f t="shared" ref="AS25" si="53" xml:space="preserve"> MAX(AS24, 0)</f>
        <v>7264.7400317440442</v>
      </c>
      <c r="AT25" s="85">
        <f t="shared" ref="AT25" si="54" xml:space="preserve"> MAX(AT24, 0)</f>
        <v>7222.7232101354966</v>
      </c>
      <c r="AU25" s="85">
        <f t="shared" ref="AU25" si="55" xml:space="preserve"> MAX(AU24, 0)</f>
        <v>7298.4689353802569</v>
      </c>
      <c r="AV25" s="85">
        <f t="shared" ref="AV25" si="56" xml:space="preserve"> MAX(AV24, 0)</f>
        <v>7255.8631145183208</v>
      </c>
      <c r="AW25" s="85">
        <f t="shared" ref="AW25" si="57" xml:space="preserve"> MAX(AW24, 0)</f>
        <v>7332.747156876856</v>
      </c>
      <c r="AX25" s="85">
        <f t="shared" ref="AX25" si="58" xml:space="preserve"> MAX(AX24, 0)</f>
        <v>7446.5714120853154</v>
      </c>
      <c r="AY25" s="85">
        <f t="shared" ref="AY25" si="59" xml:space="preserve"> MAX(AY24, 0)</f>
        <v>7533.1895184868044</v>
      </c>
      <c r="AZ25" s="85">
        <f t="shared" ref="AZ25" si="60" xml:space="preserve"> MAX(AZ24, 0)</f>
        <v>7477.1741900896122</v>
      </c>
      <c r="BA25" s="85">
        <f t="shared" ref="BA25" si="61" xml:space="preserve"> MAX(BA24, 0)</f>
        <v>7566.0921671264041</v>
      </c>
      <c r="BB25" s="85">
        <f t="shared" ref="BB25" si="62" xml:space="preserve"> MAX(BB24, 0)</f>
        <v>7504.5088157492537</v>
      </c>
      <c r="BC25" s="85">
        <f t="shared" ref="BC25" si="63" xml:space="preserve"> MAX(BC24, 0)</f>
        <v>26665.4957125605</v>
      </c>
      <c r="BD25" s="85">
        <f t="shared" ref="BD25" si="64" xml:space="preserve"> MAX(BD24, 0)</f>
        <v>26679.509517069491</v>
      </c>
      <c r="BE25" s="85">
        <f t="shared" ref="BE25" si="65" xml:space="preserve"> MAX(BE24, 0)</f>
        <v>27238.761751659724</v>
      </c>
      <c r="BF25" s="85">
        <f t="shared" ref="BF25" si="66" xml:space="preserve"> MAX(BF24, 0)</f>
        <v>27132.130690617203</v>
      </c>
      <c r="BG25" s="85">
        <f t="shared" ref="BG25" si="67" xml:space="preserve"> MAX(BG24, 0)</f>
        <v>27708.238269792957</v>
      </c>
      <c r="BH25" s="85">
        <f t="shared" ref="BH25" si="68" xml:space="preserve"> MAX(BH24, 0)</f>
        <v>27730.379693491417</v>
      </c>
      <c r="BI25" s="85">
        <f t="shared" ref="BI25" si="69" xml:space="preserve"> MAX(BI24, 0)</f>
        <v>27173.623053413656</v>
      </c>
      <c r="BJ25" s="85">
        <f t="shared" ref="BJ25" si="70" xml:space="preserve"> MAX(BJ24, 0)</f>
        <v>29384.936361395878</v>
      </c>
      <c r="BK25" s="85">
        <f t="shared" ref="BK25" si="71" xml:space="preserve"> MAX(BK24, 0)</f>
        <v>27650.661466390051</v>
      </c>
      <c r="BL25" s="85">
        <f t="shared" ref="BL25" si="72" xml:space="preserve"> MAX(BL24, 0)</f>
        <v>30054.355071744991</v>
      </c>
      <c r="BM25" s="85">
        <f t="shared" ref="BM25" si="73" xml:space="preserve"> MAX(BM24, 0)</f>
        <v>28279.983539298279</v>
      </c>
      <c r="BN25" s="85">
        <f t="shared" ref="BN25" si="74" xml:space="preserve"> MAX(BN24, 0)</f>
        <v>30746.866707974674</v>
      </c>
      <c r="BO25" s="85">
        <f t="shared" ref="BO25" si="75" xml:space="preserve"> MAX(BO24, 0)</f>
        <v>28931.078249245016</v>
      </c>
      <c r="BP25" s="85">
        <f t="shared" ref="BP25" si="76" xml:space="preserve"> MAX(BP24, 0)</f>
        <v>31462.428741065087</v>
      </c>
      <c r="BQ25" s="85">
        <f t="shared" ref="BQ25" si="77" xml:space="preserve"> MAX(BQ24, 0)</f>
        <v>29603.901052597634</v>
      </c>
      <c r="BR25" s="85">
        <f t="shared" ref="BR25" si="78" xml:space="preserve"> MAX(BR24, 0)</f>
        <v>30914.484995175917</v>
      </c>
      <c r="BS25" s="85">
        <f t="shared" ref="BS25" si="79" xml:space="preserve"> MAX(BS24, 0)</f>
        <v>31601.01961146824</v>
      </c>
      <c r="BT25" s="85">
        <f t="shared" ref="BT25" si="80" xml:space="preserve"> MAX(BT24, 0)</f>
        <v>31972.652849087732</v>
      </c>
      <c r="BU25" s="85">
        <f t="shared" ref="BU25" si="81" xml:space="preserve"> MAX(BU24, 0)</f>
        <v>32349.94987889695</v>
      </c>
      <c r="BV25" s="85">
        <f t="shared" ref="BV25" si="82" xml:space="preserve"> MAX(BV24, 0)</f>
        <v>38197.796604595904</v>
      </c>
      <c r="BW25" s="85">
        <f t="shared" ref="BW25" si="83" xml:space="preserve"> MAX(BW24, 0)</f>
        <v>5.0931703299283981E-11</v>
      </c>
      <c r="BX25" s="85">
        <f t="shared" ref="BX25" si="84" xml:space="preserve"> MAX(BX24, 0)</f>
        <v>5.0931703299283981E-11</v>
      </c>
      <c r="BY25" s="85">
        <f t="shared" ref="BY25" si="85" xml:space="preserve"> MAX(BY24, 0)</f>
        <v>5.0931703299283981E-11</v>
      </c>
      <c r="BZ25" s="85">
        <f t="shared" ref="BZ25" si="86" xml:space="preserve"> MAX(BZ24, 0)</f>
        <v>5.0931703299283981E-11</v>
      </c>
      <c r="CA25" s="85">
        <f t="shared" ref="CA25" si="87" xml:space="preserve"> MAX(CA24, 0)</f>
        <v>5.0931703299283981E-11</v>
      </c>
    </row>
    <row r="26" spans="1:79" x14ac:dyDescent="0.2">
      <c r="E26" s="85" t="s">
        <v>333</v>
      </c>
      <c r="H26" s="85">
        <f>SUM(J26:CA26)</f>
        <v>0</v>
      </c>
      <c r="J26" s="85">
        <f xml:space="preserve"> -1 * MIN(J24, 0)</f>
        <v>0</v>
      </c>
      <c r="K26" s="85">
        <f t="shared" ref="K26:BV26" si="88" xml:space="preserve"> -1 * MIN(K24, 0)</f>
        <v>0</v>
      </c>
      <c r="L26" s="85">
        <f t="shared" si="88"/>
        <v>0</v>
      </c>
      <c r="M26" s="85">
        <f t="shared" si="88"/>
        <v>0</v>
      </c>
      <c r="N26" s="85">
        <f t="shared" si="88"/>
        <v>0</v>
      </c>
      <c r="O26" s="85">
        <f t="shared" si="88"/>
        <v>0</v>
      </c>
      <c r="P26" s="85">
        <f t="shared" si="88"/>
        <v>0</v>
      </c>
      <c r="Q26" s="85">
        <f t="shared" si="88"/>
        <v>0</v>
      </c>
      <c r="R26" s="85">
        <f t="shared" si="88"/>
        <v>0</v>
      </c>
      <c r="S26" s="85">
        <f t="shared" si="88"/>
        <v>0</v>
      </c>
      <c r="T26" s="85">
        <f t="shared" si="88"/>
        <v>0</v>
      </c>
      <c r="U26" s="85">
        <f t="shared" si="88"/>
        <v>0</v>
      </c>
      <c r="V26" s="85">
        <f t="shared" si="88"/>
        <v>0</v>
      </c>
      <c r="W26" s="85">
        <f t="shared" si="88"/>
        <v>0</v>
      </c>
      <c r="X26" s="85">
        <f t="shared" si="88"/>
        <v>0</v>
      </c>
      <c r="Y26" s="85">
        <f t="shared" si="88"/>
        <v>0</v>
      </c>
      <c r="Z26" s="85">
        <f t="shared" si="88"/>
        <v>0</v>
      </c>
      <c r="AA26" s="85">
        <f t="shared" si="88"/>
        <v>0</v>
      </c>
      <c r="AB26" s="85">
        <f t="shared" si="88"/>
        <v>0</v>
      </c>
      <c r="AC26" s="85">
        <f t="shared" si="88"/>
        <v>0</v>
      </c>
      <c r="AD26" s="85">
        <f t="shared" si="88"/>
        <v>0</v>
      </c>
      <c r="AE26" s="85">
        <f t="shared" si="88"/>
        <v>0</v>
      </c>
      <c r="AF26" s="85">
        <f t="shared" si="88"/>
        <v>0</v>
      </c>
      <c r="AG26" s="85">
        <f t="shared" si="88"/>
        <v>0</v>
      </c>
      <c r="AH26" s="85">
        <f t="shared" si="88"/>
        <v>0</v>
      </c>
      <c r="AI26" s="85">
        <f t="shared" si="88"/>
        <v>0</v>
      </c>
      <c r="AJ26" s="85">
        <f t="shared" si="88"/>
        <v>0</v>
      </c>
      <c r="AK26" s="85">
        <f t="shared" si="88"/>
        <v>0</v>
      </c>
      <c r="AL26" s="85">
        <f t="shared" si="88"/>
        <v>0</v>
      </c>
      <c r="AM26" s="85">
        <f t="shared" si="88"/>
        <v>0</v>
      </c>
      <c r="AN26" s="85">
        <f t="shared" si="88"/>
        <v>0</v>
      </c>
      <c r="AO26" s="85">
        <f t="shared" si="88"/>
        <v>0</v>
      </c>
      <c r="AP26" s="85">
        <f t="shared" si="88"/>
        <v>0</v>
      </c>
      <c r="AQ26" s="85">
        <f t="shared" si="88"/>
        <v>0</v>
      </c>
      <c r="AR26" s="85">
        <f t="shared" si="88"/>
        <v>0</v>
      </c>
      <c r="AS26" s="85">
        <f t="shared" si="88"/>
        <v>0</v>
      </c>
      <c r="AT26" s="85">
        <f t="shared" si="88"/>
        <v>0</v>
      </c>
      <c r="AU26" s="85">
        <f t="shared" si="88"/>
        <v>0</v>
      </c>
      <c r="AV26" s="85">
        <f t="shared" si="88"/>
        <v>0</v>
      </c>
      <c r="AW26" s="85">
        <f t="shared" si="88"/>
        <v>0</v>
      </c>
      <c r="AX26" s="85">
        <f t="shared" si="88"/>
        <v>0</v>
      </c>
      <c r="AY26" s="85">
        <f t="shared" si="88"/>
        <v>0</v>
      </c>
      <c r="AZ26" s="85">
        <f t="shared" si="88"/>
        <v>0</v>
      </c>
      <c r="BA26" s="85">
        <f t="shared" si="88"/>
        <v>0</v>
      </c>
      <c r="BB26" s="85">
        <f t="shared" si="88"/>
        <v>0</v>
      </c>
      <c r="BC26" s="85">
        <f t="shared" si="88"/>
        <v>0</v>
      </c>
      <c r="BD26" s="85">
        <f t="shared" si="88"/>
        <v>0</v>
      </c>
      <c r="BE26" s="85">
        <f t="shared" si="88"/>
        <v>0</v>
      </c>
      <c r="BF26" s="85">
        <f t="shared" si="88"/>
        <v>0</v>
      </c>
      <c r="BG26" s="85">
        <f t="shared" si="88"/>
        <v>0</v>
      </c>
      <c r="BH26" s="85">
        <f t="shared" si="88"/>
        <v>0</v>
      </c>
      <c r="BI26" s="85">
        <f t="shared" si="88"/>
        <v>0</v>
      </c>
      <c r="BJ26" s="85">
        <f t="shared" si="88"/>
        <v>0</v>
      </c>
      <c r="BK26" s="85">
        <f t="shared" si="88"/>
        <v>0</v>
      </c>
      <c r="BL26" s="85">
        <f t="shared" si="88"/>
        <v>0</v>
      </c>
      <c r="BM26" s="85">
        <f t="shared" si="88"/>
        <v>0</v>
      </c>
      <c r="BN26" s="85">
        <f t="shared" si="88"/>
        <v>0</v>
      </c>
      <c r="BO26" s="85">
        <f t="shared" si="88"/>
        <v>0</v>
      </c>
      <c r="BP26" s="85">
        <f t="shared" si="88"/>
        <v>0</v>
      </c>
      <c r="BQ26" s="85">
        <f t="shared" si="88"/>
        <v>0</v>
      </c>
      <c r="BR26" s="85">
        <f t="shared" si="88"/>
        <v>0</v>
      </c>
      <c r="BS26" s="85">
        <f t="shared" si="88"/>
        <v>0</v>
      </c>
      <c r="BT26" s="85">
        <f t="shared" si="88"/>
        <v>0</v>
      </c>
      <c r="BU26" s="85">
        <f t="shared" si="88"/>
        <v>0</v>
      </c>
      <c r="BV26" s="85">
        <f t="shared" si="88"/>
        <v>0</v>
      </c>
      <c r="BW26" s="85">
        <f t="shared" ref="BW26:CA26" si="89" xml:space="preserve"> -1 * MIN(BW24, 0)</f>
        <v>0</v>
      </c>
      <c r="BX26" s="85">
        <f t="shared" si="89"/>
        <v>0</v>
      </c>
      <c r="BY26" s="85">
        <f t="shared" si="89"/>
        <v>0</v>
      </c>
      <c r="BZ26" s="85">
        <f t="shared" si="89"/>
        <v>0</v>
      </c>
      <c r="CA26" s="85">
        <f t="shared" si="89"/>
        <v>0</v>
      </c>
    </row>
    <row r="29" spans="1:79" x14ac:dyDescent="0.2">
      <c r="A29" s="81" t="s">
        <v>327</v>
      </c>
    </row>
    <row r="31" spans="1:79" x14ac:dyDescent="0.2">
      <c r="E31" s="85" t="str">
        <f t="shared" ref="E31:AJ31" si="90" xml:space="preserve"> E$25</f>
        <v>Total cash available for senior DSRA deposits</v>
      </c>
      <c r="F31" s="85">
        <f t="shared" si="90"/>
        <v>0</v>
      </c>
      <c r="G31" s="85">
        <f t="shared" si="90"/>
        <v>0</v>
      </c>
      <c r="H31" s="85">
        <f t="shared" si="90"/>
        <v>1033914.1582042156</v>
      </c>
      <c r="I31" s="85">
        <f t="shared" si="90"/>
        <v>0</v>
      </c>
      <c r="J31" s="85">
        <f t="shared" si="90"/>
        <v>0</v>
      </c>
      <c r="K31" s="85">
        <f t="shared" si="90"/>
        <v>0</v>
      </c>
      <c r="L31" s="85">
        <f t="shared" si="90"/>
        <v>0</v>
      </c>
      <c r="M31" s="85">
        <f t="shared" si="90"/>
        <v>0</v>
      </c>
      <c r="N31" s="85">
        <f t="shared" si="90"/>
        <v>0</v>
      </c>
      <c r="O31" s="85">
        <f t="shared" si="90"/>
        <v>7308.9143252153372</v>
      </c>
      <c r="P31" s="85">
        <f t="shared" si="90"/>
        <v>7342.869893432613</v>
      </c>
      <c r="Q31" s="85">
        <f t="shared" si="90"/>
        <v>7423.0310947842408</v>
      </c>
      <c r="R31" s="85">
        <f t="shared" si="90"/>
        <v>6958.2869087615363</v>
      </c>
      <c r="S31" s="85">
        <f t="shared" si="90"/>
        <v>6999.715827039774</v>
      </c>
      <c r="T31" s="85">
        <f t="shared" si="90"/>
        <v>6869.600262593005</v>
      </c>
      <c r="U31" s="85">
        <f t="shared" si="90"/>
        <v>6899.515693748006</v>
      </c>
      <c r="V31" s="85">
        <f t="shared" si="90"/>
        <v>6847.8493466575201</v>
      </c>
      <c r="W31" s="85">
        <f t="shared" si="90"/>
        <v>6875.7469001188329</v>
      </c>
      <c r="X31" s="85">
        <f t="shared" si="90"/>
        <v>6953.1493289153404</v>
      </c>
      <c r="Y31" s="85">
        <f t="shared" si="90"/>
        <v>6915.3728074110004</v>
      </c>
      <c r="Z31" s="85">
        <f t="shared" si="90"/>
        <v>6839.0785045669109</v>
      </c>
      <c r="AA31" s="85">
        <f t="shared" si="90"/>
        <v>6868.9861850694906</v>
      </c>
      <c r="AB31" s="85">
        <f t="shared" si="90"/>
        <v>6831.6876304893449</v>
      </c>
      <c r="AC31" s="85">
        <f t="shared" si="90"/>
        <v>8459.3632670980223</v>
      </c>
      <c r="AD31" s="85">
        <f t="shared" si="90"/>
        <v>11856.14761211547</v>
      </c>
      <c r="AE31" s="85">
        <f t="shared" si="90"/>
        <v>14719.602346379299</v>
      </c>
      <c r="AF31" s="85">
        <f t="shared" si="90"/>
        <v>17207.606063586696</v>
      </c>
      <c r="AG31" s="85">
        <f t="shared" si="90"/>
        <v>19272.021678633719</v>
      </c>
      <c r="AH31" s="85">
        <f t="shared" si="90"/>
        <v>20946.550876413701</v>
      </c>
      <c r="AI31" s="85">
        <f t="shared" si="90"/>
        <v>22250.384247740822</v>
      </c>
      <c r="AJ31" s="85">
        <f t="shared" si="90"/>
        <v>22599.590428468822</v>
      </c>
      <c r="AK31" s="85">
        <f t="shared" ref="AK31:BP31" si="91" xml:space="preserve"> AK$25</f>
        <v>22473.561050701101</v>
      </c>
      <c r="AL31" s="85">
        <f t="shared" si="91"/>
        <v>21916.672607283581</v>
      </c>
      <c r="AM31" s="85">
        <f t="shared" si="91"/>
        <v>20859.445171081301</v>
      </c>
      <c r="AN31" s="85">
        <f t="shared" si="91"/>
        <v>19189.224870353173</v>
      </c>
      <c r="AO31" s="85">
        <f t="shared" si="91"/>
        <v>16882.582764634361</v>
      </c>
      <c r="AP31" s="85">
        <f t="shared" si="91"/>
        <v>14077.98391629155</v>
      </c>
      <c r="AQ31" s="85">
        <f t="shared" si="91"/>
        <v>10701.596979961296</v>
      </c>
      <c r="AR31" s="85">
        <f t="shared" si="91"/>
        <v>7187.6872449356997</v>
      </c>
      <c r="AS31" s="85">
        <f t="shared" si="91"/>
        <v>7264.7400317440442</v>
      </c>
      <c r="AT31" s="85">
        <f t="shared" si="91"/>
        <v>7222.7232101354966</v>
      </c>
      <c r="AU31" s="85">
        <f t="shared" si="91"/>
        <v>7298.4689353802569</v>
      </c>
      <c r="AV31" s="85">
        <f t="shared" si="91"/>
        <v>7255.8631145183208</v>
      </c>
      <c r="AW31" s="85">
        <f t="shared" si="91"/>
        <v>7332.747156876856</v>
      </c>
      <c r="AX31" s="85">
        <f t="shared" si="91"/>
        <v>7446.5714120853154</v>
      </c>
      <c r="AY31" s="85">
        <f t="shared" si="91"/>
        <v>7533.1895184868044</v>
      </c>
      <c r="AZ31" s="85">
        <f t="shared" si="91"/>
        <v>7477.1741900896122</v>
      </c>
      <c r="BA31" s="85">
        <f t="shared" si="91"/>
        <v>7566.0921671264041</v>
      </c>
      <c r="BB31" s="85">
        <f t="shared" si="91"/>
        <v>7504.5088157492537</v>
      </c>
      <c r="BC31" s="85">
        <f t="shared" si="91"/>
        <v>26665.4957125605</v>
      </c>
      <c r="BD31" s="85">
        <f t="shared" si="91"/>
        <v>26679.509517069491</v>
      </c>
      <c r="BE31" s="85">
        <f t="shared" si="91"/>
        <v>27238.761751659724</v>
      </c>
      <c r="BF31" s="85">
        <f t="shared" si="91"/>
        <v>27132.130690617203</v>
      </c>
      <c r="BG31" s="85">
        <f t="shared" si="91"/>
        <v>27708.238269792957</v>
      </c>
      <c r="BH31" s="85">
        <f t="shared" si="91"/>
        <v>27730.379693491417</v>
      </c>
      <c r="BI31" s="85">
        <f t="shared" si="91"/>
        <v>27173.623053413656</v>
      </c>
      <c r="BJ31" s="85">
        <f t="shared" si="91"/>
        <v>29384.936361395878</v>
      </c>
      <c r="BK31" s="85">
        <f t="shared" si="91"/>
        <v>27650.661466390051</v>
      </c>
      <c r="BL31" s="85">
        <f t="shared" si="91"/>
        <v>30054.355071744991</v>
      </c>
      <c r="BM31" s="85">
        <f t="shared" si="91"/>
        <v>28279.983539298279</v>
      </c>
      <c r="BN31" s="85">
        <f t="shared" si="91"/>
        <v>30746.866707974674</v>
      </c>
      <c r="BO31" s="85">
        <f t="shared" si="91"/>
        <v>28931.078249245016</v>
      </c>
      <c r="BP31" s="85">
        <f t="shared" si="91"/>
        <v>31462.428741065087</v>
      </c>
      <c r="BQ31" s="85">
        <f t="shared" ref="BQ31:CA31" si="92" xml:space="preserve"> BQ$25</f>
        <v>29603.901052597634</v>
      </c>
      <c r="BR31" s="85">
        <f t="shared" si="92"/>
        <v>30914.484995175917</v>
      </c>
      <c r="BS31" s="85">
        <f t="shared" si="92"/>
        <v>31601.01961146824</v>
      </c>
      <c r="BT31" s="85">
        <f t="shared" si="92"/>
        <v>31972.652849087732</v>
      </c>
      <c r="BU31" s="85">
        <f t="shared" si="92"/>
        <v>32349.94987889695</v>
      </c>
      <c r="BV31" s="85">
        <f t="shared" si="92"/>
        <v>38197.796604595904</v>
      </c>
      <c r="BW31" s="85">
        <f t="shared" si="92"/>
        <v>5.0931703299283981E-11</v>
      </c>
      <c r="BX31" s="85">
        <f t="shared" si="92"/>
        <v>5.0931703299283981E-11</v>
      </c>
      <c r="BY31" s="85">
        <f t="shared" si="92"/>
        <v>5.0931703299283981E-11</v>
      </c>
      <c r="BZ31" s="85">
        <f t="shared" si="92"/>
        <v>5.0931703299283981E-11</v>
      </c>
      <c r="CA31" s="85">
        <f t="shared" si="92"/>
        <v>5.0931703299283981E-11</v>
      </c>
    </row>
    <row r="32" spans="1:79" x14ac:dyDescent="0.2">
      <c r="E32" s="85" t="str">
        <f xml:space="preserve"> E$17</f>
        <v>Senior DSRA target deposits</v>
      </c>
      <c r="F32" s="85">
        <f t="shared" ref="F32:BQ32" si="93" xml:space="preserve"> F$17</f>
        <v>0</v>
      </c>
      <c r="G32" s="85">
        <f t="shared" si="93"/>
        <v>0</v>
      </c>
      <c r="H32" s="85">
        <f t="shared" si="93"/>
        <v>17029.200053898516</v>
      </c>
      <c r="I32" s="85">
        <f t="shared" si="93"/>
        <v>0</v>
      </c>
      <c r="J32" s="85">
        <f t="shared" si="93"/>
        <v>0</v>
      </c>
      <c r="K32" s="85">
        <f t="shared" si="93"/>
        <v>0</v>
      </c>
      <c r="L32" s="85">
        <f t="shared" si="93"/>
        <v>0</v>
      </c>
      <c r="M32" s="85">
        <f t="shared" si="93"/>
        <v>0</v>
      </c>
      <c r="N32" s="85">
        <f t="shared" si="93"/>
        <v>0</v>
      </c>
      <c r="O32" s="85">
        <f t="shared" si="93"/>
        <v>10441.423071309706</v>
      </c>
      <c r="P32" s="85">
        <f t="shared" si="93"/>
        <v>3336.0588130824544</v>
      </c>
      <c r="Q32" s="85">
        <f t="shared" si="93"/>
        <v>0</v>
      </c>
      <c r="R32" s="85">
        <f t="shared" si="93"/>
        <v>111.11385796345348</v>
      </c>
      <c r="S32" s="85">
        <f t="shared" si="93"/>
        <v>0</v>
      </c>
      <c r="T32" s="85">
        <f t="shared" si="93"/>
        <v>73.927990162585047</v>
      </c>
      <c r="U32" s="85">
        <f t="shared" si="93"/>
        <v>0</v>
      </c>
      <c r="V32" s="85">
        <f t="shared" si="93"/>
        <v>66.884539828421111</v>
      </c>
      <c r="W32" s="85">
        <f t="shared" si="93"/>
        <v>195.99832642362526</v>
      </c>
      <c r="X32" s="85">
        <f t="shared" si="93"/>
        <v>0</v>
      </c>
      <c r="Y32" s="85">
        <f t="shared" si="93"/>
        <v>0</v>
      </c>
      <c r="Z32" s="85">
        <f t="shared" si="93"/>
        <v>68.514295804940048</v>
      </c>
      <c r="AA32" s="85">
        <f t="shared" si="93"/>
        <v>0</v>
      </c>
      <c r="AB32" s="85">
        <f t="shared" si="93"/>
        <v>84.085726669698488</v>
      </c>
      <c r="AC32" s="85">
        <f t="shared" si="93"/>
        <v>258.19530079482502</v>
      </c>
      <c r="AD32" s="85">
        <f t="shared" si="93"/>
        <v>114.06678215853026</v>
      </c>
      <c r="AE32" s="85">
        <f t="shared" si="93"/>
        <v>0</v>
      </c>
      <c r="AF32" s="85">
        <f t="shared" si="93"/>
        <v>126.03984091671737</v>
      </c>
      <c r="AG32" s="85">
        <f t="shared" si="93"/>
        <v>0</v>
      </c>
      <c r="AH32" s="85">
        <f t="shared" si="93"/>
        <v>8.4392314427641395</v>
      </c>
      <c r="AI32" s="85">
        <f t="shared" si="93"/>
        <v>0</v>
      </c>
      <c r="AJ32" s="85">
        <f t="shared" si="93"/>
        <v>145.21771198694114</v>
      </c>
      <c r="AK32" s="85">
        <f t="shared" si="93"/>
        <v>0</v>
      </c>
      <c r="AL32" s="85">
        <f t="shared" si="93"/>
        <v>152.94695072706236</v>
      </c>
      <c r="AM32" s="85">
        <f t="shared" si="93"/>
        <v>176.59454858437675</v>
      </c>
      <c r="AN32" s="85">
        <f t="shared" si="93"/>
        <v>178.95850156021697</v>
      </c>
      <c r="AO32" s="85">
        <f t="shared" si="93"/>
        <v>0</v>
      </c>
      <c r="AP32" s="85">
        <f t="shared" si="93"/>
        <v>185.73570463088618</v>
      </c>
      <c r="AQ32" s="85">
        <f t="shared" si="93"/>
        <v>0</v>
      </c>
      <c r="AR32" s="85">
        <f t="shared" si="93"/>
        <v>189.08396567175805</v>
      </c>
      <c r="AS32" s="85">
        <f t="shared" si="93"/>
        <v>0</v>
      </c>
      <c r="AT32" s="85">
        <f t="shared" si="93"/>
        <v>195.18344843536033</v>
      </c>
      <c r="AU32" s="85">
        <f t="shared" si="93"/>
        <v>0</v>
      </c>
      <c r="AV32" s="85">
        <f t="shared" si="93"/>
        <v>197.3053584443951</v>
      </c>
      <c r="AW32" s="85">
        <f t="shared" si="93"/>
        <v>277.47805715067079</v>
      </c>
      <c r="AX32" s="85">
        <f t="shared" si="93"/>
        <v>223.76065471669426</v>
      </c>
      <c r="AY32" s="85">
        <f t="shared" si="93"/>
        <v>0</v>
      </c>
      <c r="AZ32" s="85">
        <f t="shared" si="93"/>
        <v>222.18737543243333</v>
      </c>
      <c r="BA32" s="85">
        <f t="shared" si="93"/>
        <v>0</v>
      </c>
      <c r="BB32" s="85">
        <f t="shared" si="93"/>
        <v>0</v>
      </c>
      <c r="BC32" s="85">
        <f t="shared" si="93"/>
        <v>0</v>
      </c>
      <c r="BD32" s="85">
        <f t="shared" si="93"/>
        <v>0</v>
      </c>
      <c r="BE32" s="85">
        <f t="shared" si="93"/>
        <v>0</v>
      </c>
      <c r="BF32" s="85">
        <f t="shared" si="93"/>
        <v>0</v>
      </c>
      <c r="BG32" s="85">
        <f t="shared" si="93"/>
        <v>0</v>
      </c>
      <c r="BH32" s="85">
        <f t="shared" si="93"/>
        <v>0</v>
      </c>
      <c r="BI32" s="85">
        <f t="shared" si="93"/>
        <v>0</v>
      </c>
      <c r="BJ32" s="85">
        <f t="shared" si="93"/>
        <v>0</v>
      </c>
      <c r="BK32" s="85">
        <f t="shared" si="93"/>
        <v>0</v>
      </c>
      <c r="BL32" s="85">
        <f t="shared" si="93"/>
        <v>0</v>
      </c>
      <c r="BM32" s="85">
        <f t="shared" si="93"/>
        <v>0</v>
      </c>
      <c r="BN32" s="85">
        <f t="shared" si="93"/>
        <v>0</v>
      </c>
      <c r="BO32" s="85">
        <f t="shared" si="93"/>
        <v>0</v>
      </c>
      <c r="BP32" s="85">
        <f t="shared" si="93"/>
        <v>0</v>
      </c>
      <c r="BQ32" s="85">
        <f t="shared" si="93"/>
        <v>0</v>
      </c>
      <c r="BR32" s="85">
        <f t="shared" ref="BR32:CA32" si="94" xml:space="preserve"> BR$17</f>
        <v>0</v>
      </c>
      <c r="BS32" s="85">
        <f t="shared" si="94"/>
        <v>0</v>
      </c>
      <c r="BT32" s="85">
        <f t="shared" si="94"/>
        <v>0</v>
      </c>
      <c r="BU32" s="85">
        <f t="shared" si="94"/>
        <v>0</v>
      </c>
      <c r="BV32" s="85">
        <f t="shared" si="94"/>
        <v>0</v>
      </c>
      <c r="BW32" s="85">
        <f t="shared" si="94"/>
        <v>0</v>
      </c>
      <c r="BX32" s="85">
        <f t="shared" si="94"/>
        <v>0</v>
      </c>
      <c r="BY32" s="85">
        <f t="shared" si="94"/>
        <v>0</v>
      </c>
      <c r="BZ32" s="85">
        <f t="shared" si="94"/>
        <v>0</v>
      </c>
      <c r="CA32" s="85">
        <f t="shared" si="94"/>
        <v>0</v>
      </c>
    </row>
    <row r="33" spans="1:79" x14ac:dyDescent="0.2">
      <c r="E33" s="85" t="s">
        <v>330</v>
      </c>
      <c r="H33" s="85">
        <f>SUM(J33:CA33)</f>
        <v>13896.691307804147</v>
      </c>
      <c r="J33" s="85">
        <f xml:space="preserve"> MIN(J31:J32)</f>
        <v>0</v>
      </c>
      <c r="K33" s="85">
        <f t="shared" ref="K33:BV33" si="95" xml:space="preserve"> MIN(K31:K32)</f>
        <v>0</v>
      </c>
      <c r="L33" s="85">
        <f t="shared" si="95"/>
        <v>0</v>
      </c>
      <c r="M33" s="85">
        <f t="shared" si="95"/>
        <v>0</v>
      </c>
      <c r="N33" s="85">
        <f t="shared" si="95"/>
        <v>0</v>
      </c>
      <c r="O33" s="85">
        <f t="shared" si="95"/>
        <v>7308.9143252153372</v>
      </c>
      <c r="P33" s="85">
        <f t="shared" si="95"/>
        <v>3336.0588130824544</v>
      </c>
      <c r="Q33" s="85">
        <f t="shared" si="95"/>
        <v>0</v>
      </c>
      <c r="R33" s="85">
        <f t="shared" si="95"/>
        <v>111.11385796345348</v>
      </c>
      <c r="S33" s="85">
        <f t="shared" si="95"/>
        <v>0</v>
      </c>
      <c r="T33" s="85">
        <f t="shared" si="95"/>
        <v>73.927990162585047</v>
      </c>
      <c r="U33" s="85">
        <f t="shared" si="95"/>
        <v>0</v>
      </c>
      <c r="V33" s="85">
        <f t="shared" si="95"/>
        <v>66.884539828421111</v>
      </c>
      <c r="W33" s="85">
        <f t="shared" si="95"/>
        <v>195.99832642362526</v>
      </c>
      <c r="X33" s="85">
        <f t="shared" si="95"/>
        <v>0</v>
      </c>
      <c r="Y33" s="85">
        <f t="shared" si="95"/>
        <v>0</v>
      </c>
      <c r="Z33" s="85">
        <f t="shared" si="95"/>
        <v>68.514295804940048</v>
      </c>
      <c r="AA33" s="85">
        <f t="shared" si="95"/>
        <v>0</v>
      </c>
      <c r="AB33" s="85">
        <f t="shared" si="95"/>
        <v>84.085726669698488</v>
      </c>
      <c r="AC33" s="85">
        <f t="shared" si="95"/>
        <v>258.19530079482502</v>
      </c>
      <c r="AD33" s="85">
        <f t="shared" si="95"/>
        <v>114.06678215853026</v>
      </c>
      <c r="AE33" s="85">
        <f t="shared" si="95"/>
        <v>0</v>
      </c>
      <c r="AF33" s="85">
        <f t="shared" si="95"/>
        <v>126.03984091671737</v>
      </c>
      <c r="AG33" s="85">
        <f t="shared" si="95"/>
        <v>0</v>
      </c>
      <c r="AH33" s="85">
        <f t="shared" si="95"/>
        <v>8.4392314427641395</v>
      </c>
      <c r="AI33" s="85">
        <f t="shared" si="95"/>
        <v>0</v>
      </c>
      <c r="AJ33" s="85">
        <f t="shared" si="95"/>
        <v>145.21771198694114</v>
      </c>
      <c r="AK33" s="85">
        <f t="shared" si="95"/>
        <v>0</v>
      </c>
      <c r="AL33" s="85">
        <f t="shared" si="95"/>
        <v>152.94695072706236</v>
      </c>
      <c r="AM33" s="85">
        <f t="shared" si="95"/>
        <v>176.59454858437675</v>
      </c>
      <c r="AN33" s="85">
        <f t="shared" si="95"/>
        <v>178.95850156021697</v>
      </c>
      <c r="AO33" s="85">
        <f t="shared" si="95"/>
        <v>0</v>
      </c>
      <c r="AP33" s="85">
        <f t="shared" si="95"/>
        <v>185.73570463088618</v>
      </c>
      <c r="AQ33" s="85">
        <f t="shared" si="95"/>
        <v>0</v>
      </c>
      <c r="AR33" s="85">
        <f t="shared" si="95"/>
        <v>189.08396567175805</v>
      </c>
      <c r="AS33" s="85">
        <f t="shared" si="95"/>
        <v>0</v>
      </c>
      <c r="AT33" s="85">
        <f t="shared" si="95"/>
        <v>195.18344843536033</v>
      </c>
      <c r="AU33" s="85">
        <f t="shared" si="95"/>
        <v>0</v>
      </c>
      <c r="AV33" s="85">
        <f t="shared" si="95"/>
        <v>197.3053584443951</v>
      </c>
      <c r="AW33" s="85">
        <f t="shared" si="95"/>
        <v>277.47805715067079</v>
      </c>
      <c r="AX33" s="85">
        <f t="shared" si="95"/>
        <v>223.76065471669426</v>
      </c>
      <c r="AY33" s="85">
        <f t="shared" si="95"/>
        <v>0</v>
      </c>
      <c r="AZ33" s="85">
        <f t="shared" si="95"/>
        <v>222.18737543243333</v>
      </c>
      <c r="BA33" s="85">
        <f t="shared" si="95"/>
        <v>0</v>
      </c>
      <c r="BB33" s="85">
        <f t="shared" si="95"/>
        <v>0</v>
      </c>
      <c r="BC33" s="85">
        <f t="shared" si="95"/>
        <v>0</v>
      </c>
      <c r="BD33" s="85">
        <f t="shared" si="95"/>
        <v>0</v>
      </c>
      <c r="BE33" s="85">
        <f t="shared" si="95"/>
        <v>0</v>
      </c>
      <c r="BF33" s="85">
        <f t="shared" si="95"/>
        <v>0</v>
      </c>
      <c r="BG33" s="85">
        <f t="shared" si="95"/>
        <v>0</v>
      </c>
      <c r="BH33" s="85">
        <f t="shared" si="95"/>
        <v>0</v>
      </c>
      <c r="BI33" s="85">
        <f t="shared" si="95"/>
        <v>0</v>
      </c>
      <c r="BJ33" s="85">
        <f t="shared" si="95"/>
        <v>0</v>
      </c>
      <c r="BK33" s="85">
        <f t="shared" si="95"/>
        <v>0</v>
      </c>
      <c r="BL33" s="85">
        <f t="shared" si="95"/>
        <v>0</v>
      </c>
      <c r="BM33" s="85">
        <f t="shared" si="95"/>
        <v>0</v>
      </c>
      <c r="BN33" s="85">
        <f t="shared" si="95"/>
        <v>0</v>
      </c>
      <c r="BO33" s="85">
        <f t="shared" si="95"/>
        <v>0</v>
      </c>
      <c r="BP33" s="85">
        <f t="shared" si="95"/>
        <v>0</v>
      </c>
      <c r="BQ33" s="85">
        <f t="shared" si="95"/>
        <v>0</v>
      </c>
      <c r="BR33" s="85">
        <f t="shared" si="95"/>
        <v>0</v>
      </c>
      <c r="BS33" s="85">
        <f t="shared" si="95"/>
        <v>0</v>
      </c>
      <c r="BT33" s="85">
        <f t="shared" si="95"/>
        <v>0</v>
      </c>
      <c r="BU33" s="85">
        <f t="shared" si="95"/>
        <v>0</v>
      </c>
      <c r="BV33" s="85">
        <f t="shared" si="95"/>
        <v>0</v>
      </c>
      <c r="BW33" s="85">
        <f t="shared" ref="BW33:CA33" si="96" xml:space="preserve"> MIN(BW31:BW32)</f>
        <v>0</v>
      </c>
      <c r="BX33" s="85">
        <f t="shared" si="96"/>
        <v>0</v>
      </c>
      <c r="BY33" s="85">
        <f t="shared" si="96"/>
        <v>0</v>
      </c>
      <c r="BZ33" s="85">
        <f t="shared" si="96"/>
        <v>0</v>
      </c>
      <c r="CA33" s="85">
        <f t="shared" si="96"/>
        <v>0</v>
      </c>
    </row>
    <row r="34" spans="1:79" s="140" customFormat="1" x14ac:dyDescent="0.2">
      <c r="A34" s="137"/>
      <c r="B34" s="137"/>
      <c r="C34" s="138"/>
      <c r="D34" s="139"/>
      <c r="E34" s="140" t="str">
        <f xml:space="preserve"> LEFT(E33, LEN(E33) - 4)</f>
        <v>Senior DSRA deposits</v>
      </c>
      <c r="G34" s="140">
        <f xml:space="preserve"> G33</f>
        <v>0</v>
      </c>
      <c r="H34" s="140">
        <f>SUM(J34:CA34)</f>
        <v>-13896.691307804147</v>
      </c>
      <c r="J34" s="140">
        <f t="shared" ref="J34:BU34" si="97" xml:space="preserve"> -1 * J33</f>
        <v>0</v>
      </c>
      <c r="K34" s="140">
        <f t="shared" si="97"/>
        <v>0</v>
      </c>
      <c r="L34" s="140">
        <f t="shared" si="97"/>
        <v>0</v>
      </c>
      <c r="M34" s="140">
        <f t="shared" si="97"/>
        <v>0</v>
      </c>
      <c r="N34" s="140">
        <f t="shared" si="97"/>
        <v>0</v>
      </c>
      <c r="O34" s="140">
        <f t="shared" si="97"/>
        <v>-7308.9143252153372</v>
      </c>
      <c r="P34" s="140">
        <f t="shared" si="97"/>
        <v>-3336.0588130824544</v>
      </c>
      <c r="Q34" s="140">
        <f t="shared" si="97"/>
        <v>0</v>
      </c>
      <c r="R34" s="140">
        <f t="shared" si="97"/>
        <v>-111.11385796345348</v>
      </c>
      <c r="S34" s="140">
        <f t="shared" si="97"/>
        <v>0</v>
      </c>
      <c r="T34" s="140">
        <f t="shared" si="97"/>
        <v>-73.927990162585047</v>
      </c>
      <c r="U34" s="140">
        <f t="shared" si="97"/>
        <v>0</v>
      </c>
      <c r="V34" s="140">
        <f t="shared" si="97"/>
        <v>-66.884539828421111</v>
      </c>
      <c r="W34" s="140">
        <f t="shared" si="97"/>
        <v>-195.99832642362526</v>
      </c>
      <c r="X34" s="140">
        <f t="shared" si="97"/>
        <v>0</v>
      </c>
      <c r="Y34" s="140">
        <f t="shared" si="97"/>
        <v>0</v>
      </c>
      <c r="Z34" s="140">
        <f t="shared" si="97"/>
        <v>-68.514295804940048</v>
      </c>
      <c r="AA34" s="140">
        <f t="shared" si="97"/>
        <v>0</v>
      </c>
      <c r="AB34" s="140">
        <f t="shared" si="97"/>
        <v>-84.085726669698488</v>
      </c>
      <c r="AC34" s="140">
        <f t="shared" si="97"/>
        <v>-258.19530079482502</v>
      </c>
      <c r="AD34" s="140">
        <f t="shared" si="97"/>
        <v>-114.06678215853026</v>
      </c>
      <c r="AE34" s="140">
        <f t="shared" si="97"/>
        <v>0</v>
      </c>
      <c r="AF34" s="140">
        <f t="shared" si="97"/>
        <v>-126.03984091671737</v>
      </c>
      <c r="AG34" s="140">
        <f t="shared" si="97"/>
        <v>0</v>
      </c>
      <c r="AH34" s="140">
        <f t="shared" si="97"/>
        <v>-8.4392314427641395</v>
      </c>
      <c r="AI34" s="140">
        <f t="shared" si="97"/>
        <v>0</v>
      </c>
      <c r="AJ34" s="140">
        <f t="shared" si="97"/>
        <v>-145.21771198694114</v>
      </c>
      <c r="AK34" s="140">
        <f t="shared" si="97"/>
        <v>0</v>
      </c>
      <c r="AL34" s="140">
        <f t="shared" si="97"/>
        <v>-152.94695072706236</v>
      </c>
      <c r="AM34" s="140">
        <f t="shared" si="97"/>
        <v>-176.59454858437675</v>
      </c>
      <c r="AN34" s="140">
        <f t="shared" si="97"/>
        <v>-178.95850156021697</v>
      </c>
      <c r="AO34" s="140">
        <f t="shared" si="97"/>
        <v>0</v>
      </c>
      <c r="AP34" s="140">
        <f t="shared" si="97"/>
        <v>-185.73570463088618</v>
      </c>
      <c r="AQ34" s="140">
        <f t="shared" si="97"/>
        <v>0</v>
      </c>
      <c r="AR34" s="140">
        <f t="shared" si="97"/>
        <v>-189.08396567175805</v>
      </c>
      <c r="AS34" s="140">
        <f t="shared" si="97"/>
        <v>0</v>
      </c>
      <c r="AT34" s="140">
        <f t="shared" si="97"/>
        <v>-195.18344843536033</v>
      </c>
      <c r="AU34" s="140">
        <f t="shared" si="97"/>
        <v>0</v>
      </c>
      <c r="AV34" s="140">
        <f t="shared" si="97"/>
        <v>-197.3053584443951</v>
      </c>
      <c r="AW34" s="140">
        <f t="shared" si="97"/>
        <v>-277.47805715067079</v>
      </c>
      <c r="AX34" s="140">
        <f t="shared" si="97"/>
        <v>-223.76065471669426</v>
      </c>
      <c r="AY34" s="140">
        <f t="shared" si="97"/>
        <v>0</v>
      </c>
      <c r="AZ34" s="140">
        <f t="shared" si="97"/>
        <v>-222.18737543243333</v>
      </c>
      <c r="BA34" s="140">
        <f t="shared" si="97"/>
        <v>0</v>
      </c>
      <c r="BB34" s="140">
        <f t="shared" si="97"/>
        <v>0</v>
      </c>
      <c r="BC34" s="140">
        <f t="shared" si="97"/>
        <v>0</v>
      </c>
      <c r="BD34" s="140">
        <f t="shared" si="97"/>
        <v>0</v>
      </c>
      <c r="BE34" s="140">
        <f t="shared" si="97"/>
        <v>0</v>
      </c>
      <c r="BF34" s="140">
        <f t="shared" si="97"/>
        <v>0</v>
      </c>
      <c r="BG34" s="140">
        <f t="shared" si="97"/>
        <v>0</v>
      </c>
      <c r="BH34" s="140">
        <f t="shared" si="97"/>
        <v>0</v>
      </c>
      <c r="BI34" s="140">
        <f t="shared" si="97"/>
        <v>0</v>
      </c>
      <c r="BJ34" s="140">
        <f t="shared" si="97"/>
        <v>0</v>
      </c>
      <c r="BK34" s="140">
        <f t="shared" si="97"/>
        <v>0</v>
      </c>
      <c r="BL34" s="140">
        <f t="shared" si="97"/>
        <v>0</v>
      </c>
      <c r="BM34" s="140">
        <f t="shared" si="97"/>
        <v>0</v>
      </c>
      <c r="BN34" s="140">
        <f t="shared" si="97"/>
        <v>0</v>
      </c>
      <c r="BO34" s="140">
        <f t="shared" si="97"/>
        <v>0</v>
      </c>
      <c r="BP34" s="140">
        <f t="shared" si="97"/>
        <v>0</v>
      </c>
      <c r="BQ34" s="140">
        <f t="shared" si="97"/>
        <v>0</v>
      </c>
      <c r="BR34" s="140">
        <f t="shared" si="97"/>
        <v>0</v>
      </c>
      <c r="BS34" s="140">
        <f t="shared" si="97"/>
        <v>0</v>
      </c>
      <c r="BT34" s="140">
        <f t="shared" si="97"/>
        <v>0</v>
      </c>
      <c r="BU34" s="140">
        <f t="shared" si="97"/>
        <v>0</v>
      </c>
      <c r="BV34" s="140">
        <f t="shared" ref="BV34:CA34" si="98" xml:space="preserve"> -1 * BV33</f>
        <v>0</v>
      </c>
      <c r="BW34" s="140">
        <f t="shared" si="98"/>
        <v>0</v>
      </c>
      <c r="BX34" s="140">
        <f t="shared" si="98"/>
        <v>0</v>
      </c>
      <c r="BY34" s="140">
        <f t="shared" si="98"/>
        <v>0</v>
      </c>
      <c r="BZ34" s="140">
        <f t="shared" si="98"/>
        <v>0</v>
      </c>
      <c r="CA34" s="140">
        <f t="shared" si="98"/>
        <v>0</v>
      </c>
    </row>
    <row r="37" spans="1:79" x14ac:dyDescent="0.2">
      <c r="A37" s="81" t="s">
        <v>328</v>
      </c>
    </row>
    <row r="39" spans="1:79" s="160" customFormat="1" x14ac:dyDescent="0.2">
      <c r="A39" s="157"/>
      <c r="B39" s="157"/>
      <c r="C39" s="158"/>
      <c r="D39" s="159"/>
      <c r="E39" s="160" t="str">
        <f xml:space="preserve"> E$57</f>
        <v>Senior DSRA balance BEG</v>
      </c>
      <c r="F39" s="160">
        <f t="shared" ref="F39:BQ39" si="99" xml:space="preserve"> F$57</f>
        <v>0</v>
      </c>
      <c r="G39" s="160" t="str">
        <f t="shared" si="99"/>
        <v>€ 000s</v>
      </c>
      <c r="H39" s="160">
        <f t="shared" si="99"/>
        <v>0</v>
      </c>
      <c r="I39" s="160">
        <f t="shared" si="99"/>
        <v>0</v>
      </c>
      <c r="J39" s="160">
        <f t="shared" si="99"/>
        <v>0</v>
      </c>
      <c r="K39" s="160">
        <f t="shared" si="99"/>
        <v>0</v>
      </c>
      <c r="L39" s="160">
        <f t="shared" si="99"/>
        <v>0</v>
      </c>
      <c r="M39" s="160">
        <f t="shared" si="99"/>
        <v>0</v>
      </c>
      <c r="N39" s="160">
        <f t="shared" si="99"/>
        <v>0</v>
      </c>
      <c r="O39" s="160">
        <f t="shared" si="99"/>
        <v>8000</v>
      </c>
      <c r="P39" s="160">
        <f t="shared" si="99"/>
        <v>15308.914325215337</v>
      </c>
      <c r="Q39" s="160">
        <f t="shared" si="99"/>
        <v>18644.973138297792</v>
      </c>
      <c r="R39" s="160">
        <f t="shared" si="99"/>
        <v>17479.294210142154</v>
      </c>
      <c r="S39" s="160">
        <f t="shared" si="99"/>
        <v>17590.408068105608</v>
      </c>
      <c r="T39" s="160">
        <f t="shared" si="99"/>
        <v>17254.65413264605</v>
      </c>
      <c r="U39" s="160">
        <f t="shared" si="99"/>
        <v>17328.582122808635</v>
      </c>
      <c r="V39" s="160">
        <f t="shared" si="99"/>
        <v>17209.0532376991</v>
      </c>
      <c r="W39" s="160">
        <f t="shared" si="99"/>
        <v>17275.937777527521</v>
      </c>
      <c r="X39" s="160">
        <f t="shared" si="99"/>
        <v>17471.936103951146</v>
      </c>
      <c r="Y39" s="160">
        <f t="shared" si="99"/>
        <v>17372.343491207837</v>
      </c>
      <c r="Z39" s="160">
        <f t="shared" si="99"/>
        <v>17186.051087753283</v>
      </c>
      <c r="AA39" s="160">
        <f t="shared" si="99"/>
        <v>17254.565383558223</v>
      </c>
      <c r="AB39" s="160">
        <f t="shared" si="99"/>
        <v>17166.235836870459</v>
      </c>
      <c r="AC39" s="160">
        <f t="shared" si="99"/>
        <v>17250.321563540158</v>
      </c>
      <c r="AD39" s="160">
        <f t="shared" si="99"/>
        <v>17508.516864334983</v>
      </c>
      <c r="AE39" s="160">
        <f t="shared" si="99"/>
        <v>17622.583646493513</v>
      </c>
      <c r="AF39" s="160">
        <f t="shared" si="99"/>
        <v>17533.495698509745</v>
      </c>
      <c r="AG39" s="160">
        <f t="shared" si="99"/>
        <v>17659.535539426462</v>
      </c>
      <c r="AH39" s="160">
        <f t="shared" si="99"/>
        <v>17574.368687505015</v>
      </c>
      <c r="AI39" s="160">
        <f t="shared" si="99"/>
        <v>17582.807918947779</v>
      </c>
      <c r="AJ39" s="160">
        <f t="shared" si="99"/>
        <v>17498.948099047106</v>
      </c>
      <c r="AK39" s="160">
        <f t="shared" si="99"/>
        <v>17644.165811034047</v>
      </c>
      <c r="AL39" s="160">
        <f t="shared" si="99"/>
        <v>17562.952327570492</v>
      </c>
      <c r="AM39" s="160">
        <f t="shared" si="99"/>
        <v>17715.899278297555</v>
      </c>
      <c r="AN39" s="160">
        <f t="shared" si="99"/>
        <v>17892.493826881931</v>
      </c>
      <c r="AO39" s="160">
        <f t="shared" si="99"/>
        <v>18071.452328442148</v>
      </c>
      <c r="AP39" s="160">
        <f t="shared" si="99"/>
        <v>17974.134919586853</v>
      </c>
      <c r="AQ39" s="160">
        <f t="shared" si="99"/>
        <v>18159.87062421774</v>
      </c>
      <c r="AR39" s="160">
        <f t="shared" si="99"/>
        <v>18057.728492224036</v>
      </c>
      <c r="AS39" s="160">
        <f t="shared" si="99"/>
        <v>18246.812457895794</v>
      </c>
      <c r="AT39" s="160">
        <f t="shared" si="99"/>
        <v>18142.871139848805</v>
      </c>
      <c r="AU39" s="160">
        <f t="shared" si="99"/>
        <v>18338.054588284165</v>
      </c>
      <c r="AV39" s="160">
        <f t="shared" si="99"/>
        <v>18228.336511429316</v>
      </c>
      <c r="AW39" s="160">
        <f t="shared" si="99"/>
        <v>18425.641869873711</v>
      </c>
      <c r="AX39" s="160">
        <f t="shared" si="99"/>
        <v>18703.119927024381</v>
      </c>
      <c r="AY39" s="160">
        <f t="shared" si="99"/>
        <v>18926.880581741076</v>
      </c>
      <c r="AZ39" s="160">
        <f t="shared" si="99"/>
        <v>18781.340145798389</v>
      </c>
      <c r="BA39" s="160">
        <f t="shared" si="99"/>
        <v>19003.527521230822</v>
      </c>
      <c r="BB39" s="160">
        <f t="shared" si="99"/>
        <v>18850.717728184958</v>
      </c>
      <c r="BC39" s="160">
        <f t="shared" si="99"/>
        <v>0</v>
      </c>
      <c r="BD39" s="160">
        <f t="shared" si="99"/>
        <v>0</v>
      </c>
      <c r="BE39" s="160">
        <f t="shared" si="99"/>
        <v>0</v>
      </c>
      <c r="BF39" s="160">
        <f t="shared" si="99"/>
        <v>0</v>
      </c>
      <c r="BG39" s="160">
        <f t="shared" si="99"/>
        <v>0</v>
      </c>
      <c r="BH39" s="160">
        <f t="shared" si="99"/>
        <v>0</v>
      </c>
      <c r="BI39" s="160">
        <f t="shared" si="99"/>
        <v>0</v>
      </c>
      <c r="BJ39" s="160">
        <f t="shared" si="99"/>
        <v>0</v>
      </c>
      <c r="BK39" s="160">
        <f t="shared" si="99"/>
        <v>0</v>
      </c>
      <c r="BL39" s="160">
        <f t="shared" si="99"/>
        <v>0</v>
      </c>
      <c r="BM39" s="160">
        <f t="shared" si="99"/>
        <v>0</v>
      </c>
      <c r="BN39" s="160">
        <f t="shared" si="99"/>
        <v>0</v>
      </c>
      <c r="BO39" s="160">
        <f t="shared" si="99"/>
        <v>0</v>
      </c>
      <c r="BP39" s="160">
        <f t="shared" si="99"/>
        <v>0</v>
      </c>
      <c r="BQ39" s="160">
        <f t="shared" si="99"/>
        <v>0</v>
      </c>
      <c r="BR39" s="160">
        <f t="shared" ref="BR39:CA39" si="100" xml:space="preserve"> BR$57</f>
        <v>0</v>
      </c>
      <c r="BS39" s="160">
        <f t="shared" si="100"/>
        <v>0</v>
      </c>
      <c r="BT39" s="160">
        <f t="shared" si="100"/>
        <v>0</v>
      </c>
      <c r="BU39" s="160">
        <f t="shared" si="100"/>
        <v>0</v>
      </c>
      <c r="BV39" s="160">
        <f t="shared" si="100"/>
        <v>0</v>
      </c>
      <c r="BW39" s="160">
        <f t="shared" si="100"/>
        <v>0</v>
      </c>
      <c r="BX39" s="160">
        <f t="shared" si="100"/>
        <v>0</v>
      </c>
      <c r="BY39" s="160">
        <f t="shared" si="100"/>
        <v>0</v>
      </c>
      <c r="BZ39" s="160">
        <f t="shared" si="100"/>
        <v>0</v>
      </c>
      <c r="CA39" s="160">
        <f t="shared" si="100"/>
        <v>0</v>
      </c>
    </row>
    <row r="40" spans="1:79" x14ac:dyDescent="0.2">
      <c r="E40" s="85" t="str">
        <f>E$26</f>
        <v>Senior debt service shortfall amount</v>
      </c>
      <c r="F40" s="85">
        <f t="shared" ref="F40:BQ40" si="101">F$26</f>
        <v>0</v>
      </c>
      <c r="G40" s="85">
        <f t="shared" si="101"/>
        <v>0</v>
      </c>
      <c r="H40" s="85">
        <f t="shared" si="101"/>
        <v>0</v>
      </c>
      <c r="I40" s="85">
        <f t="shared" si="101"/>
        <v>0</v>
      </c>
      <c r="J40" s="85">
        <f t="shared" si="101"/>
        <v>0</v>
      </c>
      <c r="K40" s="85">
        <f t="shared" si="101"/>
        <v>0</v>
      </c>
      <c r="L40" s="85">
        <f t="shared" si="101"/>
        <v>0</v>
      </c>
      <c r="M40" s="85">
        <f t="shared" si="101"/>
        <v>0</v>
      </c>
      <c r="N40" s="85">
        <f t="shared" si="101"/>
        <v>0</v>
      </c>
      <c r="O40" s="85">
        <f t="shared" si="101"/>
        <v>0</v>
      </c>
      <c r="P40" s="85">
        <f t="shared" si="101"/>
        <v>0</v>
      </c>
      <c r="Q40" s="85">
        <f t="shared" si="101"/>
        <v>0</v>
      </c>
      <c r="R40" s="85">
        <f t="shared" si="101"/>
        <v>0</v>
      </c>
      <c r="S40" s="85">
        <f t="shared" si="101"/>
        <v>0</v>
      </c>
      <c r="T40" s="85">
        <f t="shared" si="101"/>
        <v>0</v>
      </c>
      <c r="U40" s="85">
        <f t="shared" si="101"/>
        <v>0</v>
      </c>
      <c r="V40" s="85">
        <f t="shared" si="101"/>
        <v>0</v>
      </c>
      <c r="W40" s="85">
        <f t="shared" si="101"/>
        <v>0</v>
      </c>
      <c r="X40" s="85">
        <f t="shared" si="101"/>
        <v>0</v>
      </c>
      <c r="Y40" s="85">
        <f t="shared" si="101"/>
        <v>0</v>
      </c>
      <c r="Z40" s="85">
        <f t="shared" si="101"/>
        <v>0</v>
      </c>
      <c r="AA40" s="85">
        <f t="shared" si="101"/>
        <v>0</v>
      </c>
      <c r="AB40" s="85">
        <f t="shared" si="101"/>
        <v>0</v>
      </c>
      <c r="AC40" s="85">
        <f t="shared" si="101"/>
        <v>0</v>
      </c>
      <c r="AD40" s="85">
        <f t="shared" si="101"/>
        <v>0</v>
      </c>
      <c r="AE40" s="85">
        <f t="shared" si="101"/>
        <v>0</v>
      </c>
      <c r="AF40" s="85">
        <f t="shared" si="101"/>
        <v>0</v>
      </c>
      <c r="AG40" s="85">
        <f t="shared" si="101"/>
        <v>0</v>
      </c>
      <c r="AH40" s="85">
        <f t="shared" si="101"/>
        <v>0</v>
      </c>
      <c r="AI40" s="85">
        <f t="shared" si="101"/>
        <v>0</v>
      </c>
      <c r="AJ40" s="85">
        <f t="shared" si="101"/>
        <v>0</v>
      </c>
      <c r="AK40" s="85">
        <f t="shared" si="101"/>
        <v>0</v>
      </c>
      <c r="AL40" s="85">
        <f t="shared" si="101"/>
        <v>0</v>
      </c>
      <c r="AM40" s="85">
        <f t="shared" si="101"/>
        <v>0</v>
      </c>
      <c r="AN40" s="85">
        <f t="shared" si="101"/>
        <v>0</v>
      </c>
      <c r="AO40" s="85">
        <f t="shared" si="101"/>
        <v>0</v>
      </c>
      <c r="AP40" s="85">
        <f t="shared" si="101"/>
        <v>0</v>
      </c>
      <c r="AQ40" s="85">
        <f t="shared" si="101"/>
        <v>0</v>
      </c>
      <c r="AR40" s="85">
        <f t="shared" si="101"/>
        <v>0</v>
      </c>
      <c r="AS40" s="85">
        <f t="shared" si="101"/>
        <v>0</v>
      </c>
      <c r="AT40" s="85">
        <f t="shared" si="101"/>
        <v>0</v>
      </c>
      <c r="AU40" s="85">
        <f t="shared" si="101"/>
        <v>0</v>
      </c>
      <c r="AV40" s="85">
        <f t="shared" si="101"/>
        <v>0</v>
      </c>
      <c r="AW40" s="85">
        <f t="shared" si="101"/>
        <v>0</v>
      </c>
      <c r="AX40" s="85">
        <f t="shared" si="101"/>
        <v>0</v>
      </c>
      <c r="AY40" s="85">
        <f t="shared" si="101"/>
        <v>0</v>
      </c>
      <c r="AZ40" s="85">
        <f t="shared" si="101"/>
        <v>0</v>
      </c>
      <c r="BA40" s="85">
        <f t="shared" si="101"/>
        <v>0</v>
      </c>
      <c r="BB40" s="85">
        <f t="shared" si="101"/>
        <v>0</v>
      </c>
      <c r="BC40" s="85">
        <f t="shared" si="101"/>
        <v>0</v>
      </c>
      <c r="BD40" s="85">
        <f t="shared" si="101"/>
        <v>0</v>
      </c>
      <c r="BE40" s="85">
        <f t="shared" si="101"/>
        <v>0</v>
      </c>
      <c r="BF40" s="85">
        <f t="shared" si="101"/>
        <v>0</v>
      </c>
      <c r="BG40" s="85">
        <f t="shared" si="101"/>
        <v>0</v>
      </c>
      <c r="BH40" s="85">
        <f t="shared" si="101"/>
        <v>0</v>
      </c>
      <c r="BI40" s="85">
        <f t="shared" si="101"/>
        <v>0</v>
      </c>
      <c r="BJ40" s="85">
        <f t="shared" si="101"/>
        <v>0</v>
      </c>
      <c r="BK40" s="85">
        <f t="shared" si="101"/>
        <v>0</v>
      </c>
      <c r="BL40" s="85">
        <f t="shared" si="101"/>
        <v>0</v>
      </c>
      <c r="BM40" s="85">
        <f t="shared" si="101"/>
        <v>0</v>
      </c>
      <c r="BN40" s="85">
        <f t="shared" si="101"/>
        <v>0</v>
      </c>
      <c r="BO40" s="85">
        <f t="shared" si="101"/>
        <v>0</v>
      </c>
      <c r="BP40" s="85">
        <f t="shared" si="101"/>
        <v>0</v>
      </c>
      <c r="BQ40" s="85">
        <f t="shared" si="101"/>
        <v>0</v>
      </c>
      <c r="BR40" s="85">
        <f t="shared" ref="BR40:CA40" si="102">BR$26</f>
        <v>0</v>
      </c>
      <c r="BS40" s="85">
        <f t="shared" si="102"/>
        <v>0</v>
      </c>
      <c r="BT40" s="85">
        <f t="shared" si="102"/>
        <v>0</v>
      </c>
      <c r="BU40" s="85">
        <f t="shared" si="102"/>
        <v>0</v>
      </c>
      <c r="BV40" s="85">
        <f t="shared" si="102"/>
        <v>0</v>
      </c>
      <c r="BW40" s="85">
        <f t="shared" si="102"/>
        <v>0</v>
      </c>
      <c r="BX40" s="85">
        <f t="shared" si="102"/>
        <v>0</v>
      </c>
      <c r="BY40" s="85">
        <f t="shared" si="102"/>
        <v>0</v>
      </c>
      <c r="BZ40" s="85">
        <f t="shared" si="102"/>
        <v>0</v>
      </c>
      <c r="CA40" s="85">
        <f t="shared" si="102"/>
        <v>0</v>
      </c>
    </row>
    <row r="41" spans="1:79" x14ac:dyDescent="0.2">
      <c r="E41" s="85" t="s">
        <v>332</v>
      </c>
      <c r="H41" s="85">
        <f>SUM(J41:CA41)</f>
        <v>0</v>
      </c>
      <c r="J41" s="85">
        <f xml:space="preserve"> MIN(J39:J40)</f>
        <v>0</v>
      </c>
      <c r="K41" s="85">
        <f t="shared" ref="K41:BV41" si="103" xml:space="preserve"> MIN(K39:K40)</f>
        <v>0</v>
      </c>
      <c r="L41" s="85">
        <f t="shared" si="103"/>
        <v>0</v>
      </c>
      <c r="M41" s="85">
        <f t="shared" si="103"/>
        <v>0</v>
      </c>
      <c r="N41" s="85">
        <f t="shared" si="103"/>
        <v>0</v>
      </c>
      <c r="O41" s="85">
        <f t="shared" si="103"/>
        <v>0</v>
      </c>
      <c r="P41" s="85">
        <f t="shared" si="103"/>
        <v>0</v>
      </c>
      <c r="Q41" s="85">
        <f t="shared" si="103"/>
        <v>0</v>
      </c>
      <c r="R41" s="85">
        <f t="shared" si="103"/>
        <v>0</v>
      </c>
      <c r="S41" s="85">
        <f t="shared" si="103"/>
        <v>0</v>
      </c>
      <c r="T41" s="85">
        <f t="shared" si="103"/>
        <v>0</v>
      </c>
      <c r="U41" s="85">
        <f t="shared" si="103"/>
        <v>0</v>
      </c>
      <c r="V41" s="85">
        <f t="shared" si="103"/>
        <v>0</v>
      </c>
      <c r="W41" s="85">
        <f t="shared" si="103"/>
        <v>0</v>
      </c>
      <c r="X41" s="85">
        <f t="shared" si="103"/>
        <v>0</v>
      </c>
      <c r="Y41" s="85">
        <f t="shared" si="103"/>
        <v>0</v>
      </c>
      <c r="Z41" s="85">
        <f t="shared" si="103"/>
        <v>0</v>
      </c>
      <c r="AA41" s="85">
        <f t="shared" si="103"/>
        <v>0</v>
      </c>
      <c r="AB41" s="85">
        <f t="shared" si="103"/>
        <v>0</v>
      </c>
      <c r="AC41" s="85">
        <f t="shared" si="103"/>
        <v>0</v>
      </c>
      <c r="AD41" s="85">
        <f t="shared" si="103"/>
        <v>0</v>
      </c>
      <c r="AE41" s="85">
        <f t="shared" si="103"/>
        <v>0</v>
      </c>
      <c r="AF41" s="85">
        <f t="shared" si="103"/>
        <v>0</v>
      </c>
      <c r="AG41" s="85">
        <f t="shared" si="103"/>
        <v>0</v>
      </c>
      <c r="AH41" s="85">
        <f t="shared" si="103"/>
        <v>0</v>
      </c>
      <c r="AI41" s="85">
        <f t="shared" si="103"/>
        <v>0</v>
      </c>
      <c r="AJ41" s="85">
        <f t="shared" si="103"/>
        <v>0</v>
      </c>
      <c r="AK41" s="85">
        <f t="shared" si="103"/>
        <v>0</v>
      </c>
      <c r="AL41" s="85">
        <f t="shared" si="103"/>
        <v>0</v>
      </c>
      <c r="AM41" s="85">
        <f t="shared" si="103"/>
        <v>0</v>
      </c>
      <c r="AN41" s="85">
        <f t="shared" si="103"/>
        <v>0</v>
      </c>
      <c r="AO41" s="85">
        <f t="shared" si="103"/>
        <v>0</v>
      </c>
      <c r="AP41" s="85">
        <f t="shared" si="103"/>
        <v>0</v>
      </c>
      <c r="AQ41" s="85">
        <f t="shared" si="103"/>
        <v>0</v>
      </c>
      <c r="AR41" s="85">
        <f t="shared" si="103"/>
        <v>0</v>
      </c>
      <c r="AS41" s="85">
        <f t="shared" si="103"/>
        <v>0</v>
      </c>
      <c r="AT41" s="85">
        <f t="shared" si="103"/>
        <v>0</v>
      </c>
      <c r="AU41" s="85">
        <f t="shared" si="103"/>
        <v>0</v>
      </c>
      <c r="AV41" s="85">
        <f t="shared" si="103"/>
        <v>0</v>
      </c>
      <c r="AW41" s="85">
        <f t="shared" si="103"/>
        <v>0</v>
      </c>
      <c r="AX41" s="85">
        <f t="shared" si="103"/>
        <v>0</v>
      </c>
      <c r="AY41" s="85">
        <f t="shared" si="103"/>
        <v>0</v>
      </c>
      <c r="AZ41" s="85">
        <f t="shared" si="103"/>
        <v>0</v>
      </c>
      <c r="BA41" s="85">
        <f t="shared" si="103"/>
        <v>0</v>
      </c>
      <c r="BB41" s="85">
        <f t="shared" si="103"/>
        <v>0</v>
      </c>
      <c r="BC41" s="85">
        <f t="shared" si="103"/>
        <v>0</v>
      </c>
      <c r="BD41" s="85">
        <f t="shared" si="103"/>
        <v>0</v>
      </c>
      <c r="BE41" s="85">
        <f t="shared" si="103"/>
        <v>0</v>
      </c>
      <c r="BF41" s="85">
        <f t="shared" si="103"/>
        <v>0</v>
      </c>
      <c r="BG41" s="85">
        <f t="shared" si="103"/>
        <v>0</v>
      </c>
      <c r="BH41" s="85">
        <f t="shared" si="103"/>
        <v>0</v>
      </c>
      <c r="BI41" s="85">
        <f t="shared" si="103"/>
        <v>0</v>
      </c>
      <c r="BJ41" s="85">
        <f t="shared" si="103"/>
        <v>0</v>
      </c>
      <c r="BK41" s="85">
        <f t="shared" si="103"/>
        <v>0</v>
      </c>
      <c r="BL41" s="85">
        <f t="shared" si="103"/>
        <v>0</v>
      </c>
      <c r="BM41" s="85">
        <f t="shared" si="103"/>
        <v>0</v>
      </c>
      <c r="BN41" s="85">
        <f t="shared" si="103"/>
        <v>0</v>
      </c>
      <c r="BO41" s="85">
        <f t="shared" si="103"/>
        <v>0</v>
      </c>
      <c r="BP41" s="85">
        <f t="shared" si="103"/>
        <v>0</v>
      </c>
      <c r="BQ41" s="85">
        <f t="shared" si="103"/>
        <v>0</v>
      </c>
      <c r="BR41" s="85">
        <f t="shared" si="103"/>
        <v>0</v>
      </c>
      <c r="BS41" s="85">
        <f t="shared" si="103"/>
        <v>0</v>
      </c>
      <c r="BT41" s="85">
        <f t="shared" si="103"/>
        <v>0</v>
      </c>
      <c r="BU41" s="85">
        <f t="shared" si="103"/>
        <v>0</v>
      </c>
      <c r="BV41" s="85">
        <f t="shared" si="103"/>
        <v>0</v>
      </c>
      <c r="BW41" s="85">
        <f t="shared" ref="BW41:CA41" si="104" xml:space="preserve"> MIN(BW39:BW40)</f>
        <v>0</v>
      </c>
      <c r="BX41" s="85">
        <f t="shared" si="104"/>
        <v>0</v>
      </c>
      <c r="BY41" s="85">
        <f t="shared" si="104"/>
        <v>0</v>
      </c>
      <c r="BZ41" s="85">
        <f t="shared" si="104"/>
        <v>0</v>
      </c>
      <c r="CA41" s="85">
        <f t="shared" si="104"/>
        <v>0</v>
      </c>
    </row>
    <row r="43" spans="1:79" x14ac:dyDescent="0.2">
      <c r="E43" s="85" t="str">
        <f xml:space="preserve"> E$41</f>
        <v>Senior DSRA shortfall withdrawals</v>
      </c>
      <c r="F43" s="85">
        <f t="shared" ref="F43:BQ43" si="105" xml:space="preserve"> F$41</f>
        <v>0</v>
      </c>
      <c r="G43" s="85">
        <f t="shared" si="105"/>
        <v>0</v>
      </c>
      <c r="H43" s="85">
        <f t="shared" si="105"/>
        <v>0</v>
      </c>
      <c r="I43" s="85">
        <f t="shared" si="105"/>
        <v>0</v>
      </c>
      <c r="J43" s="85">
        <f t="shared" si="105"/>
        <v>0</v>
      </c>
      <c r="K43" s="85">
        <f t="shared" si="105"/>
        <v>0</v>
      </c>
      <c r="L43" s="85">
        <f t="shared" si="105"/>
        <v>0</v>
      </c>
      <c r="M43" s="85">
        <f t="shared" si="105"/>
        <v>0</v>
      </c>
      <c r="N43" s="85">
        <f t="shared" si="105"/>
        <v>0</v>
      </c>
      <c r="O43" s="85">
        <f t="shared" si="105"/>
        <v>0</v>
      </c>
      <c r="P43" s="85">
        <f t="shared" si="105"/>
        <v>0</v>
      </c>
      <c r="Q43" s="85">
        <f t="shared" si="105"/>
        <v>0</v>
      </c>
      <c r="R43" s="85">
        <f t="shared" si="105"/>
        <v>0</v>
      </c>
      <c r="S43" s="85">
        <f t="shared" si="105"/>
        <v>0</v>
      </c>
      <c r="T43" s="85">
        <f t="shared" si="105"/>
        <v>0</v>
      </c>
      <c r="U43" s="85">
        <f t="shared" si="105"/>
        <v>0</v>
      </c>
      <c r="V43" s="85">
        <f t="shared" si="105"/>
        <v>0</v>
      </c>
      <c r="W43" s="85">
        <f t="shared" si="105"/>
        <v>0</v>
      </c>
      <c r="X43" s="85">
        <f t="shared" si="105"/>
        <v>0</v>
      </c>
      <c r="Y43" s="85">
        <f t="shared" si="105"/>
        <v>0</v>
      </c>
      <c r="Z43" s="85">
        <f t="shared" si="105"/>
        <v>0</v>
      </c>
      <c r="AA43" s="85">
        <f t="shared" si="105"/>
        <v>0</v>
      </c>
      <c r="AB43" s="85">
        <f t="shared" si="105"/>
        <v>0</v>
      </c>
      <c r="AC43" s="85">
        <f t="shared" si="105"/>
        <v>0</v>
      </c>
      <c r="AD43" s="85">
        <f t="shared" si="105"/>
        <v>0</v>
      </c>
      <c r="AE43" s="85">
        <f t="shared" si="105"/>
        <v>0</v>
      </c>
      <c r="AF43" s="85">
        <f t="shared" si="105"/>
        <v>0</v>
      </c>
      <c r="AG43" s="85">
        <f t="shared" si="105"/>
        <v>0</v>
      </c>
      <c r="AH43" s="85">
        <f t="shared" si="105"/>
        <v>0</v>
      </c>
      <c r="AI43" s="85">
        <f t="shared" si="105"/>
        <v>0</v>
      </c>
      <c r="AJ43" s="85">
        <f t="shared" si="105"/>
        <v>0</v>
      </c>
      <c r="AK43" s="85">
        <f t="shared" si="105"/>
        <v>0</v>
      </c>
      <c r="AL43" s="85">
        <f t="shared" si="105"/>
        <v>0</v>
      </c>
      <c r="AM43" s="85">
        <f t="shared" si="105"/>
        <v>0</v>
      </c>
      <c r="AN43" s="85">
        <f t="shared" si="105"/>
        <v>0</v>
      </c>
      <c r="AO43" s="85">
        <f t="shared" si="105"/>
        <v>0</v>
      </c>
      <c r="AP43" s="85">
        <f t="shared" si="105"/>
        <v>0</v>
      </c>
      <c r="AQ43" s="85">
        <f t="shared" si="105"/>
        <v>0</v>
      </c>
      <c r="AR43" s="85">
        <f t="shared" si="105"/>
        <v>0</v>
      </c>
      <c r="AS43" s="85">
        <f t="shared" si="105"/>
        <v>0</v>
      </c>
      <c r="AT43" s="85">
        <f t="shared" si="105"/>
        <v>0</v>
      </c>
      <c r="AU43" s="85">
        <f t="shared" si="105"/>
        <v>0</v>
      </c>
      <c r="AV43" s="85">
        <f t="shared" si="105"/>
        <v>0</v>
      </c>
      <c r="AW43" s="85">
        <f t="shared" si="105"/>
        <v>0</v>
      </c>
      <c r="AX43" s="85">
        <f t="shared" si="105"/>
        <v>0</v>
      </c>
      <c r="AY43" s="85">
        <f t="shared" si="105"/>
        <v>0</v>
      </c>
      <c r="AZ43" s="85">
        <f t="shared" si="105"/>
        <v>0</v>
      </c>
      <c r="BA43" s="85">
        <f t="shared" si="105"/>
        <v>0</v>
      </c>
      <c r="BB43" s="85">
        <f t="shared" si="105"/>
        <v>0</v>
      </c>
      <c r="BC43" s="85">
        <f t="shared" si="105"/>
        <v>0</v>
      </c>
      <c r="BD43" s="85">
        <f t="shared" si="105"/>
        <v>0</v>
      </c>
      <c r="BE43" s="85">
        <f t="shared" si="105"/>
        <v>0</v>
      </c>
      <c r="BF43" s="85">
        <f t="shared" si="105"/>
        <v>0</v>
      </c>
      <c r="BG43" s="85">
        <f t="shared" si="105"/>
        <v>0</v>
      </c>
      <c r="BH43" s="85">
        <f t="shared" si="105"/>
        <v>0</v>
      </c>
      <c r="BI43" s="85">
        <f t="shared" si="105"/>
        <v>0</v>
      </c>
      <c r="BJ43" s="85">
        <f t="shared" si="105"/>
        <v>0</v>
      </c>
      <c r="BK43" s="85">
        <f t="shared" si="105"/>
        <v>0</v>
      </c>
      <c r="BL43" s="85">
        <f t="shared" si="105"/>
        <v>0</v>
      </c>
      <c r="BM43" s="85">
        <f t="shared" si="105"/>
        <v>0</v>
      </c>
      <c r="BN43" s="85">
        <f t="shared" si="105"/>
        <v>0</v>
      </c>
      <c r="BO43" s="85">
        <f t="shared" si="105"/>
        <v>0</v>
      </c>
      <c r="BP43" s="85">
        <f t="shared" si="105"/>
        <v>0</v>
      </c>
      <c r="BQ43" s="85">
        <f t="shared" si="105"/>
        <v>0</v>
      </c>
      <c r="BR43" s="85">
        <f t="shared" ref="BR43:CA43" si="106" xml:space="preserve"> BR$41</f>
        <v>0</v>
      </c>
      <c r="BS43" s="85">
        <f t="shared" si="106"/>
        <v>0</v>
      </c>
      <c r="BT43" s="85">
        <f t="shared" si="106"/>
        <v>0</v>
      </c>
      <c r="BU43" s="85">
        <f t="shared" si="106"/>
        <v>0</v>
      </c>
      <c r="BV43" s="85">
        <f t="shared" si="106"/>
        <v>0</v>
      </c>
      <c r="BW43" s="85">
        <f t="shared" si="106"/>
        <v>0</v>
      </c>
      <c r="BX43" s="85">
        <f t="shared" si="106"/>
        <v>0</v>
      </c>
      <c r="BY43" s="85">
        <f t="shared" si="106"/>
        <v>0</v>
      </c>
      <c r="BZ43" s="85">
        <f t="shared" si="106"/>
        <v>0</v>
      </c>
      <c r="CA43" s="85">
        <f t="shared" si="106"/>
        <v>0</v>
      </c>
    </row>
    <row r="44" spans="1:79" x14ac:dyDescent="0.2">
      <c r="E44" s="85" t="str">
        <f xml:space="preserve"> E$18</f>
        <v>Senior DSRA releases</v>
      </c>
      <c r="F44" s="85">
        <f t="shared" ref="F44:BQ44" si="107" xml:space="preserve"> F$18</f>
        <v>0</v>
      </c>
      <c r="G44" s="85">
        <f t="shared" si="107"/>
        <v>0</v>
      </c>
      <c r="H44" s="85">
        <f t="shared" si="107"/>
        <v>21896.691307804147</v>
      </c>
      <c r="I44" s="85">
        <f t="shared" si="107"/>
        <v>0</v>
      </c>
      <c r="J44" s="85">
        <f t="shared" si="107"/>
        <v>0</v>
      </c>
      <c r="K44" s="85">
        <f t="shared" si="107"/>
        <v>0</v>
      </c>
      <c r="L44" s="85">
        <f t="shared" si="107"/>
        <v>0</v>
      </c>
      <c r="M44" s="85">
        <f t="shared" si="107"/>
        <v>0</v>
      </c>
      <c r="N44" s="85">
        <f t="shared" si="107"/>
        <v>0</v>
      </c>
      <c r="O44" s="85">
        <f t="shared" si="107"/>
        <v>0</v>
      </c>
      <c r="P44" s="85">
        <f t="shared" si="107"/>
        <v>0</v>
      </c>
      <c r="Q44" s="85">
        <f t="shared" si="107"/>
        <v>1165.6789281556375</v>
      </c>
      <c r="R44" s="85">
        <f t="shared" si="107"/>
        <v>0</v>
      </c>
      <c r="S44" s="85">
        <f t="shared" si="107"/>
        <v>335.7539354595574</v>
      </c>
      <c r="T44" s="85">
        <f t="shared" si="107"/>
        <v>0</v>
      </c>
      <c r="U44" s="85">
        <f t="shared" si="107"/>
        <v>119.52888510953562</v>
      </c>
      <c r="V44" s="85">
        <f t="shared" si="107"/>
        <v>0</v>
      </c>
      <c r="W44" s="85">
        <f t="shared" si="107"/>
        <v>0</v>
      </c>
      <c r="X44" s="85">
        <f t="shared" si="107"/>
        <v>99.592612743308564</v>
      </c>
      <c r="Y44" s="85">
        <f t="shared" si="107"/>
        <v>186.29240345455401</v>
      </c>
      <c r="Z44" s="85">
        <f t="shared" si="107"/>
        <v>0</v>
      </c>
      <c r="AA44" s="85">
        <f t="shared" si="107"/>
        <v>88.329546687764378</v>
      </c>
      <c r="AB44" s="85">
        <f t="shared" si="107"/>
        <v>0</v>
      </c>
      <c r="AC44" s="85">
        <f t="shared" si="107"/>
        <v>0</v>
      </c>
      <c r="AD44" s="85">
        <f t="shared" si="107"/>
        <v>0</v>
      </c>
      <c r="AE44" s="85">
        <f t="shared" si="107"/>
        <v>89.087947983767663</v>
      </c>
      <c r="AF44" s="85">
        <f t="shared" si="107"/>
        <v>0</v>
      </c>
      <c r="AG44" s="85">
        <f t="shared" si="107"/>
        <v>85.166851921447233</v>
      </c>
      <c r="AH44" s="85">
        <f t="shared" si="107"/>
        <v>0</v>
      </c>
      <c r="AI44" s="85">
        <f t="shared" si="107"/>
        <v>83.859819900673756</v>
      </c>
      <c r="AJ44" s="85">
        <f t="shared" si="107"/>
        <v>0</v>
      </c>
      <c r="AK44" s="85">
        <f t="shared" si="107"/>
        <v>81.213483463554439</v>
      </c>
      <c r="AL44" s="85">
        <f t="shared" si="107"/>
        <v>0</v>
      </c>
      <c r="AM44" s="85">
        <f t="shared" si="107"/>
        <v>0</v>
      </c>
      <c r="AN44" s="85">
        <f t="shared" si="107"/>
        <v>0</v>
      </c>
      <c r="AO44" s="85">
        <f t="shared" si="107"/>
        <v>97.317408855295071</v>
      </c>
      <c r="AP44" s="85">
        <f t="shared" si="107"/>
        <v>0</v>
      </c>
      <c r="AQ44" s="85">
        <f t="shared" si="107"/>
        <v>102.14213199370352</v>
      </c>
      <c r="AR44" s="85">
        <f t="shared" si="107"/>
        <v>0</v>
      </c>
      <c r="AS44" s="85">
        <f t="shared" si="107"/>
        <v>103.94131804698918</v>
      </c>
      <c r="AT44" s="85">
        <f t="shared" si="107"/>
        <v>0</v>
      </c>
      <c r="AU44" s="85">
        <f t="shared" si="107"/>
        <v>109.71807685484964</v>
      </c>
      <c r="AV44" s="85">
        <f t="shared" si="107"/>
        <v>0</v>
      </c>
      <c r="AW44" s="85">
        <f t="shared" si="107"/>
        <v>0</v>
      </c>
      <c r="AX44" s="85">
        <f t="shared" si="107"/>
        <v>0</v>
      </c>
      <c r="AY44" s="85">
        <f t="shared" si="107"/>
        <v>145.5404359426866</v>
      </c>
      <c r="AZ44" s="85">
        <f t="shared" si="107"/>
        <v>0</v>
      </c>
      <c r="BA44" s="85">
        <f t="shared" si="107"/>
        <v>152.80979304586435</v>
      </c>
      <c r="BB44" s="85">
        <f t="shared" si="107"/>
        <v>18850.717728184958</v>
      </c>
      <c r="BC44" s="85">
        <f t="shared" si="107"/>
        <v>0</v>
      </c>
      <c r="BD44" s="85">
        <f t="shared" si="107"/>
        <v>0</v>
      </c>
      <c r="BE44" s="85">
        <f t="shared" si="107"/>
        <v>0</v>
      </c>
      <c r="BF44" s="85">
        <f t="shared" si="107"/>
        <v>0</v>
      </c>
      <c r="BG44" s="85">
        <f t="shared" si="107"/>
        <v>0</v>
      </c>
      <c r="BH44" s="85">
        <f t="shared" si="107"/>
        <v>0</v>
      </c>
      <c r="BI44" s="85">
        <f t="shared" si="107"/>
        <v>0</v>
      </c>
      <c r="BJ44" s="85">
        <f t="shared" si="107"/>
        <v>0</v>
      </c>
      <c r="BK44" s="85">
        <f t="shared" si="107"/>
        <v>0</v>
      </c>
      <c r="BL44" s="85">
        <f t="shared" si="107"/>
        <v>0</v>
      </c>
      <c r="BM44" s="85">
        <f t="shared" si="107"/>
        <v>0</v>
      </c>
      <c r="BN44" s="85">
        <f t="shared" si="107"/>
        <v>0</v>
      </c>
      <c r="BO44" s="85">
        <f t="shared" si="107"/>
        <v>0</v>
      </c>
      <c r="BP44" s="85">
        <f t="shared" si="107"/>
        <v>0</v>
      </c>
      <c r="BQ44" s="85">
        <f t="shared" si="107"/>
        <v>0</v>
      </c>
      <c r="BR44" s="85">
        <f t="shared" ref="BR44:CA44" si="108" xml:space="preserve"> BR$18</f>
        <v>0</v>
      </c>
      <c r="BS44" s="85">
        <f t="shared" si="108"/>
        <v>0</v>
      </c>
      <c r="BT44" s="85">
        <f t="shared" si="108"/>
        <v>0</v>
      </c>
      <c r="BU44" s="85">
        <f t="shared" si="108"/>
        <v>0</v>
      </c>
      <c r="BV44" s="85">
        <f t="shared" si="108"/>
        <v>0</v>
      </c>
      <c r="BW44" s="85">
        <f t="shared" si="108"/>
        <v>0</v>
      </c>
      <c r="BX44" s="85">
        <f t="shared" si="108"/>
        <v>0</v>
      </c>
      <c r="BY44" s="85">
        <f t="shared" si="108"/>
        <v>0</v>
      </c>
      <c r="BZ44" s="85">
        <f t="shared" si="108"/>
        <v>0</v>
      </c>
      <c r="CA44" s="85">
        <f t="shared" si="108"/>
        <v>0</v>
      </c>
    </row>
    <row r="45" spans="1:79" s="87" customFormat="1" x14ac:dyDescent="0.2">
      <c r="A45" s="81"/>
      <c r="B45" s="82"/>
      <c r="C45" s="83"/>
      <c r="D45" s="86"/>
      <c r="E45" s="403" t="s">
        <v>334</v>
      </c>
      <c r="H45" s="87">
        <f>SUM(J45:CA45)</f>
        <v>21896.691307804147</v>
      </c>
      <c r="J45" s="87">
        <f xml:space="preserve"> MAX(J43:J44)</f>
        <v>0</v>
      </c>
      <c r="K45" s="87">
        <f t="shared" ref="K45:BV45" si="109" xml:space="preserve"> MAX(K43:K44)</f>
        <v>0</v>
      </c>
      <c r="L45" s="87">
        <f t="shared" si="109"/>
        <v>0</v>
      </c>
      <c r="M45" s="87">
        <f t="shared" si="109"/>
        <v>0</v>
      </c>
      <c r="N45" s="87">
        <f t="shared" si="109"/>
        <v>0</v>
      </c>
      <c r="O45" s="87">
        <f t="shared" si="109"/>
        <v>0</v>
      </c>
      <c r="P45" s="87">
        <f t="shared" si="109"/>
        <v>0</v>
      </c>
      <c r="Q45" s="87">
        <f t="shared" si="109"/>
        <v>1165.6789281556375</v>
      </c>
      <c r="R45" s="87">
        <f t="shared" si="109"/>
        <v>0</v>
      </c>
      <c r="S45" s="87">
        <f t="shared" si="109"/>
        <v>335.7539354595574</v>
      </c>
      <c r="T45" s="87">
        <f t="shared" si="109"/>
        <v>0</v>
      </c>
      <c r="U45" s="87">
        <f t="shared" si="109"/>
        <v>119.52888510953562</v>
      </c>
      <c r="V45" s="87">
        <f t="shared" si="109"/>
        <v>0</v>
      </c>
      <c r="W45" s="87">
        <f t="shared" si="109"/>
        <v>0</v>
      </c>
      <c r="X45" s="87">
        <f t="shared" si="109"/>
        <v>99.592612743308564</v>
      </c>
      <c r="Y45" s="87">
        <f t="shared" si="109"/>
        <v>186.29240345455401</v>
      </c>
      <c r="Z45" s="87">
        <f t="shared" si="109"/>
        <v>0</v>
      </c>
      <c r="AA45" s="87">
        <f t="shared" si="109"/>
        <v>88.329546687764378</v>
      </c>
      <c r="AB45" s="87">
        <f t="shared" si="109"/>
        <v>0</v>
      </c>
      <c r="AC45" s="87">
        <f t="shared" si="109"/>
        <v>0</v>
      </c>
      <c r="AD45" s="87">
        <f t="shared" si="109"/>
        <v>0</v>
      </c>
      <c r="AE45" s="87">
        <f t="shared" si="109"/>
        <v>89.087947983767663</v>
      </c>
      <c r="AF45" s="87">
        <f t="shared" si="109"/>
        <v>0</v>
      </c>
      <c r="AG45" s="87">
        <f t="shared" si="109"/>
        <v>85.166851921447233</v>
      </c>
      <c r="AH45" s="87">
        <f t="shared" si="109"/>
        <v>0</v>
      </c>
      <c r="AI45" s="87">
        <f t="shared" si="109"/>
        <v>83.859819900673756</v>
      </c>
      <c r="AJ45" s="87">
        <f t="shared" si="109"/>
        <v>0</v>
      </c>
      <c r="AK45" s="87">
        <f t="shared" si="109"/>
        <v>81.213483463554439</v>
      </c>
      <c r="AL45" s="87">
        <f t="shared" si="109"/>
        <v>0</v>
      </c>
      <c r="AM45" s="87">
        <f t="shared" si="109"/>
        <v>0</v>
      </c>
      <c r="AN45" s="87">
        <f t="shared" si="109"/>
        <v>0</v>
      </c>
      <c r="AO45" s="87">
        <f t="shared" si="109"/>
        <v>97.317408855295071</v>
      </c>
      <c r="AP45" s="87">
        <f t="shared" si="109"/>
        <v>0</v>
      </c>
      <c r="AQ45" s="87">
        <f t="shared" si="109"/>
        <v>102.14213199370352</v>
      </c>
      <c r="AR45" s="87">
        <f t="shared" si="109"/>
        <v>0</v>
      </c>
      <c r="AS45" s="87">
        <f t="shared" si="109"/>
        <v>103.94131804698918</v>
      </c>
      <c r="AT45" s="87">
        <f t="shared" si="109"/>
        <v>0</v>
      </c>
      <c r="AU45" s="87">
        <f t="shared" si="109"/>
        <v>109.71807685484964</v>
      </c>
      <c r="AV45" s="87">
        <f t="shared" si="109"/>
        <v>0</v>
      </c>
      <c r="AW45" s="87">
        <f t="shared" si="109"/>
        <v>0</v>
      </c>
      <c r="AX45" s="87">
        <f t="shared" si="109"/>
        <v>0</v>
      </c>
      <c r="AY45" s="87">
        <f t="shared" si="109"/>
        <v>145.5404359426866</v>
      </c>
      <c r="AZ45" s="87">
        <f t="shared" si="109"/>
        <v>0</v>
      </c>
      <c r="BA45" s="87">
        <f t="shared" si="109"/>
        <v>152.80979304586435</v>
      </c>
      <c r="BB45" s="87">
        <f t="shared" si="109"/>
        <v>18850.717728184958</v>
      </c>
      <c r="BC45" s="87">
        <f t="shared" si="109"/>
        <v>0</v>
      </c>
      <c r="BD45" s="87">
        <f t="shared" si="109"/>
        <v>0</v>
      </c>
      <c r="BE45" s="87">
        <f t="shared" si="109"/>
        <v>0</v>
      </c>
      <c r="BF45" s="87">
        <f t="shared" si="109"/>
        <v>0</v>
      </c>
      <c r="BG45" s="87">
        <f t="shared" si="109"/>
        <v>0</v>
      </c>
      <c r="BH45" s="87">
        <f t="shared" si="109"/>
        <v>0</v>
      </c>
      <c r="BI45" s="87">
        <f t="shared" si="109"/>
        <v>0</v>
      </c>
      <c r="BJ45" s="87">
        <f t="shared" si="109"/>
        <v>0</v>
      </c>
      <c r="BK45" s="87">
        <f t="shared" si="109"/>
        <v>0</v>
      </c>
      <c r="BL45" s="87">
        <f t="shared" si="109"/>
        <v>0</v>
      </c>
      <c r="BM45" s="87">
        <f t="shared" si="109"/>
        <v>0</v>
      </c>
      <c r="BN45" s="87">
        <f t="shared" si="109"/>
        <v>0</v>
      </c>
      <c r="BO45" s="87">
        <f t="shared" si="109"/>
        <v>0</v>
      </c>
      <c r="BP45" s="87">
        <f t="shared" si="109"/>
        <v>0</v>
      </c>
      <c r="BQ45" s="87">
        <f t="shared" si="109"/>
        <v>0</v>
      </c>
      <c r="BR45" s="87">
        <f t="shared" si="109"/>
        <v>0</v>
      </c>
      <c r="BS45" s="87">
        <f t="shared" si="109"/>
        <v>0</v>
      </c>
      <c r="BT45" s="87">
        <f t="shared" si="109"/>
        <v>0</v>
      </c>
      <c r="BU45" s="87">
        <f t="shared" si="109"/>
        <v>0</v>
      </c>
      <c r="BV45" s="87">
        <f t="shared" si="109"/>
        <v>0</v>
      </c>
      <c r="BW45" s="87">
        <f t="shared" ref="BW45:CA45" si="110" xml:space="preserve"> MAX(BW43:BW44)</f>
        <v>0</v>
      </c>
      <c r="BX45" s="87">
        <f t="shared" si="110"/>
        <v>0</v>
      </c>
      <c r="BY45" s="87">
        <f t="shared" si="110"/>
        <v>0</v>
      </c>
      <c r="BZ45" s="87">
        <f t="shared" si="110"/>
        <v>0</v>
      </c>
      <c r="CA45" s="87">
        <f t="shared" si="110"/>
        <v>0</v>
      </c>
    </row>
    <row r="47" spans="1:79" x14ac:dyDescent="0.2">
      <c r="E47" s="85" t="str">
        <f xml:space="preserve"> E$45</f>
        <v>Senior DSRA withdrawals</v>
      </c>
      <c r="F47" s="85">
        <f t="shared" ref="F47:BQ47" si="111" xml:space="preserve"> F$45</f>
        <v>0</v>
      </c>
      <c r="G47" s="85">
        <f t="shared" si="111"/>
        <v>0</v>
      </c>
      <c r="H47" s="85">
        <f t="shared" si="111"/>
        <v>21896.691307804147</v>
      </c>
      <c r="I47" s="85">
        <f t="shared" si="111"/>
        <v>0</v>
      </c>
      <c r="J47" s="85">
        <f t="shared" si="111"/>
        <v>0</v>
      </c>
      <c r="K47" s="85">
        <f t="shared" si="111"/>
        <v>0</v>
      </c>
      <c r="L47" s="85">
        <f t="shared" si="111"/>
        <v>0</v>
      </c>
      <c r="M47" s="85">
        <f t="shared" si="111"/>
        <v>0</v>
      </c>
      <c r="N47" s="85">
        <f t="shared" si="111"/>
        <v>0</v>
      </c>
      <c r="O47" s="85">
        <f t="shared" si="111"/>
        <v>0</v>
      </c>
      <c r="P47" s="85">
        <f t="shared" si="111"/>
        <v>0</v>
      </c>
      <c r="Q47" s="85">
        <f t="shared" si="111"/>
        <v>1165.6789281556375</v>
      </c>
      <c r="R47" s="85">
        <f t="shared" si="111"/>
        <v>0</v>
      </c>
      <c r="S47" s="85">
        <f t="shared" si="111"/>
        <v>335.7539354595574</v>
      </c>
      <c r="T47" s="85">
        <f t="shared" si="111"/>
        <v>0</v>
      </c>
      <c r="U47" s="85">
        <f t="shared" si="111"/>
        <v>119.52888510953562</v>
      </c>
      <c r="V47" s="85">
        <f t="shared" si="111"/>
        <v>0</v>
      </c>
      <c r="W47" s="85">
        <f t="shared" si="111"/>
        <v>0</v>
      </c>
      <c r="X47" s="85">
        <f t="shared" si="111"/>
        <v>99.592612743308564</v>
      </c>
      <c r="Y47" s="85">
        <f t="shared" si="111"/>
        <v>186.29240345455401</v>
      </c>
      <c r="Z47" s="85">
        <f t="shared" si="111"/>
        <v>0</v>
      </c>
      <c r="AA47" s="85">
        <f t="shared" si="111"/>
        <v>88.329546687764378</v>
      </c>
      <c r="AB47" s="85">
        <f t="shared" si="111"/>
        <v>0</v>
      </c>
      <c r="AC47" s="85">
        <f t="shared" si="111"/>
        <v>0</v>
      </c>
      <c r="AD47" s="85">
        <f t="shared" si="111"/>
        <v>0</v>
      </c>
      <c r="AE47" s="85">
        <f t="shared" si="111"/>
        <v>89.087947983767663</v>
      </c>
      <c r="AF47" s="85">
        <f t="shared" si="111"/>
        <v>0</v>
      </c>
      <c r="AG47" s="85">
        <f t="shared" si="111"/>
        <v>85.166851921447233</v>
      </c>
      <c r="AH47" s="85">
        <f t="shared" si="111"/>
        <v>0</v>
      </c>
      <c r="AI47" s="85">
        <f t="shared" si="111"/>
        <v>83.859819900673756</v>
      </c>
      <c r="AJ47" s="85">
        <f t="shared" si="111"/>
        <v>0</v>
      </c>
      <c r="AK47" s="85">
        <f t="shared" si="111"/>
        <v>81.213483463554439</v>
      </c>
      <c r="AL47" s="85">
        <f t="shared" si="111"/>
        <v>0</v>
      </c>
      <c r="AM47" s="85">
        <f t="shared" si="111"/>
        <v>0</v>
      </c>
      <c r="AN47" s="85">
        <f t="shared" si="111"/>
        <v>0</v>
      </c>
      <c r="AO47" s="85">
        <f t="shared" si="111"/>
        <v>97.317408855295071</v>
      </c>
      <c r="AP47" s="85">
        <f t="shared" si="111"/>
        <v>0</v>
      </c>
      <c r="AQ47" s="85">
        <f t="shared" si="111"/>
        <v>102.14213199370352</v>
      </c>
      <c r="AR47" s="85">
        <f t="shared" si="111"/>
        <v>0</v>
      </c>
      <c r="AS47" s="85">
        <f t="shared" si="111"/>
        <v>103.94131804698918</v>
      </c>
      <c r="AT47" s="85">
        <f t="shared" si="111"/>
        <v>0</v>
      </c>
      <c r="AU47" s="85">
        <f t="shared" si="111"/>
        <v>109.71807685484964</v>
      </c>
      <c r="AV47" s="85">
        <f t="shared" si="111"/>
        <v>0</v>
      </c>
      <c r="AW47" s="85">
        <f t="shared" si="111"/>
        <v>0</v>
      </c>
      <c r="AX47" s="85">
        <f t="shared" si="111"/>
        <v>0</v>
      </c>
      <c r="AY47" s="85">
        <f t="shared" si="111"/>
        <v>145.5404359426866</v>
      </c>
      <c r="AZ47" s="85">
        <f t="shared" si="111"/>
        <v>0</v>
      </c>
      <c r="BA47" s="85">
        <f t="shared" si="111"/>
        <v>152.80979304586435</v>
      </c>
      <c r="BB47" s="85">
        <f t="shared" si="111"/>
        <v>18850.717728184958</v>
      </c>
      <c r="BC47" s="85">
        <f t="shared" si="111"/>
        <v>0</v>
      </c>
      <c r="BD47" s="85">
        <f t="shared" si="111"/>
        <v>0</v>
      </c>
      <c r="BE47" s="85">
        <f t="shared" si="111"/>
        <v>0</v>
      </c>
      <c r="BF47" s="85">
        <f t="shared" si="111"/>
        <v>0</v>
      </c>
      <c r="BG47" s="85">
        <f t="shared" si="111"/>
        <v>0</v>
      </c>
      <c r="BH47" s="85">
        <f t="shared" si="111"/>
        <v>0</v>
      </c>
      <c r="BI47" s="85">
        <f t="shared" si="111"/>
        <v>0</v>
      </c>
      <c r="BJ47" s="85">
        <f t="shared" si="111"/>
        <v>0</v>
      </c>
      <c r="BK47" s="85">
        <f t="shared" si="111"/>
        <v>0</v>
      </c>
      <c r="BL47" s="85">
        <f t="shared" si="111"/>
        <v>0</v>
      </c>
      <c r="BM47" s="85">
        <f t="shared" si="111"/>
        <v>0</v>
      </c>
      <c r="BN47" s="85">
        <f t="shared" si="111"/>
        <v>0</v>
      </c>
      <c r="BO47" s="85">
        <f t="shared" si="111"/>
        <v>0</v>
      </c>
      <c r="BP47" s="85">
        <f t="shared" si="111"/>
        <v>0</v>
      </c>
      <c r="BQ47" s="85">
        <f t="shared" si="111"/>
        <v>0</v>
      </c>
      <c r="BR47" s="85">
        <f t="shared" ref="BR47:CA47" si="112" xml:space="preserve"> BR$45</f>
        <v>0</v>
      </c>
      <c r="BS47" s="85">
        <f t="shared" si="112"/>
        <v>0</v>
      </c>
      <c r="BT47" s="85">
        <f t="shared" si="112"/>
        <v>0</v>
      </c>
      <c r="BU47" s="85">
        <f t="shared" si="112"/>
        <v>0</v>
      </c>
      <c r="BV47" s="85">
        <f t="shared" si="112"/>
        <v>0</v>
      </c>
      <c r="BW47" s="85">
        <f t="shared" si="112"/>
        <v>0</v>
      </c>
      <c r="BX47" s="85">
        <f t="shared" si="112"/>
        <v>0</v>
      </c>
      <c r="BY47" s="85">
        <f t="shared" si="112"/>
        <v>0</v>
      </c>
      <c r="BZ47" s="85">
        <f t="shared" si="112"/>
        <v>0</v>
      </c>
      <c r="CA47" s="85">
        <f t="shared" si="112"/>
        <v>0</v>
      </c>
    </row>
    <row r="48" spans="1:79" s="140" customFormat="1" x14ac:dyDescent="0.2">
      <c r="A48" s="137"/>
      <c r="B48" s="145"/>
      <c r="C48" s="146"/>
      <c r="D48" s="139" t="s">
        <v>24</v>
      </c>
      <c r="E48" s="140" t="str">
        <f xml:space="preserve"> E$41</f>
        <v>Senior DSRA shortfall withdrawals</v>
      </c>
      <c r="F48" s="140">
        <f t="shared" ref="F48:BQ48" si="113" xml:space="preserve"> F$41</f>
        <v>0</v>
      </c>
      <c r="G48" s="140">
        <f t="shared" si="113"/>
        <v>0</v>
      </c>
      <c r="H48" s="140">
        <f t="shared" si="113"/>
        <v>0</v>
      </c>
      <c r="I48" s="140">
        <f t="shared" si="113"/>
        <v>0</v>
      </c>
      <c r="J48" s="140">
        <f t="shared" si="113"/>
        <v>0</v>
      </c>
      <c r="K48" s="140">
        <f t="shared" si="113"/>
        <v>0</v>
      </c>
      <c r="L48" s="140">
        <f t="shared" si="113"/>
        <v>0</v>
      </c>
      <c r="M48" s="140">
        <f t="shared" si="113"/>
        <v>0</v>
      </c>
      <c r="N48" s="140">
        <f t="shared" si="113"/>
        <v>0</v>
      </c>
      <c r="O48" s="140">
        <f t="shared" si="113"/>
        <v>0</v>
      </c>
      <c r="P48" s="140">
        <f t="shared" si="113"/>
        <v>0</v>
      </c>
      <c r="Q48" s="140">
        <f t="shared" si="113"/>
        <v>0</v>
      </c>
      <c r="R48" s="140">
        <f t="shared" si="113"/>
        <v>0</v>
      </c>
      <c r="S48" s="140">
        <f t="shared" si="113"/>
        <v>0</v>
      </c>
      <c r="T48" s="140">
        <f t="shared" si="113"/>
        <v>0</v>
      </c>
      <c r="U48" s="140">
        <f t="shared" si="113"/>
        <v>0</v>
      </c>
      <c r="V48" s="140">
        <f t="shared" si="113"/>
        <v>0</v>
      </c>
      <c r="W48" s="140">
        <f t="shared" si="113"/>
        <v>0</v>
      </c>
      <c r="X48" s="140">
        <f t="shared" si="113"/>
        <v>0</v>
      </c>
      <c r="Y48" s="140">
        <f t="shared" si="113"/>
        <v>0</v>
      </c>
      <c r="Z48" s="140">
        <f t="shared" si="113"/>
        <v>0</v>
      </c>
      <c r="AA48" s="140">
        <f t="shared" si="113"/>
        <v>0</v>
      </c>
      <c r="AB48" s="140">
        <f t="shared" si="113"/>
        <v>0</v>
      </c>
      <c r="AC48" s="140">
        <f t="shared" si="113"/>
        <v>0</v>
      </c>
      <c r="AD48" s="140">
        <f t="shared" si="113"/>
        <v>0</v>
      </c>
      <c r="AE48" s="140">
        <f t="shared" si="113"/>
        <v>0</v>
      </c>
      <c r="AF48" s="140">
        <f t="shared" si="113"/>
        <v>0</v>
      </c>
      <c r="AG48" s="140">
        <f t="shared" si="113"/>
        <v>0</v>
      </c>
      <c r="AH48" s="140">
        <f t="shared" si="113"/>
        <v>0</v>
      </c>
      <c r="AI48" s="140">
        <f t="shared" si="113"/>
        <v>0</v>
      </c>
      <c r="AJ48" s="140">
        <f t="shared" si="113"/>
        <v>0</v>
      </c>
      <c r="AK48" s="140">
        <f t="shared" si="113"/>
        <v>0</v>
      </c>
      <c r="AL48" s="140">
        <f t="shared" si="113"/>
        <v>0</v>
      </c>
      <c r="AM48" s="140">
        <f t="shared" si="113"/>
        <v>0</v>
      </c>
      <c r="AN48" s="140">
        <f t="shared" si="113"/>
        <v>0</v>
      </c>
      <c r="AO48" s="140">
        <f t="shared" si="113"/>
        <v>0</v>
      </c>
      <c r="AP48" s="140">
        <f t="shared" si="113"/>
        <v>0</v>
      </c>
      <c r="AQ48" s="140">
        <f t="shared" si="113"/>
        <v>0</v>
      </c>
      <c r="AR48" s="140">
        <f t="shared" si="113"/>
        <v>0</v>
      </c>
      <c r="AS48" s="140">
        <f t="shared" si="113"/>
        <v>0</v>
      </c>
      <c r="AT48" s="140">
        <f t="shared" si="113"/>
        <v>0</v>
      </c>
      <c r="AU48" s="140">
        <f t="shared" si="113"/>
        <v>0</v>
      </c>
      <c r="AV48" s="140">
        <f t="shared" si="113"/>
        <v>0</v>
      </c>
      <c r="AW48" s="140">
        <f t="shared" si="113"/>
        <v>0</v>
      </c>
      <c r="AX48" s="140">
        <f t="shared" si="113"/>
        <v>0</v>
      </c>
      <c r="AY48" s="140">
        <f t="shared" si="113"/>
        <v>0</v>
      </c>
      <c r="AZ48" s="140">
        <f t="shared" si="113"/>
        <v>0</v>
      </c>
      <c r="BA48" s="140">
        <f t="shared" si="113"/>
        <v>0</v>
      </c>
      <c r="BB48" s="140">
        <f t="shared" si="113"/>
        <v>0</v>
      </c>
      <c r="BC48" s="140">
        <f t="shared" si="113"/>
        <v>0</v>
      </c>
      <c r="BD48" s="140">
        <f t="shared" si="113"/>
        <v>0</v>
      </c>
      <c r="BE48" s="140">
        <f t="shared" si="113"/>
        <v>0</v>
      </c>
      <c r="BF48" s="140">
        <f t="shared" si="113"/>
        <v>0</v>
      </c>
      <c r="BG48" s="140">
        <f t="shared" si="113"/>
        <v>0</v>
      </c>
      <c r="BH48" s="140">
        <f t="shared" si="113"/>
        <v>0</v>
      </c>
      <c r="BI48" s="140">
        <f t="shared" si="113"/>
        <v>0</v>
      </c>
      <c r="BJ48" s="140">
        <f t="shared" si="113"/>
        <v>0</v>
      </c>
      <c r="BK48" s="140">
        <f t="shared" si="113"/>
        <v>0</v>
      </c>
      <c r="BL48" s="140">
        <f t="shared" si="113"/>
        <v>0</v>
      </c>
      <c r="BM48" s="140">
        <f t="shared" si="113"/>
        <v>0</v>
      </c>
      <c r="BN48" s="140">
        <f t="shared" si="113"/>
        <v>0</v>
      </c>
      <c r="BO48" s="140">
        <f t="shared" si="113"/>
        <v>0</v>
      </c>
      <c r="BP48" s="140">
        <f t="shared" si="113"/>
        <v>0</v>
      </c>
      <c r="BQ48" s="140">
        <f t="shared" si="113"/>
        <v>0</v>
      </c>
      <c r="BR48" s="140">
        <f t="shared" ref="BR48:CA48" si="114" xml:space="preserve"> BR$41</f>
        <v>0</v>
      </c>
      <c r="BS48" s="140">
        <f t="shared" si="114"/>
        <v>0</v>
      </c>
      <c r="BT48" s="140">
        <f t="shared" si="114"/>
        <v>0</v>
      </c>
      <c r="BU48" s="140">
        <f t="shared" si="114"/>
        <v>0</v>
      </c>
      <c r="BV48" s="140">
        <f t="shared" si="114"/>
        <v>0</v>
      </c>
      <c r="BW48" s="140">
        <f t="shared" si="114"/>
        <v>0</v>
      </c>
      <c r="BX48" s="140">
        <f t="shared" si="114"/>
        <v>0</v>
      </c>
      <c r="BY48" s="140">
        <f t="shared" si="114"/>
        <v>0</v>
      </c>
      <c r="BZ48" s="140">
        <f t="shared" si="114"/>
        <v>0</v>
      </c>
      <c r="CA48" s="140">
        <f t="shared" si="114"/>
        <v>0</v>
      </c>
    </row>
    <row r="49" spans="1:79" s="140" customFormat="1" x14ac:dyDescent="0.2">
      <c r="A49" s="137"/>
      <c r="B49" s="145"/>
      <c r="C49" s="146"/>
      <c r="D49" s="139"/>
      <c r="E49" s="140" t="s">
        <v>335</v>
      </c>
      <c r="H49" s="140">
        <f>SUM(J49:CA49)</f>
        <v>21896.691307804147</v>
      </c>
      <c r="J49" s="140">
        <f xml:space="preserve"> J47 - J48</f>
        <v>0</v>
      </c>
      <c r="K49" s="140">
        <f t="shared" ref="K49:BV49" si="115" xml:space="preserve"> K47 - K48</f>
        <v>0</v>
      </c>
      <c r="L49" s="140">
        <f t="shared" si="115"/>
        <v>0</v>
      </c>
      <c r="M49" s="140">
        <f t="shared" si="115"/>
        <v>0</v>
      </c>
      <c r="N49" s="140">
        <f t="shared" si="115"/>
        <v>0</v>
      </c>
      <c r="O49" s="140">
        <f t="shared" si="115"/>
        <v>0</v>
      </c>
      <c r="P49" s="140">
        <f t="shared" si="115"/>
        <v>0</v>
      </c>
      <c r="Q49" s="140">
        <f t="shared" si="115"/>
        <v>1165.6789281556375</v>
      </c>
      <c r="R49" s="140">
        <f t="shared" si="115"/>
        <v>0</v>
      </c>
      <c r="S49" s="140">
        <f t="shared" si="115"/>
        <v>335.7539354595574</v>
      </c>
      <c r="T49" s="140">
        <f t="shared" si="115"/>
        <v>0</v>
      </c>
      <c r="U49" s="140">
        <f t="shared" si="115"/>
        <v>119.52888510953562</v>
      </c>
      <c r="V49" s="140">
        <f t="shared" si="115"/>
        <v>0</v>
      </c>
      <c r="W49" s="140">
        <f t="shared" si="115"/>
        <v>0</v>
      </c>
      <c r="X49" s="140">
        <f t="shared" si="115"/>
        <v>99.592612743308564</v>
      </c>
      <c r="Y49" s="140">
        <f t="shared" si="115"/>
        <v>186.29240345455401</v>
      </c>
      <c r="Z49" s="140">
        <f t="shared" si="115"/>
        <v>0</v>
      </c>
      <c r="AA49" s="140">
        <f t="shared" si="115"/>
        <v>88.329546687764378</v>
      </c>
      <c r="AB49" s="140">
        <f t="shared" si="115"/>
        <v>0</v>
      </c>
      <c r="AC49" s="140">
        <f t="shared" si="115"/>
        <v>0</v>
      </c>
      <c r="AD49" s="140">
        <f t="shared" si="115"/>
        <v>0</v>
      </c>
      <c r="AE49" s="140">
        <f t="shared" si="115"/>
        <v>89.087947983767663</v>
      </c>
      <c r="AF49" s="140">
        <f t="shared" si="115"/>
        <v>0</v>
      </c>
      <c r="AG49" s="140">
        <f t="shared" si="115"/>
        <v>85.166851921447233</v>
      </c>
      <c r="AH49" s="140">
        <f t="shared" si="115"/>
        <v>0</v>
      </c>
      <c r="AI49" s="140">
        <f t="shared" si="115"/>
        <v>83.859819900673756</v>
      </c>
      <c r="AJ49" s="140">
        <f t="shared" si="115"/>
        <v>0</v>
      </c>
      <c r="AK49" s="140">
        <f t="shared" si="115"/>
        <v>81.213483463554439</v>
      </c>
      <c r="AL49" s="140">
        <f t="shared" si="115"/>
        <v>0</v>
      </c>
      <c r="AM49" s="140">
        <f t="shared" si="115"/>
        <v>0</v>
      </c>
      <c r="AN49" s="140">
        <f t="shared" si="115"/>
        <v>0</v>
      </c>
      <c r="AO49" s="140">
        <f t="shared" si="115"/>
        <v>97.317408855295071</v>
      </c>
      <c r="AP49" s="140">
        <f t="shared" si="115"/>
        <v>0</v>
      </c>
      <c r="AQ49" s="140">
        <f t="shared" si="115"/>
        <v>102.14213199370352</v>
      </c>
      <c r="AR49" s="140">
        <f t="shared" si="115"/>
        <v>0</v>
      </c>
      <c r="AS49" s="140">
        <f t="shared" si="115"/>
        <v>103.94131804698918</v>
      </c>
      <c r="AT49" s="140">
        <f t="shared" si="115"/>
        <v>0</v>
      </c>
      <c r="AU49" s="140">
        <f t="shared" si="115"/>
        <v>109.71807685484964</v>
      </c>
      <c r="AV49" s="140">
        <f t="shared" si="115"/>
        <v>0</v>
      </c>
      <c r="AW49" s="140">
        <f t="shared" si="115"/>
        <v>0</v>
      </c>
      <c r="AX49" s="140">
        <f t="shared" si="115"/>
        <v>0</v>
      </c>
      <c r="AY49" s="140">
        <f t="shared" si="115"/>
        <v>145.5404359426866</v>
      </c>
      <c r="AZ49" s="140">
        <f t="shared" si="115"/>
        <v>0</v>
      </c>
      <c r="BA49" s="140">
        <f t="shared" si="115"/>
        <v>152.80979304586435</v>
      </c>
      <c r="BB49" s="140">
        <f t="shared" si="115"/>
        <v>18850.717728184958</v>
      </c>
      <c r="BC49" s="140">
        <f t="shared" si="115"/>
        <v>0</v>
      </c>
      <c r="BD49" s="140">
        <f t="shared" si="115"/>
        <v>0</v>
      </c>
      <c r="BE49" s="140">
        <f t="shared" si="115"/>
        <v>0</v>
      </c>
      <c r="BF49" s="140">
        <f t="shared" si="115"/>
        <v>0</v>
      </c>
      <c r="BG49" s="140">
        <f t="shared" si="115"/>
        <v>0</v>
      </c>
      <c r="BH49" s="140">
        <f t="shared" si="115"/>
        <v>0</v>
      </c>
      <c r="BI49" s="140">
        <f t="shared" si="115"/>
        <v>0</v>
      </c>
      <c r="BJ49" s="140">
        <f t="shared" si="115"/>
        <v>0</v>
      </c>
      <c r="BK49" s="140">
        <f t="shared" si="115"/>
        <v>0</v>
      </c>
      <c r="BL49" s="140">
        <f t="shared" si="115"/>
        <v>0</v>
      </c>
      <c r="BM49" s="140">
        <f t="shared" si="115"/>
        <v>0</v>
      </c>
      <c r="BN49" s="140">
        <f t="shared" si="115"/>
        <v>0</v>
      </c>
      <c r="BO49" s="140">
        <f t="shared" si="115"/>
        <v>0</v>
      </c>
      <c r="BP49" s="140">
        <f t="shared" si="115"/>
        <v>0</v>
      </c>
      <c r="BQ49" s="140">
        <f t="shared" si="115"/>
        <v>0</v>
      </c>
      <c r="BR49" s="140">
        <f t="shared" si="115"/>
        <v>0</v>
      </c>
      <c r="BS49" s="140">
        <f t="shared" si="115"/>
        <v>0</v>
      </c>
      <c r="BT49" s="140">
        <f t="shared" si="115"/>
        <v>0</v>
      </c>
      <c r="BU49" s="140">
        <f t="shared" si="115"/>
        <v>0</v>
      </c>
      <c r="BV49" s="140">
        <f t="shared" si="115"/>
        <v>0</v>
      </c>
      <c r="BW49" s="140">
        <f t="shared" ref="BW49:CA49" si="116" xml:space="preserve"> BW47 - BW48</f>
        <v>0</v>
      </c>
      <c r="BX49" s="140">
        <f t="shared" si="116"/>
        <v>0</v>
      </c>
      <c r="BY49" s="140">
        <f t="shared" si="116"/>
        <v>0</v>
      </c>
      <c r="BZ49" s="140">
        <f t="shared" si="116"/>
        <v>0</v>
      </c>
      <c r="CA49" s="140">
        <f t="shared" si="116"/>
        <v>0</v>
      </c>
    </row>
    <row r="52" spans="1:79" x14ac:dyDescent="0.2">
      <c r="A52" s="81" t="s">
        <v>25</v>
      </c>
    </row>
    <row r="54" spans="1:79" s="165" customFormat="1" x14ac:dyDescent="0.2">
      <c r="A54" s="161"/>
      <c r="B54" s="161"/>
      <c r="C54" s="162"/>
      <c r="D54" s="163"/>
      <c r="E54" s="164" t="str">
        <f>ConFin!E$57</f>
        <v>Senior DSRA deposits DC total</v>
      </c>
      <c r="F54" s="164">
        <f>ConFin!F$57</f>
        <v>8000</v>
      </c>
      <c r="G54" s="164" t="str">
        <f>ConFin!G$57</f>
        <v>€ 000s</v>
      </c>
    </row>
    <row r="55" spans="1:79" s="118" customFormat="1" x14ac:dyDescent="0.2">
      <c r="A55" s="115"/>
      <c r="B55" s="115"/>
      <c r="C55" s="116"/>
      <c r="D55" s="117"/>
      <c r="E55" s="118" t="str">
        <f>'T&amp;E'!E$19</f>
        <v>Initial operations date flag</v>
      </c>
      <c r="F55" s="118">
        <f>'T&amp;E'!F$19</f>
        <v>0</v>
      </c>
      <c r="G55" s="118" t="str">
        <f>'T&amp;E'!G$19</f>
        <v>flag</v>
      </c>
      <c r="H55" s="118">
        <f>'T&amp;E'!H$19</f>
        <v>1</v>
      </c>
      <c r="I55" s="118">
        <f>'T&amp;E'!I$19</f>
        <v>0</v>
      </c>
      <c r="J55" s="118">
        <f>'T&amp;E'!J$19</f>
        <v>0</v>
      </c>
      <c r="K55" s="118">
        <f>'T&amp;E'!K$19</f>
        <v>0</v>
      </c>
      <c r="L55" s="118">
        <f>'T&amp;E'!L$19</f>
        <v>0</v>
      </c>
      <c r="M55" s="118">
        <f>'T&amp;E'!M$19</f>
        <v>0</v>
      </c>
      <c r="N55" s="118">
        <f>'T&amp;E'!N$19</f>
        <v>1</v>
      </c>
      <c r="O55" s="118">
        <f>'T&amp;E'!O$19</f>
        <v>0</v>
      </c>
      <c r="P55" s="118">
        <f>'T&amp;E'!P$19</f>
        <v>0</v>
      </c>
      <c r="Q55" s="118">
        <f>'T&amp;E'!Q$19</f>
        <v>0</v>
      </c>
      <c r="R55" s="118">
        <f>'T&amp;E'!R$19</f>
        <v>0</v>
      </c>
      <c r="S55" s="118">
        <f>'T&amp;E'!S$19</f>
        <v>0</v>
      </c>
      <c r="T55" s="118">
        <f>'T&amp;E'!T$19</f>
        <v>0</v>
      </c>
      <c r="U55" s="118">
        <f>'T&amp;E'!U$19</f>
        <v>0</v>
      </c>
      <c r="V55" s="118">
        <f>'T&amp;E'!V$19</f>
        <v>0</v>
      </c>
      <c r="W55" s="118">
        <f>'T&amp;E'!W$19</f>
        <v>0</v>
      </c>
      <c r="X55" s="118">
        <f>'T&amp;E'!X$19</f>
        <v>0</v>
      </c>
      <c r="Y55" s="118">
        <f>'T&amp;E'!Y$19</f>
        <v>0</v>
      </c>
      <c r="Z55" s="118">
        <f>'T&amp;E'!Z$19</f>
        <v>0</v>
      </c>
      <c r="AA55" s="118">
        <f>'T&amp;E'!AA$19</f>
        <v>0</v>
      </c>
      <c r="AB55" s="118">
        <f>'T&amp;E'!AB$19</f>
        <v>0</v>
      </c>
      <c r="AC55" s="118">
        <f>'T&amp;E'!AC$19</f>
        <v>0</v>
      </c>
      <c r="AD55" s="118">
        <f>'T&amp;E'!AD$19</f>
        <v>0</v>
      </c>
      <c r="AE55" s="118">
        <f>'T&amp;E'!AE$19</f>
        <v>0</v>
      </c>
      <c r="AF55" s="118">
        <f>'T&amp;E'!AF$19</f>
        <v>0</v>
      </c>
      <c r="AG55" s="118">
        <f>'T&amp;E'!AG$19</f>
        <v>0</v>
      </c>
      <c r="AH55" s="118">
        <f>'T&amp;E'!AH$19</f>
        <v>0</v>
      </c>
      <c r="AI55" s="118">
        <f>'T&amp;E'!AI$19</f>
        <v>0</v>
      </c>
      <c r="AJ55" s="118">
        <f>'T&amp;E'!AJ$19</f>
        <v>0</v>
      </c>
      <c r="AK55" s="118">
        <f>'T&amp;E'!AK$19</f>
        <v>0</v>
      </c>
      <c r="AL55" s="118">
        <f>'T&amp;E'!AL$19</f>
        <v>0</v>
      </c>
      <c r="AM55" s="118">
        <f>'T&amp;E'!AM$19</f>
        <v>0</v>
      </c>
      <c r="AN55" s="118">
        <f>'T&amp;E'!AN$19</f>
        <v>0</v>
      </c>
      <c r="AO55" s="118">
        <f>'T&amp;E'!AO$19</f>
        <v>0</v>
      </c>
      <c r="AP55" s="118">
        <f>'T&amp;E'!AP$19</f>
        <v>0</v>
      </c>
      <c r="AQ55" s="118">
        <f>'T&amp;E'!AQ$19</f>
        <v>0</v>
      </c>
      <c r="AR55" s="118">
        <f>'T&amp;E'!AR$19</f>
        <v>0</v>
      </c>
      <c r="AS55" s="118">
        <f>'T&amp;E'!AS$19</f>
        <v>0</v>
      </c>
      <c r="AT55" s="118">
        <f>'T&amp;E'!AT$19</f>
        <v>0</v>
      </c>
      <c r="AU55" s="118">
        <f>'T&amp;E'!AU$19</f>
        <v>0</v>
      </c>
      <c r="AV55" s="118">
        <f>'T&amp;E'!AV$19</f>
        <v>0</v>
      </c>
      <c r="AW55" s="118">
        <f>'T&amp;E'!AW$19</f>
        <v>0</v>
      </c>
      <c r="AX55" s="118">
        <f>'T&amp;E'!AX$19</f>
        <v>0</v>
      </c>
      <c r="AY55" s="118">
        <f>'T&amp;E'!AY$19</f>
        <v>0</v>
      </c>
      <c r="AZ55" s="118">
        <f>'T&amp;E'!AZ$19</f>
        <v>0</v>
      </c>
      <c r="BA55" s="118">
        <f>'T&amp;E'!BA$19</f>
        <v>0</v>
      </c>
      <c r="BB55" s="118">
        <f>'T&amp;E'!BB$19</f>
        <v>0</v>
      </c>
      <c r="BC55" s="118">
        <f>'T&amp;E'!BC$19</f>
        <v>0</v>
      </c>
      <c r="BD55" s="118">
        <f>'T&amp;E'!BD$19</f>
        <v>0</v>
      </c>
      <c r="BE55" s="118">
        <f>'T&amp;E'!BE$19</f>
        <v>0</v>
      </c>
      <c r="BF55" s="118">
        <f>'T&amp;E'!BF$19</f>
        <v>0</v>
      </c>
      <c r="BG55" s="118">
        <f>'T&amp;E'!BG$19</f>
        <v>0</v>
      </c>
      <c r="BH55" s="118">
        <f>'T&amp;E'!BH$19</f>
        <v>0</v>
      </c>
      <c r="BI55" s="118">
        <f>'T&amp;E'!BI$19</f>
        <v>0</v>
      </c>
      <c r="BJ55" s="118">
        <f>'T&amp;E'!BJ$19</f>
        <v>0</v>
      </c>
      <c r="BK55" s="118">
        <f>'T&amp;E'!BK$19</f>
        <v>0</v>
      </c>
      <c r="BL55" s="118">
        <f>'T&amp;E'!BL$19</f>
        <v>0</v>
      </c>
      <c r="BM55" s="118">
        <f>'T&amp;E'!BM$19</f>
        <v>0</v>
      </c>
      <c r="BN55" s="118">
        <f>'T&amp;E'!BN$19</f>
        <v>0</v>
      </c>
      <c r="BO55" s="118">
        <f>'T&amp;E'!BO$19</f>
        <v>0</v>
      </c>
      <c r="BP55" s="118">
        <f>'T&amp;E'!BP$19</f>
        <v>0</v>
      </c>
      <c r="BQ55" s="118">
        <f>'T&amp;E'!BQ$19</f>
        <v>0</v>
      </c>
      <c r="BR55" s="118">
        <f>'T&amp;E'!BR$19</f>
        <v>0</v>
      </c>
      <c r="BS55" s="118">
        <f>'T&amp;E'!BS$19</f>
        <v>0</v>
      </c>
      <c r="BT55" s="118">
        <f>'T&amp;E'!BT$19</f>
        <v>0</v>
      </c>
      <c r="BU55" s="118">
        <f>'T&amp;E'!BU$19</f>
        <v>0</v>
      </c>
      <c r="BV55" s="118">
        <f>'T&amp;E'!BV$19</f>
        <v>0</v>
      </c>
      <c r="BW55" s="118">
        <f>'T&amp;E'!BW$19</f>
        <v>0</v>
      </c>
      <c r="BX55" s="118">
        <f>'T&amp;E'!BX$19</f>
        <v>0</v>
      </c>
      <c r="BY55" s="118">
        <f>'T&amp;E'!BY$19</f>
        <v>0</v>
      </c>
      <c r="BZ55" s="118">
        <f>'T&amp;E'!BZ$19</f>
        <v>0</v>
      </c>
      <c r="CA55" s="118">
        <f>'T&amp;E'!CA$19</f>
        <v>0</v>
      </c>
    </row>
    <row r="56" spans="1:79" s="122" customFormat="1" x14ac:dyDescent="0.2">
      <c r="A56" s="119"/>
      <c r="B56" s="119"/>
      <c r="C56" s="120"/>
      <c r="D56" s="121"/>
    </row>
    <row r="57" spans="1:79" s="122" customFormat="1" x14ac:dyDescent="0.2">
      <c r="A57" s="119"/>
      <c r="B57" s="119"/>
      <c r="C57" s="120"/>
      <c r="D57" s="121"/>
      <c r="E57" s="124" t="s">
        <v>319</v>
      </c>
      <c r="G57" s="124" t="str">
        <f xml:space="preserve"> SMU</f>
        <v>€ 000s</v>
      </c>
      <c r="J57" s="122">
        <f t="shared" ref="J57:BU57" si="117" xml:space="preserve"> I60</f>
        <v>0</v>
      </c>
      <c r="K57" s="122">
        <f t="shared" si="117"/>
        <v>0</v>
      </c>
      <c r="L57" s="122">
        <f t="shared" si="117"/>
        <v>0</v>
      </c>
      <c r="M57" s="122">
        <f t="shared" si="117"/>
        <v>0</v>
      </c>
      <c r="N57" s="122">
        <f t="shared" si="117"/>
        <v>0</v>
      </c>
      <c r="O57" s="122">
        <f t="shared" si="117"/>
        <v>8000</v>
      </c>
      <c r="P57" s="122">
        <f t="shared" si="117"/>
        <v>15308.914325215337</v>
      </c>
      <c r="Q57" s="122">
        <f t="shared" si="117"/>
        <v>18644.973138297792</v>
      </c>
      <c r="R57" s="122">
        <f t="shared" si="117"/>
        <v>17479.294210142154</v>
      </c>
      <c r="S57" s="122">
        <f t="shared" si="117"/>
        <v>17590.408068105608</v>
      </c>
      <c r="T57" s="122">
        <f t="shared" si="117"/>
        <v>17254.65413264605</v>
      </c>
      <c r="U57" s="122">
        <f t="shared" si="117"/>
        <v>17328.582122808635</v>
      </c>
      <c r="V57" s="122">
        <f t="shared" si="117"/>
        <v>17209.0532376991</v>
      </c>
      <c r="W57" s="122">
        <f t="shared" si="117"/>
        <v>17275.937777527521</v>
      </c>
      <c r="X57" s="122">
        <f t="shared" si="117"/>
        <v>17471.936103951146</v>
      </c>
      <c r="Y57" s="122">
        <f t="shared" si="117"/>
        <v>17372.343491207837</v>
      </c>
      <c r="Z57" s="122">
        <f t="shared" si="117"/>
        <v>17186.051087753283</v>
      </c>
      <c r="AA57" s="122">
        <f t="shared" si="117"/>
        <v>17254.565383558223</v>
      </c>
      <c r="AB57" s="122">
        <f t="shared" si="117"/>
        <v>17166.235836870459</v>
      </c>
      <c r="AC57" s="122">
        <f t="shared" si="117"/>
        <v>17250.321563540158</v>
      </c>
      <c r="AD57" s="122">
        <f t="shared" si="117"/>
        <v>17508.516864334983</v>
      </c>
      <c r="AE57" s="122">
        <f t="shared" si="117"/>
        <v>17622.583646493513</v>
      </c>
      <c r="AF57" s="122">
        <f t="shared" si="117"/>
        <v>17533.495698509745</v>
      </c>
      <c r="AG57" s="122">
        <f t="shared" si="117"/>
        <v>17659.535539426462</v>
      </c>
      <c r="AH57" s="122">
        <f t="shared" si="117"/>
        <v>17574.368687505015</v>
      </c>
      <c r="AI57" s="122">
        <f t="shared" si="117"/>
        <v>17582.807918947779</v>
      </c>
      <c r="AJ57" s="122">
        <f t="shared" si="117"/>
        <v>17498.948099047106</v>
      </c>
      <c r="AK57" s="122">
        <f t="shared" si="117"/>
        <v>17644.165811034047</v>
      </c>
      <c r="AL57" s="122">
        <f t="shared" si="117"/>
        <v>17562.952327570492</v>
      </c>
      <c r="AM57" s="122">
        <f t="shared" si="117"/>
        <v>17715.899278297555</v>
      </c>
      <c r="AN57" s="122">
        <f t="shared" si="117"/>
        <v>17892.493826881931</v>
      </c>
      <c r="AO57" s="122">
        <f t="shared" si="117"/>
        <v>18071.452328442148</v>
      </c>
      <c r="AP57" s="122">
        <f t="shared" si="117"/>
        <v>17974.134919586853</v>
      </c>
      <c r="AQ57" s="122">
        <f t="shared" si="117"/>
        <v>18159.87062421774</v>
      </c>
      <c r="AR57" s="122">
        <f t="shared" si="117"/>
        <v>18057.728492224036</v>
      </c>
      <c r="AS57" s="122">
        <f t="shared" si="117"/>
        <v>18246.812457895794</v>
      </c>
      <c r="AT57" s="122">
        <f t="shared" si="117"/>
        <v>18142.871139848805</v>
      </c>
      <c r="AU57" s="122">
        <f t="shared" si="117"/>
        <v>18338.054588284165</v>
      </c>
      <c r="AV57" s="122">
        <f t="shared" si="117"/>
        <v>18228.336511429316</v>
      </c>
      <c r="AW57" s="122">
        <f t="shared" si="117"/>
        <v>18425.641869873711</v>
      </c>
      <c r="AX57" s="122">
        <f t="shared" si="117"/>
        <v>18703.119927024381</v>
      </c>
      <c r="AY57" s="122">
        <f t="shared" si="117"/>
        <v>18926.880581741076</v>
      </c>
      <c r="AZ57" s="122">
        <f t="shared" si="117"/>
        <v>18781.340145798389</v>
      </c>
      <c r="BA57" s="122">
        <f t="shared" si="117"/>
        <v>19003.527521230822</v>
      </c>
      <c r="BB57" s="122">
        <f t="shared" si="117"/>
        <v>18850.717728184958</v>
      </c>
      <c r="BC57" s="122">
        <f t="shared" si="117"/>
        <v>0</v>
      </c>
      <c r="BD57" s="122">
        <f t="shared" si="117"/>
        <v>0</v>
      </c>
      <c r="BE57" s="122">
        <f t="shared" si="117"/>
        <v>0</v>
      </c>
      <c r="BF57" s="122">
        <f t="shared" si="117"/>
        <v>0</v>
      </c>
      <c r="BG57" s="122">
        <f t="shared" si="117"/>
        <v>0</v>
      </c>
      <c r="BH57" s="122">
        <f t="shared" si="117"/>
        <v>0</v>
      </c>
      <c r="BI57" s="122">
        <f t="shared" si="117"/>
        <v>0</v>
      </c>
      <c r="BJ57" s="122">
        <f t="shared" si="117"/>
        <v>0</v>
      </c>
      <c r="BK57" s="122">
        <f t="shared" si="117"/>
        <v>0</v>
      </c>
      <c r="BL57" s="122">
        <f t="shared" si="117"/>
        <v>0</v>
      </c>
      <c r="BM57" s="122">
        <f t="shared" si="117"/>
        <v>0</v>
      </c>
      <c r="BN57" s="122">
        <f t="shared" si="117"/>
        <v>0</v>
      </c>
      <c r="BO57" s="122">
        <f t="shared" si="117"/>
        <v>0</v>
      </c>
      <c r="BP57" s="122">
        <f t="shared" si="117"/>
        <v>0</v>
      </c>
      <c r="BQ57" s="122">
        <f t="shared" si="117"/>
        <v>0</v>
      </c>
      <c r="BR57" s="122">
        <f t="shared" si="117"/>
        <v>0</v>
      </c>
      <c r="BS57" s="122">
        <f t="shared" si="117"/>
        <v>0</v>
      </c>
      <c r="BT57" s="122">
        <f t="shared" si="117"/>
        <v>0</v>
      </c>
      <c r="BU57" s="122">
        <f t="shared" si="117"/>
        <v>0</v>
      </c>
      <c r="BV57" s="122">
        <f t="shared" ref="BV57:CA57" si="118" xml:space="preserve"> BU60</f>
        <v>0</v>
      </c>
      <c r="BW57" s="122">
        <f t="shared" si="118"/>
        <v>0</v>
      </c>
      <c r="BX57" s="122">
        <f t="shared" si="118"/>
        <v>0</v>
      </c>
      <c r="BY57" s="122">
        <f t="shared" si="118"/>
        <v>0</v>
      </c>
      <c r="BZ57" s="122">
        <f t="shared" si="118"/>
        <v>0</v>
      </c>
      <c r="CA57" s="122">
        <f t="shared" si="118"/>
        <v>0</v>
      </c>
    </row>
    <row r="58" spans="1:79" s="124" customFormat="1" x14ac:dyDescent="0.2">
      <c r="A58" s="166"/>
      <c r="B58" s="166"/>
      <c r="C58" s="167"/>
      <c r="D58" s="168" t="s">
        <v>23</v>
      </c>
      <c r="E58" s="124" t="str">
        <f>E$33</f>
        <v>Senior DSRA deposits POS</v>
      </c>
      <c r="F58" s="124">
        <f t="shared" ref="F58:BQ58" si="119">F$33</f>
        <v>0</v>
      </c>
      <c r="G58" s="124">
        <f t="shared" si="119"/>
        <v>0</v>
      </c>
      <c r="H58" s="124">
        <f t="shared" si="119"/>
        <v>13896.691307804147</v>
      </c>
      <c r="I58" s="124">
        <f t="shared" si="119"/>
        <v>0</v>
      </c>
      <c r="J58" s="124">
        <f t="shared" si="119"/>
        <v>0</v>
      </c>
      <c r="K58" s="124">
        <f t="shared" si="119"/>
        <v>0</v>
      </c>
      <c r="L58" s="124">
        <f t="shared" si="119"/>
        <v>0</v>
      </c>
      <c r="M58" s="124">
        <f t="shared" si="119"/>
        <v>0</v>
      </c>
      <c r="N58" s="124">
        <f t="shared" si="119"/>
        <v>0</v>
      </c>
      <c r="O58" s="124">
        <f t="shared" si="119"/>
        <v>7308.9143252153372</v>
      </c>
      <c r="P58" s="124">
        <f t="shared" si="119"/>
        <v>3336.0588130824544</v>
      </c>
      <c r="Q58" s="124">
        <f t="shared" si="119"/>
        <v>0</v>
      </c>
      <c r="R58" s="124">
        <f t="shared" si="119"/>
        <v>111.11385796345348</v>
      </c>
      <c r="S58" s="124">
        <f t="shared" si="119"/>
        <v>0</v>
      </c>
      <c r="T58" s="124">
        <f t="shared" si="119"/>
        <v>73.927990162585047</v>
      </c>
      <c r="U58" s="124">
        <f t="shared" si="119"/>
        <v>0</v>
      </c>
      <c r="V58" s="124">
        <f t="shared" si="119"/>
        <v>66.884539828421111</v>
      </c>
      <c r="W58" s="124">
        <f t="shared" si="119"/>
        <v>195.99832642362526</v>
      </c>
      <c r="X58" s="124">
        <f t="shared" si="119"/>
        <v>0</v>
      </c>
      <c r="Y58" s="124">
        <f t="shared" si="119"/>
        <v>0</v>
      </c>
      <c r="Z58" s="124">
        <f t="shared" si="119"/>
        <v>68.514295804940048</v>
      </c>
      <c r="AA58" s="124">
        <f t="shared" si="119"/>
        <v>0</v>
      </c>
      <c r="AB58" s="124">
        <f t="shared" si="119"/>
        <v>84.085726669698488</v>
      </c>
      <c r="AC58" s="124">
        <f t="shared" si="119"/>
        <v>258.19530079482502</v>
      </c>
      <c r="AD58" s="124">
        <f t="shared" si="119"/>
        <v>114.06678215853026</v>
      </c>
      <c r="AE58" s="124">
        <f t="shared" si="119"/>
        <v>0</v>
      </c>
      <c r="AF58" s="124">
        <f t="shared" si="119"/>
        <v>126.03984091671737</v>
      </c>
      <c r="AG58" s="124">
        <f t="shared" si="119"/>
        <v>0</v>
      </c>
      <c r="AH58" s="124">
        <f t="shared" si="119"/>
        <v>8.4392314427641395</v>
      </c>
      <c r="AI58" s="124">
        <f t="shared" si="119"/>
        <v>0</v>
      </c>
      <c r="AJ58" s="124">
        <f t="shared" si="119"/>
        <v>145.21771198694114</v>
      </c>
      <c r="AK58" s="124">
        <f t="shared" si="119"/>
        <v>0</v>
      </c>
      <c r="AL58" s="124">
        <f t="shared" si="119"/>
        <v>152.94695072706236</v>
      </c>
      <c r="AM58" s="124">
        <f t="shared" si="119"/>
        <v>176.59454858437675</v>
      </c>
      <c r="AN58" s="124">
        <f t="shared" si="119"/>
        <v>178.95850156021697</v>
      </c>
      <c r="AO58" s="124">
        <f t="shared" si="119"/>
        <v>0</v>
      </c>
      <c r="AP58" s="124">
        <f t="shared" si="119"/>
        <v>185.73570463088618</v>
      </c>
      <c r="AQ58" s="124">
        <f t="shared" si="119"/>
        <v>0</v>
      </c>
      <c r="AR58" s="124">
        <f t="shared" si="119"/>
        <v>189.08396567175805</v>
      </c>
      <c r="AS58" s="124">
        <f t="shared" si="119"/>
        <v>0</v>
      </c>
      <c r="AT58" s="124">
        <f t="shared" si="119"/>
        <v>195.18344843536033</v>
      </c>
      <c r="AU58" s="124">
        <f t="shared" si="119"/>
        <v>0</v>
      </c>
      <c r="AV58" s="124">
        <f t="shared" si="119"/>
        <v>197.3053584443951</v>
      </c>
      <c r="AW58" s="124">
        <f t="shared" si="119"/>
        <v>277.47805715067079</v>
      </c>
      <c r="AX58" s="124">
        <f t="shared" si="119"/>
        <v>223.76065471669426</v>
      </c>
      <c r="AY58" s="124">
        <f t="shared" si="119"/>
        <v>0</v>
      </c>
      <c r="AZ58" s="124">
        <f t="shared" si="119"/>
        <v>222.18737543243333</v>
      </c>
      <c r="BA58" s="124">
        <f t="shared" si="119"/>
        <v>0</v>
      </c>
      <c r="BB58" s="124">
        <f t="shared" si="119"/>
        <v>0</v>
      </c>
      <c r="BC58" s="124">
        <f t="shared" si="119"/>
        <v>0</v>
      </c>
      <c r="BD58" s="124">
        <f t="shared" si="119"/>
        <v>0</v>
      </c>
      <c r="BE58" s="124">
        <f t="shared" si="119"/>
        <v>0</v>
      </c>
      <c r="BF58" s="124">
        <f t="shared" si="119"/>
        <v>0</v>
      </c>
      <c r="BG58" s="124">
        <f t="shared" si="119"/>
        <v>0</v>
      </c>
      <c r="BH58" s="124">
        <f t="shared" si="119"/>
        <v>0</v>
      </c>
      <c r="BI58" s="124">
        <f t="shared" si="119"/>
        <v>0</v>
      </c>
      <c r="BJ58" s="124">
        <f t="shared" si="119"/>
        <v>0</v>
      </c>
      <c r="BK58" s="124">
        <f t="shared" si="119"/>
        <v>0</v>
      </c>
      <c r="BL58" s="124">
        <f t="shared" si="119"/>
        <v>0</v>
      </c>
      <c r="BM58" s="124">
        <f t="shared" si="119"/>
        <v>0</v>
      </c>
      <c r="BN58" s="124">
        <f t="shared" si="119"/>
        <v>0</v>
      </c>
      <c r="BO58" s="124">
        <f t="shared" si="119"/>
        <v>0</v>
      </c>
      <c r="BP58" s="124">
        <f t="shared" si="119"/>
        <v>0</v>
      </c>
      <c r="BQ58" s="124">
        <f t="shared" si="119"/>
        <v>0</v>
      </c>
      <c r="BR58" s="124">
        <f t="shared" ref="BR58:CA58" si="120">BR$33</f>
        <v>0</v>
      </c>
      <c r="BS58" s="124">
        <f t="shared" si="120"/>
        <v>0</v>
      </c>
      <c r="BT58" s="124">
        <f t="shared" si="120"/>
        <v>0</v>
      </c>
      <c r="BU58" s="124">
        <f t="shared" si="120"/>
        <v>0</v>
      </c>
      <c r="BV58" s="124">
        <f t="shared" si="120"/>
        <v>0</v>
      </c>
      <c r="BW58" s="124">
        <f t="shared" si="120"/>
        <v>0</v>
      </c>
      <c r="BX58" s="124">
        <f t="shared" si="120"/>
        <v>0</v>
      </c>
      <c r="BY58" s="124">
        <f t="shared" si="120"/>
        <v>0</v>
      </c>
      <c r="BZ58" s="124">
        <f t="shared" si="120"/>
        <v>0</v>
      </c>
      <c r="CA58" s="124">
        <f t="shared" si="120"/>
        <v>0</v>
      </c>
    </row>
    <row r="59" spans="1:79" s="124" customFormat="1" x14ac:dyDescent="0.2">
      <c r="A59" s="166"/>
      <c r="B59" s="166"/>
      <c r="C59" s="167"/>
      <c r="D59" s="168" t="s">
        <v>24</v>
      </c>
      <c r="E59" s="124" t="str">
        <f>E$45</f>
        <v>Senior DSRA withdrawals</v>
      </c>
      <c r="F59" s="124">
        <f t="shared" ref="F59:BQ59" si="121">F$45</f>
        <v>0</v>
      </c>
      <c r="G59" s="124">
        <f t="shared" si="121"/>
        <v>0</v>
      </c>
      <c r="H59" s="124">
        <f t="shared" si="121"/>
        <v>21896.691307804147</v>
      </c>
      <c r="I59" s="124">
        <f t="shared" si="121"/>
        <v>0</v>
      </c>
      <c r="J59" s="124">
        <f t="shared" si="121"/>
        <v>0</v>
      </c>
      <c r="K59" s="124">
        <f t="shared" si="121"/>
        <v>0</v>
      </c>
      <c r="L59" s="124">
        <f t="shared" si="121"/>
        <v>0</v>
      </c>
      <c r="M59" s="124">
        <f t="shared" si="121"/>
        <v>0</v>
      </c>
      <c r="N59" s="124">
        <f t="shared" si="121"/>
        <v>0</v>
      </c>
      <c r="O59" s="124">
        <f t="shared" si="121"/>
        <v>0</v>
      </c>
      <c r="P59" s="124">
        <f t="shared" si="121"/>
        <v>0</v>
      </c>
      <c r="Q59" s="124">
        <f t="shared" si="121"/>
        <v>1165.6789281556375</v>
      </c>
      <c r="R59" s="124">
        <f t="shared" si="121"/>
        <v>0</v>
      </c>
      <c r="S59" s="124">
        <f t="shared" si="121"/>
        <v>335.7539354595574</v>
      </c>
      <c r="T59" s="124">
        <f t="shared" si="121"/>
        <v>0</v>
      </c>
      <c r="U59" s="124">
        <f t="shared" si="121"/>
        <v>119.52888510953562</v>
      </c>
      <c r="V59" s="124">
        <f t="shared" si="121"/>
        <v>0</v>
      </c>
      <c r="W59" s="124">
        <f t="shared" si="121"/>
        <v>0</v>
      </c>
      <c r="X59" s="124">
        <f t="shared" si="121"/>
        <v>99.592612743308564</v>
      </c>
      <c r="Y59" s="124">
        <f t="shared" si="121"/>
        <v>186.29240345455401</v>
      </c>
      <c r="Z59" s="124">
        <f t="shared" si="121"/>
        <v>0</v>
      </c>
      <c r="AA59" s="124">
        <f t="shared" si="121"/>
        <v>88.329546687764378</v>
      </c>
      <c r="AB59" s="124">
        <f t="shared" si="121"/>
        <v>0</v>
      </c>
      <c r="AC59" s="124">
        <f t="shared" si="121"/>
        <v>0</v>
      </c>
      <c r="AD59" s="124">
        <f t="shared" si="121"/>
        <v>0</v>
      </c>
      <c r="AE59" s="124">
        <f t="shared" si="121"/>
        <v>89.087947983767663</v>
      </c>
      <c r="AF59" s="124">
        <f t="shared" si="121"/>
        <v>0</v>
      </c>
      <c r="AG59" s="124">
        <f t="shared" si="121"/>
        <v>85.166851921447233</v>
      </c>
      <c r="AH59" s="124">
        <f t="shared" si="121"/>
        <v>0</v>
      </c>
      <c r="AI59" s="124">
        <f t="shared" si="121"/>
        <v>83.859819900673756</v>
      </c>
      <c r="AJ59" s="124">
        <f t="shared" si="121"/>
        <v>0</v>
      </c>
      <c r="AK59" s="124">
        <f t="shared" si="121"/>
        <v>81.213483463554439</v>
      </c>
      <c r="AL59" s="124">
        <f t="shared" si="121"/>
        <v>0</v>
      </c>
      <c r="AM59" s="124">
        <f t="shared" si="121"/>
        <v>0</v>
      </c>
      <c r="AN59" s="124">
        <f t="shared" si="121"/>
        <v>0</v>
      </c>
      <c r="AO59" s="124">
        <f t="shared" si="121"/>
        <v>97.317408855295071</v>
      </c>
      <c r="AP59" s="124">
        <f t="shared" si="121"/>
        <v>0</v>
      </c>
      <c r="AQ59" s="124">
        <f t="shared" si="121"/>
        <v>102.14213199370352</v>
      </c>
      <c r="AR59" s="124">
        <f t="shared" si="121"/>
        <v>0</v>
      </c>
      <c r="AS59" s="124">
        <f t="shared" si="121"/>
        <v>103.94131804698918</v>
      </c>
      <c r="AT59" s="124">
        <f t="shared" si="121"/>
        <v>0</v>
      </c>
      <c r="AU59" s="124">
        <f t="shared" si="121"/>
        <v>109.71807685484964</v>
      </c>
      <c r="AV59" s="124">
        <f t="shared" si="121"/>
        <v>0</v>
      </c>
      <c r="AW59" s="124">
        <f t="shared" si="121"/>
        <v>0</v>
      </c>
      <c r="AX59" s="124">
        <f t="shared" si="121"/>
        <v>0</v>
      </c>
      <c r="AY59" s="124">
        <f t="shared" si="121"/>
        <v>145.5404359426866</v>
      </c>
      <c r="AZ59" s="124">
        <f t="shared" si="121"/>
        <v>0</v>
      </c>
      <c r="BA59" s="124">
        <f t="shared" si="121"/>
        <v>152.80979304586435</v>
      </c>
      <c r="BB59" s="124">
        <f t="shared" si="121"/>
        <v>18850.717728184958</v>
      </c>
      <c r="BC59" s="124">
        <f t="shared" si="121"/>
        <v>0</v>
      </c>
      <c r="BD59" s="124">
        <f t="shared" si="121"/>
        <v>0</v>
      </c>
      <c r="BE59" s="124">
        <f t="shared" si="121"/>
        <v>0</v>
      </c>
      <c r="BF59" s="124">
        <f t="shared" si="121"/>
        <v>0</v>
      </c>
      <c r="BG59" s="124">
        <f t="shared" si="121"/>
        <v>0</v>
      </c>
      <c r="BH59" s="124">
        <f t="shared" si="121"/>
        <v>0</v>
      </c>
      <c r="BI59" s="124">
        <f t="shared" si="121"/>
        <v>0</v>
      </c>
      <c r="BJ59" s="124">
        <f t="shared" si="121"/>
        <v>0</v>
      </c>
      <c r="BK59" s="124">
        <f t="shared" si="121"/>
        <v>0</v>
      </c>
      <c r="BL59" s="124">
        <f t="shared" si="121"/>
        <v>0</v>
      </c>
      <c r="BM59" s="124">
        <f t="shared" si="121"/>
        <v>0</v>
      </c>
      <c r="BN59" s="124">
        <f t="shared" si="121"/>
        <v>0</v>
      </c>
      <c r="BO59" s="124">
        <f t="shared" si="121"/>
        <v>0</v>
      </c>
      <c r="BP59" s="124">
        <f t="shared" si="121"/>
        <v>0</v>
      </c>
      <c r="BQ59" s="124">
        <f t="shared" si="121"/>
        <v>0</v>
      </c>
      <c r="BR59" s="124">
        <f t="shared" ref="BR59:CA59" si="122">BR$45</f>
        <v>0</v>
      </c>
      <c r="BS59" s="124">
        <f t="shared" si="122"/>
        <v>0</v>
      </c>
      <c r="BT59" s="124">
        <f t="shared" si="122"/>
        <v>0</v>
      </c>
      <c r="BU59" s="124">
        <f t="shared" si="122"/>
        <v>0</v>
      </c>
      <c r="BV59" s="124">
        <f t="shared" si="122"/>
        <v>0</v>
      </c>
      <c r="BW59" s="124">
        <f t="shared" si="122"/>
        <v>0</v>
      </c>
      <c r="BX59" s="124">
        <f t="shared" si="122"/>
        <v>0</v>
      </c>
      <c r="BY59" s="124">
        <f t="shared" si="122"/>
        <v>0</v>
      </c>
      <c r="BZ59" s="124">
        <f t="shared" si="122"/>
        <v>0</v>
      </c>
      <c r="CA59" s="124">
        <f t="shared" si="122"/>
        <v>0</v>
      </c>
    </row>
    <row r="60" spans="1:79" s="173" customFormat="1" ht="13.5" thickBot="1" x14ac:dyDescent="0.25">
      <c r="A60" s="169"/>
      <c r="B60" s="169"/>
      <c r="C60" s="170"/>
      <c r="D60" s="171"/>
      <c r="E60" s="172" t="s">
        <v>320</v>
      </c>
      <c r="G60" s="172" t="str">
        <f xml:space="preserve"> SMU</f>
        <v>€ 000s</v>
      </c>
      <c r="I60" s="174"/>
      <c r="J60" s="173">
        <f t="shared" ref="J60:BU60" si="123" xml:space="preserve"> IF( J55 = 1, $F54, J57 + J58 - J59)</f>
        <v>0</v>
      </c>
      <c r="K60" s="173">
        <f t="shared" si="123"/>
        <v>0</v>
      </c>
      <c r="L60" s="173">
        <f t="shared" si="123"/>
        <v>0</v>
      </c>
      <c r="M60" s="173">
        <f t="shared" si="123"/>
        <v>0</v>
      </c>
      <c r="N60" s="173">
        <f t="shared" si="123"/>
        <v>8000</v>
      </c>
      <c r="O60" s="173">
        <f t="shared" si="123"/>
        <v>15308.914325215337</v>
      </c>
      <c r="P60" s="173">
        <f t="shared" si="123"/>
        <v>18644.973138297792</v>
      </c>
      <c r="Q60" s="173">
        <f t="shared" si="123"/>
        <v>17479.294210142154</v>
      </c>
      <c r="R60" s="173">
        <f t="shared" si="123"/>
        <v>17590.408068105608</v>
      </c>
      <c r="S60" s="173">
        <f t="shared" si="123"/>
        <v>17254.65413264605</v>
      </c>
      <c r="T60" s="173">
        <f t="shared" si="123"/>
        <v>17328.582122808635</v>
      </c>
      <c r="U60" s="173">
        <f t="shared" si="123"/>
        <v>17209.0532376991</v>
      </c>
      <c r="V60" s="173">
        <f t="shared" si="123"/>
        <v>17275.937777527521</v>
      </c>
      <c r="W60" s="173">
        <f t="shared" si="123"/>
        <v>17471.936103951146</v>
      </c>
      <c r="X60" s="173">
        <f t="shared" si="123"/>
        <v>17372.343491207837</v>
      </c>
      <c r="Y60" s="173">
        <f t="shared" si="123"/>
        <v>17186.051087753283</v>
      </c>
      <c r="Z60" s="173">
        <f t="shared" si="123"/>
        <v>17254.565383558223</v>
      </c>
      <c r="AA60" s="173">
        <f t="shared" si="123"/>
        <v>17166.235836870459</v>
      </c>
      <c r="AB60" s="173">
        <f t="shared" si="123"/>
        <v>17250.321563540158</v>
      </c>
      <c r="AC60" s="173">
        <f t="shared" si="123"/>
        <v>17508.516864334983</v>
      </c>
      <c r="AD60" s="173">
        <f t="shared" si="123"/>
        <v>17622.583646493513</v>
      </c>
      <c r="AE60" s="173">
        <f t="shared" si="123"/>
        <v>17533.495698509745</v>
      </c>
      <c r="AF60" s="173">
        <f t="shared" si="123"/>
        <v>17659.535539426462</v>
      </c>
      <c r="AG60" s="173">
        <f t="shared" si="123"/>
        <v>17574.368687505015</v>
      </c>
      <c r="AH60" s="173">
        <f t="shared" si="123"/>
        <v>17582.807918947779</v>
      </c>
      <c r="AI60" s="173">
        <f t="shared" si="123"/>
        <v>17498.948099047106</v>
      </c>
      <c r="AJ60" s="173">
        <f t="shared" si="123"/>
        <v>17644.165811034047</v>
      </c>
      <c r="AK60" s="173">
        <f t="shared" si="123"/>
        <v>17562.952327570492</v>
      </c>
      <c r="AL60" s="173">
        <f t="shared" si="123"/>
        <v>17715.899278297555</v>
      </c>
      <c r="AM60" s="173">
        <f t="shared" si="123"/>
        <v>17892.493826881931</v>
      </c>
      <c r="AN60" s="173">
        <f t="shared" si="123"/>
        <v>18071.452328442148</v>
      </c>
      <c r="AO60" s="173">
        <f t="shared" si="123"/>
        <v>17974.134919586853</v>
      </c>
      <c r="AP60" s="173">
        <f t="shared" si="123"/>
        <v>18159.87062421774</v>
      </c>
      <c r="AQ60" s="173">
        <f t="shared" si="123"/>
        <v>18057.728492224036</v>
      </c>
      <c r="AR60" s="173">
        <f t="shared" si="123"/>
        <v>18246.812457895794</v>
      </c>
      <c r="AS60" s="173">
        <f t="shared" si="123"/>
        <v>18142.871139848805</v>
      </c>
      <c r="AT60" s="173">
        <f t="shared" si="123"/>
        <v>18338.054588284165</v>
      </c>
      <c r="AU60" s="173">
        <f t="shared" si="123"/>
        <v>18228.336511429316</v>
      </c>
      <c r="AV60" s="173">
        <f t="shared" si="123"/>
        <v>18425.641869873711</v>
      </c>
      <c r="AW60" s="173">
        <f t="shared" si="123"/>
        <v>18703.119927024381</v>
      </c>
      <c r="AX60" s="173">
        <f t="shared" si="123"/>
        <v>18926.880581741076</v>
      </c>
      <c r="AY60" s="173">
        <f t="shared" si="123"/>
        <v>18781.340145798389</v>
      </c>
      <c r="AZ60" s="173">
        <f t="shared" si="123"/>
        <v>19003.527521230822</v>
      </c>
      <c r="BA60" s="173">
        <f t="shared" si="123"/>
        <v>18850.717728184958</v>
      </c>
      <c r="BB60" s="173">
        <f t="shared" si="123"/>
        <v>0</v>
      </c>
      <c r="BC60" s="173">
        <f t="shared" si="123"/>
        <v>0</v>
      </c>
      <c r="BD60" s="173">
        <f t="shared" si="123"/>
        <v>0</v>
      </c>
      <c r="BE60" s="173">
        <f t="shared" si="123"/>
        <v>0</v>
      </c>
      <c r="BF60" s="173">
        <f t="shared" si="123"/>
        <v>0</v>
      </c>
      <c r="BG60" s="173">
        <f t="shared" si="123"/>
        <v>0</v>
      </c>
      <c r="BH60" s="173">
        <f t="shared" si="123"/>
        <v>0</v>
      </c>
      <c r="BI60" s="173">
        <f t="shared" si="123"/>
        <v>0</v>
      </c>
      <c r="BJ60" s="173">
        <f t="shared" si="123"/>
        <v>0</v>
      </c>
      <c r="BK60" s="173">
        <f t="shared" si="123"/>
        <v>0</v>
      </c>
      <c r="BL60" s="173">
        <f t="shared" si="123"/>
        <v>0</v>
      </c>
      <c r="BM60" s="173">
        <f t="shared" si="123"/>
        <v>0</v>
      </c>
      <c r="BN60" s="173">
        <f t="shared" si="123"/>
        <v>0</v>
      </c>
      <c r="BO60" s="173">
        <f t="shared" si="123"/>
        <v>0</v>
      </c>
      <c r="BP60" s="173">
        <f t="shared" si="123"/>
        <v>0</v>
      </c>
      <c r="BQ60" s="173">
        <f t="shared" si="123"/>
        <v>0</v>
      </c>
      <c r="BR60" s="173">
        <f t="shared" si="123"/>
        <v>0</v>
      </c>
      <c r="BS60" s="173">
        <f t="shared" si="123"/>
        <v>0</v>
      </c>
      <c r="BT60" s="173">
        <f t="shared" si="123"/>
        <v>0</v>
      </c>
      <c r="BU60" s="173">
        <f t="shared" si="123"/>
        <v>0</v>
      </c>
      <c r="BV60" s="173">
        <f t="shared" ref="BV60:CA60" si="124" xml:space="preserve"> IF( BV55 = 1, $F54, BV57 + BV58 - BV59)</f>
        <v>0</v>
      </c>
      <c r="BW60" s="173">
        <f t="shared" si="124"/>
        <v>0</v>
      </c>
      <c r="BX60" s="173">
        <f t="shared" si="124"/>
        <v>0</v>
      </c>
      <c r="BY60" s="173">
        <f t="shared" si="124"/>
        <v>0</v>
      </c>
      <c r="BZ60" s="173">
        <f t="shared" si="124"/>
        <v>0</v>
      </c>
      <c r="CA60" s="173">
        <f t="shared" si="124"/>
        <v>0</v>
      </c>
    </row>
    <row r="61" spans="1:79" s="133" customFormat="1" ht="13.5" thickTop="1" x14ac:dyDescent="0.2">
      <c r="A61" s="129"/>
      <c r="B61" s="130"/>
      <c r="C61" s="131"/>
      <c r="D61" s="132"/>
    </row>
    <row r="63" spans="1:79" x14ac:dyDescent="0.2">
      <c r="A63" s="81" t="s">
        <v>33</v>
      </c>
    </row>
    <row r="65" spans="1:79" x14ac:dyDescent="0.2">
      <c r="B65" s="81"/>
      <c r="C65" s="134"/>
      <c r="E65" s="135" t="s">
        <v>34</v>
      </c>
      <c r="F65" s="81"/>
      <c r="G65" s="85" t="s">
        <v>35</v>
      </c>
      <c r="H65" s="85">
        <f>SUM(J65:CA65)</f>
        <v>7000</v>
      </c>
      <c r="J65" s="136">
        <v>100</v>
      </c>
      <c r="K65" s="136">
        <v>100</v>
      </c>
      <c r="L65" s="136">
        <v>100</v>
      </c>
      <c r="M65" s="136">
        <v>100</v>
      </c>
      <c r="N65" s="136">
        <v>100</v>
      </c>
      <c r="O65" s="136">
        <v>100</v>
      </c>
      <c r="P65" s="136">
        <v>100</v>
      </c>
      <c r="Q65" s="136">
        <v>100</v>
      </c>
      <c r="R65" s="136">
        <v>100</v>
      </c>
      <c r="S65" s="136">
        <v>100</v>
      </c>
      <c r="T65" s="136">
        <v>100</v>
      </c>
      <c r="U65" s="136">
        <v>100</v>
      </c>
      <c r="V65" s="136">
        <v>100</v>
      </c>
      <c r="W65" s="136">
        <v>100</v>
      </c>
      <c r="X65" s="136">
        <v>100</v>
      </c>
      <c r="Y65" s="136">
        <v>100</v>
      </c>
      <c r="Z65" s="136">
        <v>100</v>
      </c>
      <c r="AA65" s="136">
        <v>100</v>
      </c>
      <c r="AB65" s="136">
        <v>100</v>
      </c>
      <c r="AC65" s="136">
        <v>100</v>
      </c>
      <c r="AD65" s="136">
        <v>100</v>
      </c>
      <c r="AE65" s="136">
        <v>100</v>
      </c>
      <c r="AF65" s="136">
        <v>100</v>
      </c>
      <c r="AG65" s="136">
        <v>100</v>
      </c>
      <c r="AH65" s="136">
        <v>100</v>
      </c>
      <c r="AI65" s="136">
        <v>100</v>
      </c>
      <c r="AJ65" s="136">
        <v>100</v>
      </c>
      <c r="AK65" s="136">
        <v>100</v>
      </c>
      <c r="AL65" s="136">
        <v>100</v>
      </c>
      <c r="AM65" s="136">
        <v>100</v>
      </c>
      <c r="AN65" s="136">
        <v>100</v>
      </c>
      <c r="AO65" s="136">
        <v>100</v>
      </c>
      <c r="AP65" s="136">
        <v>100</v>
      </c>
      <c r="AQ65" s="136">
        <v>100</v>
      </c>
      <c r="AR65" s="136">
        <v>100</v>
      </c>
      <c r="AS65" s="136">
        <v>100</v>
      </c>
      <c r="AT65" s="136">
        <v>100</v>
      </c>
      <c r="AU65" s="136">
        <v>100</v>
      </c>
      <c r="AV65" s="136">
        <v>100</v>
      </c>
      <c r="AW65" s="136">
        <v>100</v>
      </c>
      <c r="AX65" s="136">
        <v>100</v>
      </c>
      <c r="AY65" s="136">
        <v>100</v>
      </c>
      <c r="AZ65" s="136">
        <v>100</v>
      </c>
      <c r="BA65" s="136">
        <v>100</v>
      </c>
      <c r="BB65" s="136">
        <v>100</v>
      </c>
      <c r="BC65" s="136">
        <v>100</v>
      </c>
      <c r="BD65" s="136">
        <v>100</v>
      </c>
      <c r="BE65" s="136">
        <v>100</v>
      </c>
      <c r="BF65" s="136">
        <v>100</v>
      </c>
      <c r="BG65" s="136">
        <v>100</v>
      </c>
      <c r="BH65" s="136">
        <v>100</v>
      </c>
      <c r="BI65" s="136">
        <v>100</v>
      </c>
      <c r="BJ65" s="136">
        <v>100</v>
      </c>
      <c r="BK65" s="136">
        <v>100</v>
      </c>
      <c r="BL65" s="136">
        <v>100</v>
      </c>
      <c r="BM65" s="136">
        <v>100</v>
      </c>
      <c r="BN65" s="136">
        <v>100</v>
      </c>
      <c r="BO65" s="136">
        <v>100</v>
      </c>
      <c r="BP65" s="136">
        <v>100</v>
      </c>
      <c r="BQ65" s="136">
        <v>100</v>
      </c>
      <c r="BR65" s="136">
        <v>100</v>
      </c>
      <c r="BS65" s="136">
        <v>100</v>
      </c>
      <c r="BT65" s="136">
        <v>100</v>
      </c>
      <c r="BU65" s="136">
        <v>100</v>
      </c>
      <c r="BV65" s="136">
        <v>100</v>
      </c>
      <c r="BW65" s="136">
        <v>100</v>
      </c>
      <c r="BX65" s="136">
        <v>100</v>
      </c>
      <c r="BY65" s="136">
        <v>100</v>
      </c>
      <c r="BZ65" s="136">
        <v>100</v>
      </c>
      <c r="CA65" s="136">
        <v>100</v>
      </c>
    </row>
    <row r="66" spans="1:79" s="140" customFormat="1" x14ac:dyDescent="0.2">
      <c r="A66" s="137"/>
      <c r="B66" s="137"/>
      <c r="C66" s="138"/>
      <c r="D66" s="139"/>
      <c r="E66" s="140" t="str">
        <f xml:space="preserve"> LEFT(E65, LEN(E65) - 4)</f>
        <v>Sign switch line item</v>
      </c>
      <c r="G66" s="140" t="str">
        <f xml:space="preserve"> G65</f>
        <v>units</v>
      </c>
      <c r="H66" s="140">
        <f>SUM(J66:CA66)</f>
        <v>-7000</v>
      </c>
      <c r="J66" s="140">
        <f t="shared" ref="J66:BU66" si="125" xml:space="preserve"> -1 * J65</f>
        <v>-100</v>
      </c>
      <c r="K66" s="140">
        <f t="shared" si="125"/>
        <v>-100</v>
      </c>
      <c r="L66" s="140">
        <f t="shared" si="125"/>
        <v>-100</v>
      </c>
      <c r="M66" s="140">
        <f t="shared" si="125"/>
        <v>-100</v>
      </c>
      <c r="N66" s="140">
        <f t="shared" si="125"/>
        <v>-100</v>
      </c>
      <c r="O66" s="140">
        <f t="shared" si="125"/>
        <v>-100</v>
      </c>
      <c r="P66" s="140">
        <f t="shared" si="125"/>
        <v>-100</v>
      </c>
      <c r="Q66" s="140">
        <f t="shared" si="125"/>
        <v>-100</v>
      </c>
      <c r="R66" s="140">
        <f t="shared" si="125"/>
        <v>-100</v>
      </c>
      <c r="S66" s="140">
        <f t="shared" si="125"/>
        <v>-100</v>
      </c>
      <c r="T66" s="140">
        <f t="shared" si="125"/>
        <v>-100</v>
      </c>
      <c r="U66" s="140">
        <f t="shared" si="125"/>
        <v>-100</v>
      </c>
      <c r="V66" s="140">
        <f t="shared" si="125"/>
        <v>-100</v>
      </c>
      <c r="W66" s="140">
        <f t="shared" si="125"/>
        <v>-100</v>
      </c>
      <c r="X66" s="140">
        <f t="shared" si="125"/>
        <v>-100</v>
      </c>
      <c r="Y66" s="140">
        <f t="shared" si="125"/>
        <v>-100</v>
      </c>
      <c r="Z66" s="140">
        <f t="shared" si="125"/>
        <v>-100</v>
      </c>
      <c r="AA66" s="140">
        <f t="shared" si="125"/>
        <v>-100</v>
      </c>
      <c r="AB66" s="140">
        <f t="shared" si="125"/>
        <v>-100</v>
      </c>
      <c r="AC66" s="140">
        <f t="shared" si="125"/>
        <v>-100</v>
      </c>
      <c r="AD66" s="140">
        <f t="shared" si="125"/>
        <v>-100</v>
      </c>
      <c r="AE66" s="140">
        <f t="shared" si="125"/>
        <v>-100</v>
      </c>
      <c r="AF66" s="140">
        <f t="shared" si="125"/>
        <v>-100</v>
      </c>
      <c r="AG66" s="140">
        <f t="shared" si="125"/>
        <v>-100</v>
      </c>
      <c r="AH66" s="140">
        <f t="shared" si="125"/>
        <v>-100</v>
      </c>
      <c r="AI66" s="140">
        <f t="shared" si="125"/>
        <v>-100</v>
      </c>
      <c r="AJ66" s="140">
        <f t="shared" si="125"/>
        <v>-100</v>
      </c>
      <c r="AK66" s="140">
        <f t="shared" si="125"/>
        <v>-100</v>
      </c>
      <c r="AL66" s="140">
        <f t="shared" si="125"/>
        <v>-100</v>
      </c>
      <c r="AM66" s="140">
        <f t="shared" si="125"/>
        <v>-100</v>
      </c>
      <c r="AN66" s="140">
        <f t="shared" si="125"/>
        <v>-100</v>
      </c>
      <c r="AO66" s="140">
        <f t="shared" si="125"/>
        <v>-100</v>
      </c>
      <c r="AP66" s="140">
        <f t="shared" si="125"/>
        <v>-100</v>
      </c>
      <c r="AQ66" s="140">
        <f t="shared" si="125"/>
        <v>-100</v>
      </c>
      <c r="AR66" s="140">
        <f t="shared" si="125"/>
        <v>-100</v>
      </c>
      <c r="AS66" s="140">
        <f t="shared" si="125"/>
        <v>-100</v>
      </c>
      <c r="AT66" s="140">
        <f t="shared" si="125"/>
        <v>-100</v>
      </c>
      <c r="AU66" s="140">
        <f t="shared" si="125"/>
        <v>-100</v>
      </c>
      <c r="AV66" s="140">
        <f t="shared" si="125"/>
        <v>-100</v>
      </c>
      <c r="AW66" s="140">
        <f t="shared" si="125"/>
        <v>-100</v>
      </c>
      <c r="AX66" s="140">
        <f t="shared" si="125"/>
        <v>-100</v>
      </c>
      <c r="AY66" s="140">
        <f t="shared" si="125"/>
        <v>-100</v>
      </c>
      <c r="AZ66" s="140">
        <f t="shared" si="125"/>
        <v>-100</v>
      </c>
      <c r="BA66" s="140">
        <f t="shared" si="125"/>
        <v>-100</v>
      </c>
      <c r="BB66" s="140">
        <f t="shared" si="125"/>
        <v>-100</v>
      </c>
      <c r="BC66" s="140">
        <f t="shared" si="125"/>
        <v>-100</v>
      </c>
      <c r="BD66" s="140">
        <f t="shared" si="125"/>
        <v>-100</v>
      </c>
      <c r="BE66" s="140">
        <f t="shared" si="125"/>
        <v>-100</v>
      </c>
      <c r="BF66" s="140">
        <f t="shared" si="125"/>
        <v>-100</v>
      </c>
      <c r="BG66" s="140">
        <f t="shared" si="125"/>
        <v>-100</v>
      </c>
      <c r="BH66" s="140">
        <f t="shared" si="125"/>
        <v>-100</v>
      </c>
      <c r="BI66" s="140">
        <f t="shared" si="125"/>
        <v>-100</v>
      </c>
      <c r="BJ66" s="140">
        <f t="shared" si="125"/>
        <v>-100</v>
      </c>
      <c r="BK66" s="140">
        <f t="shared" si="125"/>
        <v>-100</v>
      </c>
      <c r="BL66" s="140">
        <f t="shared" si="125"/>
        <v>-100</v>
      </c>
      <c r="BM66" s="140">
        <f t="shared" si="125"/>
        <v>-100</v>
      </c>
      <c r="BN66" s="140">
        <f t="shared" si="125"/>
        <v>-100</v>
      </c>
      <c r="BO66" s="140">
        <f t="shared" si="125"/>
        <v>-100</v>
      </c>
      <c r="BP66" s="140">
        <f t="shared" si="125"/>
        <v>-100</v>
      </c>
      <c r="BQ66" s="140">
        <f t="shared" si="125"/>
        <v>-100</v>
      </c>
      <c r="BR66" s="140">
        <f t="shared" si="125"/>
        <v>-100</v>
      </c>
      <c r="BS66" s="140">
        <f t="shared" si="125"/>
        <v>-100</v>
      </c>
      <c r="BT66" s="140">
        <f t="shared" si="125"/>
        <v>-100</v>
      </c>
      <c r="BU66" s="140">
        <f t="shared" si="125"/>
        <v>-100</v>
      </c>
      <c r="BV66" s="140">
        <f t="shared" ref="BV66:CA66" si="126" xml:space="preserve"> -1 * BV65</f>
        <v>-100</v>
      </c>
      <c r="BW66" s="140">
        <f t="shared" si="126"/>
        <v>-100</v>
      </c>
      <c r="BX66" s="140">
        <f t="shared" si="126"/>
        <v>-100</v>
      </c>
      <c r="BY66" s="140">
        <f t="shared" si="126"/>
        <v>-100</v>
      </c>
      <c r="BZ66" s="140">
        <f t="shared" si="126"/>
        <v>-100</v>
      </c>
      <c r="CA66" s="140">
        <f t="shared" si="126"/>
        <v>-100</v>
      </c>
    </row>
  </sheetData>
  <printOptions heading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&amp;L&amp;"Arial,Bold"&amp;14Financial Mechanics Training Model&amp;C&amp;"Arial,Bold"&amp;14Sheet: &amp;A&amp;R&amp;"Arial,Bold"&amp;14STRICTLY NOT CONFIDENTIAL</oddHeader>
    <oddFooter>&amp;L&amp;12&amp;F (Printed on &amp;D at &amp;T) &amp;C&amp;12Page &amp;P of &amp;N&amp;R&amp;12© 2008 Financial Mechanics Ltd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CA50"/>
  <sheetViews>
    <sheetView defaultGridColor="0" colorId="22" workbookViewId="0">
      <pane xSplit="6" ySplit="4" topLeftCell="G7" activePane="bottomRight" state="frozen"/>
      <selection activeCell="G5" sqref="G5"/>
      <selection pane="topRight" activeCell="G5" sqref="G5"/>
      <selection pane="bottomLeft" activeCell="G5" sqref="G5"/>
      <selection pane="bottomRight" activeCell="E32" sqref="E32"/>
    </sheetView>
  </sheetViews>
  <sheetFormatPr defaultColWidth="0" defaultRowHeight="12.75" x14ac:dyDescent="0.2"/>
  <cols>
    <col min="1" max="1" width="1.28515625" style="81" customWidth="1"/>
    <col min="2" max="2" width="1.28515625" style="82" customWidth="1"/>
    <col min="3" max="3" width="1.28515625" style="83" customWidth="1"/>
    <col min="4" max="4" width="1.28515625" style="84" customWidth="1"/>
    <col min="5" max="5" width="40.7109375" style="85" customWidth="1"/>
    <col min="6" max="6" width="12.7109375" style="85" customWidth="1"/>
    <col min="7" max="8" width="11.7109375" style="85" customWidth="1"/>
    <col min="9" max="9" width="2.7109375" style="85" customWidth="1"/>
    <col min="10" max="79" width="11.7109375" style="85" customWidth="1"/>
    <col min="80" max="16384" width="0" style="85" hidden="1"/>
  </cols>
  <sheetData>
    <row r="1" spans="1:79" s="72" customFormat="1" x14ac:dyDescent="0.2">
      <c r="A1" s="69" t="str">
        <f ca="1" xml:space="preserve"> RIGHT(CELL("filename", A1), LEN(CELL("filename", A1)) - SEARCH("]", CELL("filename", A1)))</f>
        <v>Tax</v>
      </c>
      <c r="B1" s="69"/>
      <c r="C1" s="70"/>
      <c r="D1" s="71"/>
      <c r="F1" s="73"/>
      <c r="G1" s="73"/>
      <c r="H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</row>
    <row r="2" spans="1:79" s="74" customFormat="1" x14ac:dyDescent="0.2">
      <c r="A2" s="75"/>
      <c r="B2" s="75"/>
      <c r="C2" s="107"/>
      <c r="D2" s="77"/>
      <c r="E2" s="74" t="str">
        <f xml:space="preserve"> 'T&amp;E'!E$24</f>
        <v>Operating period flag</v>
      </c>
      <c r="F2" s="74">
        <f xml:space="preserve"> 'T&amp;E'!F$24</f>
        <v>0</v>
      </c>
      <c r="G2" s="74" t="str">
        <f xml:space="preserve"> 'T&amp;E'!G$24</f>
        <v>flag</v>
      </c>
      <c r="H2" s="74">
        <f xml:space="preserve"> 'T&amp;E'!H$24</f>
        <v>60</v>
      </c>
      <c r="I2" s="74">
        <f xml:space="preserve"> 'T&amp;E'!I$24</f>
        <v>0</v>
      </c>
      <c r="J2" s="74">
        <f xml:space="preserve"> 'T&amp;E'!J$24</f>
        <v>0</v>
      </c>
      <c r="K2" s="74">
        <f xml:space="preserve"> 'T&amp;E'!K$24</f>
        <v>0</v>
      </c>
      <c r="L2" s="74">
        <f xml:space="preserve"> 'T&amp;E'!L$24</f>
        <v>0</v>
      </c>
      <c r="M2" s="74">
        <f xml:space="preserve"> 'T&amp;E'!M$24</f>
        <v>0</v>
      </c>
      <c r="N2" s="74">
        <f xml:space="preserve"> 'T&amp;E'!N$24</f>
        <v>0</v>
      </c>
      <c r="O2" s="74">
        <f xml:space="preserve"> 'T&amp;E'!O$24</f>
        <v>1</v>
      </c>
      <c r="P2" s="74">
        <f xml:space="preserve"> 'T&amp;E'!P$24</f>
        <v>1</v>
      </c>
      <c r="Q2" s="74">
        <f xml:space="preserve"> 'T&amp;E'!Q$24</f>
        <v>1</v>
      </c>
      <c r="R2" s="74">
        <f xml:space="preserve"> 'T&amp;E'!R$24</f>
        <v>1</v>
      </c>
      <c r="S2" s="74">
        <f xml:space="preserve"> 'T&amp;E'!S$24</f>
        <v>1</v>
      </c>
      <c r="T2" s="74">
        <f xml:space="preserve"> 'T&amp;E'!T$24</f>
        <v>1</v>
      </c>
      <c r="U2" s="74">
        <f xml:space="preserve"> 'T&amp;E'!U$24</f>
        <v>1</v>
      </c>
      <c r="V2" s="74">
        <f xml:space="preserve"> 'T&amp;E'!V$24</f>
        <v>1</v>
      </c>
      <c r="W2" s="74">
        <f xml:space="preserve"> 'T&amp;E'!W$24</f>
        <v>1</v>
      </c>
      <c r="X2" s="74">
        <f xml:space="preserve"> 'T&amp;E'!X$24</f>
        <v>1</v>
      </c>
      <c r="Y2" s="74">
        <f xml:space="preserve"> 'T&amp;E'!Y$24</f>
        <v>1</v>
      </c>
      <c r="Z2" s="74">
        <f xml:space="preserve"> 'T&amp;E'!Z$24</f>
        <v>1</v>
      </c>
      <c r="AA2" s="74">
        <f xml:space="preserve"> 'T&amp;E'!AA$24</f>
        <v>1</v>
      </c>
      <c r="AB2" s="74">
        <f xml:space="preserve"> 'T&amp;E'!AB$24</f>
        <v>1</v>
      </c>
      <c r="AC2" s="74">
        <f xml:space="preserve"> 'T&amp;E'!AC$24</f>
        <v>1</v>
      </c>
      <c r="AD2" s="74">
        <f xml:space="preserve"> 'T&amp;E'!AD$24</f>
        <v>1</v>
      </c>
      <c r="AE2" s="74">
        <f xml:space="preserve"> 'T&amp;E'!AE$24</f>
        <v>1</v>
      </c>
      <c r="AF2" s="74">
        <f xml:space="preserve"> 'T&amp;E'!AF$24</f>
        <v>1</v>
      </c>
      <c r="AG2" s="74">
        <f xml:space="preserve"> 'T&amp;E'!AG$24</f>
        <v>1</v>
      </c>
      <c r="AH2" s="74">
        <f xml:space="preserve"> 'T&amp;E'!AH$24</f>
        <v>1</v>
      </c>
      <c r="AI2" s="74">
        <f xml:space="preserve"> 'T&amp;E'!AI$24</f>
        <v>1</v>
      </c>
      <c r="AJ2" s="74">
        <f xml:space="preserve"> 'T&amp;E'!AJ$24</f>
        <v>1</v>
      </c>
      <c r="AK2" s="74">
        <f xml:space="preserve"> 'T&amp;E'!AK$24</f>
        <v>1</v>
      </c>
      <c r="AL2" s="74">
        <f xml:space="preserve"> 'T&amp;E'!AL$24</f>
        <v>1</v>
      </c>
      <c r="AM2" s="74">
        <f xml:space="preserve"> 'T&amp;E'!AM$24</f>
        <v>1</v>
      </c>
      <c r="AN2" s="74">
        <f xml:space="preserve"> 'T&amp;E'!AN$24</f>
        <v>1</v>
      </c>
      <c r="AO2" s="74">
        <f xml:space="preserve"> 'T&amp;E'!AO$24</f>
        <v>1</v>
      </c>
      <c r="AP2" s="74">
        <f xml:space="preserve"> 'T&amp;E'!AP$24</f>
        <v>1</v>
      </c>
      <c r="AQ2" s="74">
        <f xml:space="preserve"> 'T&amp;E'!AQ$24</f>
        <v>1</v>
      </c>
      <c r="AR2" s="74">
        <f xml:space="preserve"> 'T&amp;E'!AR$24</f>
        <v>1</v>
      </c>
      <c r="AS2" s="74">
        <f xml:space="preserve"> 'T&amp;E'!AS$24</f>
        <v>1</v>
      </c>
      <c r="AT2" s="74">
        <f xml:space="preserve"> 'T&amp;E'!AT$24</f>
        <v>1</v>
      </c>
      <c r="AU2" s="74">
        <f xml:space="preserve"> 'T&amp;E'!AU$24</f>
        <v>1</v>
      </c>
      <c r="AV2" s="74">
        <f xml:space="preserve"> 'T&amp;E'!AV$24</f>
        <v>1</v>
      </c>
      <c r="AW2" s="74">
        <f xml:space="preserve"> 'T&amp;E'!AW$24</f>
        <v>1</v>
      </c>
      <c r="AX2" s="74">
        <f xml:space="preserve"> 'T&amp;E'!AX$24</f>
        <v>1</v>
      </c>
      <c r="AY2" s="74">
        <f xml:space="preserve"> 'T&amp;E'!AY$24</f>
        <v>1</v>
      </c>
      <c r="AZ2" s="74">
        <f xml:space="preserve"> 'T&amp;E'!AZ$24</f>
        <v>1</v>
      </c>
      <c r="BA2" s="74">
        <f xml:space="preserve"> 'T&amp;E'!BA$24</f>
        <v>1</v>
      </c>
      <c r="BB2" s="74">
        <f xml:space="preserve"> 'T&amp;E'!BB$24</f>
        <v>1</v>
      </c>
      <c r="BC2" s="74">
        <f xml:space="preserve"> 'T&amp;E'!BC$24</f>
        <v>1</v>
      </c>
      <c r="BD2" s="74">
        <f xml:space="preserve"> 'T&amp;E'!BD$24</f>
        <v>1</v>
      </c>
      <c r="BE2" s="74">
        <f xml:space="preserve"> 'T&amp;E'!BE$24</f>
        <v>1</v>
      </c>
      <c r="BF2" s="74">
        <f xml:space="preserve"> 'T&amp;E'!BF$24</f>
        <v>1</v>
      </c>
      <c r="BG2" s="74">
        <f xml:space="preserve"> 'T&amp;E'!BG$24</f>
        <v>1</v>
      </c>
      <c r="BH2" s="74">
        <f xml:space="preserve"> 'T&amp;E'!BH$24</f>
        <v>1</v>
      </c>
      <c r="BI2" s="74">
        <f xml:space="preserve"> 'T&amp;E'!BI$24</f>
        <v>1</v>
      </c>
      <c r="BJ2" s="74">
        <f xml:space="preserve"> 'T&amp;E'!BJ$24</f>
        <v>1</v>
      </c>
      <c r="BK2" s="74">
        <f xml:space="preserve"> 'T&amp;E'!BK$24</f>
        <v>1</v>
      </c>
      <c r="BL2" s="74">
        <f xml:space="preserve"> 'T&amp;E'!BL$24</f>
        <v>1</v>
      </c>
      <c r="BM2" s="74">
        <f xml:space="preserve"> 'T&amp;E'!BM$24</f>
        <v>1</v>
      </c>
      <c r="BN2" s="74">
        <f xml:space="preserve"> 'T&amp;E'!BN$24</f>
        <v>1</v>
      </c>
      <c r="BO2" s="74">
        <f xml:space="preserve"> 'T&amp;E'!BO$24</f>
        <v>1</v>
      </c>
      <c r="BP2" s="74">
        <f xml:space="preserve"> 'T&amp;E'!BP$24</f>
        <v>1</v>
      </c>
      <c r="BQ2" s="74">
        <f xml:space="preserve"> 'T&amp;E'!BQ$24</f>
        <v>1</v>
      </c>
      <c r="BR2" s="74">
        <f xml:space="preserve"> 'T&amp;E'!BR$24</f>
        <v>1</v>
      </c>
      <c r="BS2" s="74">
        <f xml:space="preserve"> 'T&amp;E'!BS$24</f>
        <v>1</v>
      </c>
      <c r="BT2" s="74">
        <f xml:space="preserve"> 'T&amp;E'!BT$24</f>
        <v>1</v>
      </c>
      <c r="BU2" s="74">
        <f xml:space="preserve"> 'T&amp;E'!BU$24</f>
        <v>1</v>
      </c>
      <c r="BV2" s="74">
        <f xml:space="preserve"> 'T&amp;E'!BV$24</f>
        <v>1</v>
      </c>
      <c r="BW2" s="74">
        <f xml:space="preserve"> 'T&amp;E'!BW$24</f>
        <v>0</v>
      </c>
      <c r="BX2" s="74">
        <f xml:space="preserve"> 'T&amp;E'!BX$24</f>
        <v>0</v>
      </c>
      <c r="BY2" s="74">
        <f xml:space="preserve"> 'T&amp;E'!BY$24</f>
        <v>0</v>
      </c>
      <c r="BZ2" s="74">
        <f xml:space="preserve"> 'T&amp;E'!BZ$24</f>
        <v>0</v>
      </c>
      <c r="CA2" s="74">
        <f xml:space="preserve"> 'T&amp;E'!CA$24</f>
        <v>0</v>
      </c>
    </row>
    <row r="3" spans="1:79" s="74" customFormat="1" x14ac:dyDescent="0.2">
      <c r="A3" s="75"/>
      <c r="B3" s="75"/>
      <c r="C3" s="107"/>
      <c r="D3" s="77"/>
      <c r="E3" s="74" t="str">
        <f>'T&amp;E'!E$8</f>
        <v>Model column counter</v>
      </c>
      <c r="F3" s="74">
        <f>'T&amp;E'!F$8</f>
        <v>0</v>
      </c>
      <c r="G3" s="74">
        <f>'T&amp;E'!G$8</f>
        <v>0</v>
      </c>
      <c r="H3" s="74">
        <f>'T&amp;E'!H$8</f>
        <v>0</v>
      </c>
      <c r="I3" s="74">
        <f>'T&amp;E'!I$8</f>
        <v>0</v>
      </c>
      <c r="J3" s="74">
        <f>'T&amp;E'!J$8</f>
        <v>1</v>
      </c>
      <c r="K3" s="74">
        <f>'T&amp;E'!K$8</f>
        <v>2</v>
      </c>
      <c r="L3" s="74">
        <f>'T&amp;E'!L$8</f>
        <v>3</v>
      </c>
      <c r="M3" s="74">
        <f>'T&amp;E'!M$8</f>
        <v>4</v>
      </c>
      <c r="N3" s="74">
        <f>'T&amp;E'!N$8</f>
        <v>5</v>
      </c>
      <c r="O3" s="74">
        <f>'T&amp;E'!O$8</f>
        <v>6</v>
      </c>
      <c r="P3" s="74">
        <f>'T&amp;E'!P$8</f>
        <v>7</v>
      </c>
      <c r="Q3" s="74">
        <f>'T&amp;E'!Q$8</f>
        <v>8</v>
      </c>
      <c r="R3" s="74">
        <f>'T&amp;E'!R$8</f>
        <v>9</v>
      </c>
      <c r="S3" s="74">
        <f>'T&amp;E'!S$8</f>
        <v>10</v>
      </c>
      <c r="T3" s="74">
        <f>'T&amp;E'!T$8</f>
        <v>11</v>
      </c>
      <c r="U3" s="74">
        <f>'T&amp;E'!U$8</f>
        <v>12</v>
      </c>
      <c r="V3" s="74">
        <f>'T&amp;E'!V$8</f>
        <v>13</v>
      </c>
      <c r="W3" s="74">
        <f>'T&amp;E'!W$8</f>
        <v>14</v>
      </c>
      <c r="X3" s="74">
        <f>'T&amp;E'!X$8</f>
        <v>15</v>
      </c>
      <c r="Y3" s="74">
        <f>'T&amp;E'!Y$8</f>
        <v>16</v>
      </c>
      <c r="Z3" s="74">
        <f>'T&amp;E'!Z$8</f>
        <v>17</v>
      </c>
      <c r="AA3" s="74">
        <f>'T&amp;E'!AA$8</f>
        <v>18</v>
      </c>
      <c r="AB3" s="74">
        <f>'T&amp;E'!AB$8</f>
        <v>19</v>
      </c>
      <c r="AC3" s="74">
        <f>'T&amp;E'!AC$8</f>
        <v>20</v>
      </c>
      <c r="AD3" s="74">
        <f>'T&amp;E'!AD$8</f>
        <v>21</v>
      </c>
      <c r="AE3" s="74">
        <f>'T&amp;E'!AE$8</f>
        <v>22</v>
      </c>
      <c r="AF3" s="74">
        <f>'T&amp;E'!AF$8</f>
        <v>23</v>
      </c>
      <c r="AG3" s="74">
        <f>'T&amp;E'!AG$8</f>
        <v>24</v>
      </c>
      <c r="AH3" s="74">
        <f>'T&amp;E'!AH$8</f>
        <v>25</v>
      </c>
      <c r="AI3" s="74">
        <f>'T&amp;E'!AI$8</f>
        <v>26</v>
      </c>
      <c r="AJ3" s="74">
        <f>'T&amp;E'!AJ$8</f>
        <v>27</v>
      </c>
      <c r="AK3" s="74">
        <f>'T&amp;E'!AK$8</f>
        <v>28</v>
      </c>
      <c r="AL3" s="74">
        <f>'T&amp;E'!AL$8</f>
        <v>29</v>
      </c>
      <c r="AM3" s="74">
        <f>'T&amp;E'!AM$8</f>
        <v>30</v>
      </c>
      <c r="AN3" s="74">
        <f>'T&amp;E'!AN$8</f>
        <v>31</v>
      </c>
      <c r="AO3" s="74">
        <f>'T&amp;E'!AO$8</f>
        <v>32</v>
      </c>
      <c r="AP3" s="74">
        <f>'T&amp;E'!AP$8</f>
        <v>33</v>
      </c>
      <c r="AQ3" s="74">
        <f>'T&amp;E'!AQ$8</f>
        <v>34</v>
      </c>
      <c r="AR3" s="74">
        <f>'T&amp;E'!AR$8</f>
        <v>35</v>
      </c>
      <c r="AS3" s="74">
        <f>'T&amp;E'!AS$8</f>
        <v>36</v>
      </c>
      <c r="AT3" s="74">
        <f>'T&amp;E'!AT$8</f>
        <v>37</v>
      </c>
      <c r="AU3" s="74">
        <f>'T&amp;E'!AU$8</f>
        <v>38</v>
      </c>
      <c r="AV3" s="74">
        <f>'T&amp;E'!AV$8</f>
        <v>39</v>
      </c>
      <c r="AW3" s="74">
        <f>'T&amp;E'!AW$8</f>
        <v>40</v>
      </c>
      <c r="AX3" s="74">
        <f>'T&amp;E'!AX$8</f>
        <v>41</v>
      </c>
      <c r="AY3" s="74">
        <f>'T&amp;E'!AY$8</f>
        <v>42</v>
      </c>
      <c r="AZ3" s="74">
        <f>'T&amp;E'!AZ$8</f>
        <v>43</v>
      </c>
      <c r="BA3" s="74">
        <f>'T&amp;E'!BA$8</f>
        <v>44</v>
      </c>
      <c r="BB3" s="74">
        <f>'T&amp;E'!BB$8</f>
        <v>45</v>
      </c>
      <c r="BC3" s="74">
        <f>'T&amp;E'!BC$8</f>
        <v>46</v>
      </c>
      <c r="BD3" s="74">
        <f>'T&amp;E'!BD$8</f>
        <v>47</v>
      </c>
      <c r="BE3" s="74">
        <f>'T&amp;E'!BE$8</f>
        <v>48</v>
      </c>
      <c r="BF3" s="74">
        <f>'T&amp;E'!BF$8</f>
        <v>49</v>
      </c>
      <c r="BG3" s="74">
        <f>'T&amp;E'!BG$8</f>
        <v>50</v>
      </c>
      <c r="BH3" s="74">
        <f>'T&amp;E'!BH$8</f>
        <v>51</v>
      </c>
      <c r="BI3" s="74">
        <f>'T&amp;E'!BI$8</f>
        <v>52</v>
      </c>
      <c r="BJ3" s="74">
        <f>'T&amp;E'!BJ$8</f>
        <v>53</v>
      </c>
      <c r="BK3" s="74">
        <f>'T&amp;E'!BK$8</f>
        <v>54</v>
      </c>
      <c r="BL3" s="74">
        <f>'T&amp;E'!BL$8</f>
        <v>55</v>
      </c>
      <c r="BM3" s="74">
        <f>'T&amp;E'!BM$8</f>
        <v>56</v>
      </c>
      <c r="BN3" s="74">
        <f>'T&amp;E'!BN$8</f>
        <v>57</v>
      </c>
      <c r="BO3" s="74">
        <f>'T&amp;E'!BO$8</f>
        <v>58</v>
      </c>
      <c r="BP3" s="74">
        <f>'T&amp;E'!BP$8</f>
        <v>59</v>
      </c>
      <c r="BQ3" s="74">
        <f>'T&amp;E'!BQ$8</f>
        <v>60</v>
      </c>
      <c r="BR3" s="74">
        <f>'T&amp;E'!BR$8</f>
        <v>61</v>
      </c>
      <c r="BS3" s="74">
        <f>'T&amp;E'!BS$8</f>
        <v>62</v>
      </c>
      <c r="BT3" s="74">
        <f>'T&amp;E'!BT$8</f>
        <v>63</v>
      </c>
      <c r="BU3" s="74">
        <f>'T&amp;E'!BU$8</f>
        <v>64</v>
      </c>
      <c r="BV3" s="74">
        <f>'T&amp;E'!BV$8</f>
        <v>65</v>
      </c>
      <c r="BW3" s="74">
        <f>'T&amp;E'!BW$8</f>
        <v>66</v>
      </c>
      <c r="BX3" s="74">
        <f>'T&amp;E'!BX$8</f>
        <v>67</v>
      </c>
      <c r="BY3" s="74">
        <f>'T&amp;E'!BY$8</f>
        <v>68</v>
      </c>
      <c r="BZ3" s="74">
        <f>'T&amp;E'!BZ$8</f>
        <v>69</v>
      </c>
      <c r="CA3" s="74">
        <f>'T&amp;E'!CA$8</f>
        <v>70</v>
      </c>
    </row>
    <row r="4" spans="1:79" s="78" customFormat="1" x14ac:dyDescent="0.2">
      <c r="C4" s="79"/>
      <c r="D4" s="80"/>
      <c r="E4" s="78" t="str">
        <f xml:space="preserve"> 'T&amp;E'!E$12</f>
        <v>Model period ending</v>
      </c>
      <c r="F4" s="80" t="str">
        <f xml:space="preserve"> 'T&amp;E'!F$12</f>
        <v>constant</v>
      </c>
      <c r="G4" s="78" t="str">
        <f xml:space="preserve"> 'T&amp;E'!G$12</f>
        <v>unit</v>
      </c>
      <c r="H4" s="80" t="str">
        <f xml:space="preserve"> 'T&amp;E'!H$12</f>
        <v>total</v>
      </c>
      <c r="I4" s="78">
        <f xml:space="preserve"> 'T&amp;E'!I$12</f>
        <v>0</v>
      </c>
      <c r="J4" s="78">
        <f xml:space="preserve"> 'T&amp;E'!J$12</f>
        <v>41639</v>
      </c>
      <c r="K4" s="78">
        <f xml:space="preserve"> 'T&amp;E'!K$12</f>
        <v>41820</v>
      </c>
      <c r="L4" s="78">
        <f xml:space="preserve"> 'T&amp;E'!L$12</f>
        <v>42004</v>
      </c>
      <c r="M4" s="78">
        <f xml:space="preserve"> 'T&amp;E'!M$12</f>
        <v>42185</v>
      </c>
      <c r="N4" s="78">
        <f xml:space="preserve"> 'T&amp;E'!N$12</f>
        <v>42369</v>
      </c>
      <c r="O4" s="78">
        <f xml:space="preserve"> 'T&amp;E'!O$12</f>
        <v>42551</v>
      </c>
      <c r="P4" s="78">
        <f xml:space="preserve"> 'T&amp;E'!P$12</f>
        <v>42735</v>
      </c>
      <c r="Q4" s="78">
        <f xml:space="preserve"> 'T&amp;E'!Q$12</f>
        <v>42916</v>
      </c>
      <c r="R4" s="78">
        <f xml:space="preserve"> 'T&amp;E'!R$12</f>
        <v>43100</v>
      </c>
      <c r="S4" s="78">
        <f xml:space="preserve"> 'T&amp;E'!S$12</f>
        <v>43281</v>
      </c>
      <c r="T4" s="78">
        <f xml:space="preserve"> 'T&amp;E'!T$12</f>
        <v>43465</v>
      </c>
      <c r="U4" s="78">
        <f xml:space="preserve"> 'T&amp;E'!U$12</f>
        <v>43646</v>
      </c>
      <c r="V4" s="78">
        <f xml:space="preserve"> 'T&amp;E'!V$12</f>
        <v>43830</v>
      </c>
      <c r="W4" s="78">
        <f xml:space="preserve"> 'T&amp;E'!W$12</f>
        <v>44012</v>
      </c>
      <c r="X4" s="78">
        <f xml:space="preserve"> 'T&amp;E'!X$12</f>
        <v>44196</v>
      </c>
      <c r="Y4" s="78">
        <f xml:space="preserve"> 'T&amp;E'!Y$12</f>
        <v>44377</v>
      </c>
      <c r="Z4" s="78">
        <f xml:space="preserve"> 'T&amp;E'!Z$12</f>
        <v>44561</v>
      </c>
      <c r="AA4" s="78">
        <f xml:space="preserve"> 'T&amp;E'!AA$12</f>
        <v>44742</v>
      </c>
      <c r="AB4" s="78">
        <f xml:space="preserve"> 'T&amp;E'!AB$12</f>
        <v>44926</v>
      </c>
      <c r="AC4" s="78">
        <f xml:space="preserve"> 'T&amp;E'!AC$12</f>
        <v>45107</v>
      </c>
      <c r="AD4" s="78">
        <f xml:space="preserve"> 'T&amp;E'!AD$12</f>
        <v>45291</v>
      </c>
      <c r="AE4" s="78">
        <f xml:space="preserve"> 'T&amp;E'!AE$12</f>
        <v>45473</v>
      </c>
      <c r="AF4" s="78">
        <f xml:space="preserve"> 'T&amp;E'!AF$12</f>
        <v>45657</v>
      </c>
      <c r="AG4" s="78">
        <f xml:space="preserve"> 'T&amp;E'!AG$12</f>
        <v>45838</v>
      </c>
      <c r="AH4" s="78">
        <f xml:space="preserve"> 'T&amp;E'!AH$12</f>
        <v>46022</v>
      </c>
      <c r="AI4" s="78">
        <f xml:space="preserve"> 'T&amp;E'!AI$12</f>
        <v>46203</v>
      </c>
      <c r="AJ4" s="78">
        <f xml:space="preserve"> 'T&amp;E'!AJ$12</f>
        <v>46387</v>
      </c>
      <c r="AK4" s="78">
        <f xml:space="preserve"> 'T&amp;E'!AK$12</f>
        <v>46568</v>
      </c>
      <c r="AL4" s="78">
        <f xml:space="preserve"> 'T&amp;E'!AL$12</f>
        <v>46752</v>
      </c>
      <c r="AM4" s="78">
        <f xml:space="preserve"> 'T&amp;E'!AM$12</f>
        <v>46934</v>
      </c>
      <c r="AN4" s="78">
        <f xml:space="preserve"> 'T&amp;E'!AN$12</f>
        <v>47118</v>
      </c>
      <c r="AO4" s="78">
        <f xml:space="preserve"> 'T&amp;E'!AO$12</f>
        <v>47299</v>
      </c>
      <c r="AP4" s="78">
        <f xml:space="preserve"> 'T&amp;E'!AP$12</f>
        <v>47483</v>
      </c>
      <c r="AQ4" s="78">
        <f xml:space="preserve"> 'T&amp;E'!AQ$12</f>
        <v>47664</v>
      </c>
      <c r="AR4" s="78">
        <f xml:space="preserve"> 'T&amp;E'!AR$12</f>
        <v>47848</v>
      </c>
      <c r="AS4" s="78">
        <f xml:space="preserve"> 'T&amp;E'!AS$12</f>
        <v>48029</v>
      </c>
      <c r="AT4" s="78">
        <f xml:space="preserve"> 'T&amp;E'!AT$12</f>
        <v>48213</v>
      </c>
      <c r="AU4" s="78">
        <f xml:space="preserve"> 'T&amp;E'!AU$12</f>
        <v>48395</v>
      </c>
      <c r="AV4" s="78">
        <f xml:space="preserve"> 'T&amp;E'!AV$12</f>
        <v>48579</v>
      </c>
      <c r="AW4" s="78">
        <f xml:space="preserve"> 'T&amp;E'!AW$12</f>
        <v>48760</v>
      </c>
      <c r="AX4" s="78">
        <f xml:space="preserve"> 'T&amp;E'!AX$12</f>
        <v>48944</v>
      </c>
      <c r="AY4" s="78">
        <f xml:space="preserve"> 'T&amp;E'!AY$12</f>
        <v>49125</v>
      </c>
      <c r="AZ4" s="78">
        <f xml:space="preserve"> 'T&amp;E'!AZ$12</f>
        <v>49309</v>
      </c>
      <c r="BA4" s="78">
        <f xml:space="preserve"> 'T&amp;E'!BA$12</f>
        <v>49490</v>
      </c>
      <c r="BB4" s="78">
        <f xml:space="preserve"> 'T&amp;E'!BB$12</f>
        <v>49674</v>
      </c>
      <c r="BC4" s="78">
        <f xml:space="preserve"> 'T&amp;E'!BC$12</f>
        <v>49856</v>
      </c>
      <c r="BD4" s="78">
        <f xml:space="preserve"> 'T&amp;E'!BD$12</f>
        <v>50040</v>
      </c>
      <c r="BE4" s="78">
        <f xml:space="preserve"> 'T&amp;E'!BE$12</f>
        <v>50221</v>
      </c>
      <c r="BF4" s="78">
        <f xml:space="preserve"> 'T&amp;E'!BF$12</f>
        <v>50405</v>
      </c>
      <c r="BG4" s="78">
        <f xml:space="preserve"> 'T&amp;E'!BG$12</f>
        <v>50586</v>
      </c>
      <c r="BH4" s="78">
        <f xml:space="preserve"> 'T&amp;E'!BH$12</f>
        <v>50770</v>
      </c>
      <c r="BI4" s="78">
        <f xml:space="preserve"> 'T&amp;E'!BI$12</f>
        <v>50951</v>
      </c>
      <c r="BJ4" s="78">
        <f xml:space="preserve"> 'T&amp;E'!BJ$12</f>
        <v>51135</v>
      </c>
      <c r="BK4" s="78">
        <f xml:space="preserve"> 'T&amp;E'!BK$12</f>
        <v>51317</v>
      </c>
      <c r="BL4" s="78">
        <f xml:space="preserve"> 'T&amp;E'!BL$12</f>
        <v>51501</v>
      </c>
      <c r="BM4" s="78">
        <f xml:space="preserve"> 'T&amp;E'!BM$12</f>
        <v>51682</v>
      </c>
      <c r="BN4" s="78">
        <f xml:space="preserve"> 'T&amp;E'!BN$12</f>
        <v>51866</v>
      </c>
      <c r="BO4" s="78">
        <f xml:space="preserve"> 'T&amp;E'!BO$12</f>
        <v>52047</v>
      </c>
      <c r="BP4" s="78">
        <f xml:space="preserve"> 'T&amp;E'!BP$12</f>
        <v>52231</v>
      </c>
      <c r="BQ4" s="78">
        <f xml:space="preserve"> 'T&amp;E'!BQ$12</f>
        <v>52412</v>
      </c>
      <c r="BR4" s="78">
        <f xml:space="preserve"> 'T&amp;E'!BR$12</f>
        <v>52596</v>
      </c>
      <c r="BS4" s="78">
        <f xml:space="preserve"> 'T&amp;E'!BS$12</f>
        <v>52778</v>
      </c>
      <c r="BT4" s="78">
        <f xml:space="preserve"> 'T&amp;E'!BT$12</f>
        <v>52962</v>
      </c>
      <c r="BU4" s="78">
        <f xml:space="preserve"> 'T&amp;E'!BU$12</f>
        <v>53143</v>
      </c>
      <c r="BV4" s="78">
        <f xml:space="preserve"> 'T&amp;E'!BV$12</f>
        <v>53327</v>
      </c>
      <c r="BW4" s="78">
        <f xml:space="preserve"> 'T&amp;E'!BW$12</f>
        <v>53508</v>
      </c>
      <c r="BX4" s="78">
        <f xml:space="preserve"> 'T&amp;E'!BX$12</f>
        <v>53692</v>
      </c>
      <c r="BY4" s="78">
        <f xml:space="preserve"> 'T&amp;E'!BY$12</f>
        <v>53873</v>
      </c>
      <c r="BZ4" s="78">
        <f xml:space="preserve"> 'T&amp;E'!BZ$12</f>
        <v>54057</v>
      </c>
      <c r="CA4" s="78">
        <f xml:space="preserve"> 'T&amp;E'!CA$12</f>
        <v>54239</v>
      </c>
    </row>
    <row r="6" spans="1:79" x14ac:dyDescent="0.2">
      <c r="A6" s="81" t="s">
        <v>150</v>
      </c>
    </row>
    <row r="8" spans="1:79" s="186" customFormat="1" x14ac:dyDescent="0.2">
      <c r="A8" s="181"/>
      <c r="B8" s="182"/>
      <c r="C8" s="183"/>
      <c r="D8" s="184"/>
      <c r="E8" s="185" t="str">
        <f>InpC!E$47</f>
        <v>Reducing balance rate for tax</v>
      </c>
      <c r="F8" s="185">
        <f>InpC!F$47</f>
        <v>0.05</v>
      </c>
      <c r="G8" s="185" t="str">
        <f>InpC!G$47</f>
        <v>of basis</v>
      </c>
    </row>
    <row r="9" spans="1:79" s="160" customFormat="1" x14ac:dyDescent="0.2">
      <c r="A9" s="157"/>
      <c r="B9" s="157"/>
      <c r="C9" s="158"/>
      <c r="D9" s="159"/>
      <c r="E9" s="160" t="str">
        <f xml:space="preserve"> E$16</f>
        <v>Remaining tax basis balance BEG</v>
      </c>
      <c r="F9" s="160">
        <f t="shared" ref="F9:BQ9" si="0" xml:space="preserve"> F$16</f>
        <v>0</v>
      </c>
      <c r="G9" s="160" t="str">
        <f t="shared" si="0"/>
        <v>€ 000s</v>
      </c>
      <c r="H9" s="160">
        <f t="shared" si="0"/>
        <v>0</v>
      </c>
      <c r="I9" s="160">
        <f t="shared" si="0"/>
        <v>0</v>
      </c>
      <c r="J9" s="160">
        <f t="shared" si="0"/>
        <v>0</v>
      </c>
      <c r="K9" s="160">
        <f t="shared" si="0"/>
        <v>0</v>
      </c>
      <c r="L9" s="160">
        <f t="shared" si="0"/>
        <v>0</v>
      </c>
      <c r="M9" s="160">
        <f t="shared" si="0"/>
        <v>0</v>
      </c>
      <c r="N9" s="160">
        <f t="shared" si="0"/>
        <v>0</v>
      </c>
      <c r="O9" s="160">
        <f t="shared" si="0"/>
        <v>395404.94468287478</v>
      </c>
      <c r="P9" s="160">
        <f t="shared" si="0"/>
        <v>375634.69744873105</v>
      </c>
      <c r="Q9" s="160">
        <f t="shared" si="0"/>
        <v>356852.96257629449</v>
      </c>
      <c r="R9" s="160">
        <f t="shared" si="0"/>
        <v>339010.31444747979</v>
      </c>
      <c r="S9" s="160">
        <f t="shared" si="0"/>
        <v>322059.79872510582</v>
      </c>
      <c r="T9" s="160">
        <f t="shared" si="0"/>
        <v>305956.80878885055</v>
      </c>
      <c r="U9" s="160">
        <f t="shared" si="0"/>
        <v>290658.96834940801</v>
      </c>
      <c r="V9" s="160">
        <f t="shared" si="0"/>
        <v>276126.01993193763</v>
      </c>
      <c r="W9" s="160">
        <f t="shared" si="0"/>
        <v>262319.71893534076</v>
      </c>
      <c r="X9" s="160">
        <f t="shared" si="0"/>
        <v>249203.73298857373</v>
      </c>
      <c r="Y9" s="160">
        <f t="shared" si="0"/>
        <v>236743.54633914505</v>
      </c>
      <c r="Z9" s="160">
        <f t="shared" si="0"/>
        <v>224906.36902218781</v>
      </c>
      <c r="AA9" s="160">
        <f t="shared" si="0"/>
        <v>213661.05057107841</v>
      </c>
      <c r="AB9" s="160">
        <f t="shared" si="0"/>
        <v>202977.99804252447</v>
      </c>
      <c r="AC9" s="160">
        <f t="shared" si="0"/>
        <v>192829.09814039824</v>
      </c>
      <c r="AD9" s="160">
        <f t="shared" si="0"/>
        <v>183187.64323337833</v>
      </c>
      <c r="AE9" s="160">
        <f t="shared" si="0"/>
        <v>174028.26107170942</v>
      </c>
      <c r="AF9" s="160">
        <f t="shared" si="0"/>
        <v>165326.84801812394</v>
      </c>
      <c r="AG9" s="160">
        <f t="shared" si="0"/>
        <v>157060.50561721774</v>
      </c>
      <c r="AH9" s="160">
        <f t="shared" si="0"/>
        <v>149207.48033635685</v>
      </c>
      <c r="AI9" s="160">
        <f t="shared" si="0"/>
        <v>141747.10631953902</v>
      </c>
      <c r="AJ9" s="160">
        <f t="shared" si="0"/>
        <v>134659.75100356207</v>
      </c>
      <c r="AK9" s="160">
        <f t="shared" si="0"/>
        <v>127926.76345338396</v>
      </c>
      <c r="AL9" s="160">
        <f t="shared" si="0"/>
        <v>121530.42528071476</v>
      </c>
      <c r="AM9" s="160">
        <f t="shared" si="0"/>
        <v>115453.90401667902</v>
      </c>
      <c r="AN9" s="160">
        <f t="shared" si="0"/>
        <v>109681.20881584506</v>
      </c>
      <c r="AO9" s="160">
        <f t="shared" si="0"/>
        <v>104197.14837505281</v>
      </c>
      <c r="AP9" s="160">
        <f t="shared" si="0"/>
        <v>98987.290956300174</v>
      </c>
      <c r="AQ9" s="160">
        <f t="shared" si="0"/>
        <v>94037.92640848516</v>
      </c>
      <c r="AR9" s="160">
        <f t="shared" si="0"/>
        <v>89336.030088060899</v>
      </c>
      <c r="AS9" s="160">
        <f t="shared" si="0"/>
        <v>84869.228583657852</v>
      </c>
      <c r="AT9" s="160">
        <f t="shared" si="0"/>
        <v>80625.767154474961</v>
      </c>
      <c r="AU9" s="160">
        <f t="shared" si="0"/>
        <v>76594.478796751209</v>
      </c>
      <c r="AV9" s="160">
        <f t="shared" si="0"/>
        <v>72764.754856913642</v>
      </c>
      <c r="AW9" s="160">
        <f t="shared" si="0"/>
        <v>69126.517114067959</v>
      </c>
      <c r="AX9" s="160">
        <f t="shared" si="0"/>
        <v>65670.191258364561</v>
      </c>
      <c r="AY9" s="160">
        <f t="shared" si="0"/>
        <v>62386.681695446336</v>
      </c>
      <c r="AZ9" s="160">
        <f t="shared" si="0"/>
        <v>59267.34761067402</v>
      </c>
      <c r="BA9" s="160">
        <f t="shared" si="0"/>
        <v>56303.980230140318</v>
      </c>
      <c r="BB9" s="160">
        <f t="shared" si="0"/>
        <v>53488.781218633303</v>
      </c>
      <c r="BC9" s="160">
        <f t="shared" si="0"/>
        <v>50814.342157701642</v>
      </c>
      <c r="BD9" s="160">
        <f t="shared" si="0"/>
        <v>48273.625049816561</v>
      </c>
      <c r="BE9" s="160">
        <f t="shared" si="0"/>
        <v>45859.94379732573</v>
      </c>
      <c r="BF9" s="160">
        <f t="shared" si="0"/>
        <v>43566.946607459446</v>
      </c>
      <c r="BG9" s="160">
        <f t="shared" si="0"/>
        <v>41388.599277086476</v>
      </c>
      <c r="BH9" s="160">
        <f t="shared" si="0"/>
        <v>39319.169313232152</v>
      </c>
      <c r="BI9" s="160">
        <f t="shared" si="0"/>
        <v>37353.210847570546</v>
      </c>
      <c r="BJ9" s="160">
        <f t="shared" si="0"/>
        <v>35485.550305192017</v>
      </c>
      <c r="BK9" s="160">
        <f t="shared" si="0"/>
        <v>33711.272789932416</v>
      </c>
      <c r="BL9" s="160">
        <f t="shared" si="0"/>
        <v>32025.709150435796</v>
      </c>
      <c r="BM9" s="160">
        <f t="shared" si="0"/>
        <v>30424.423692914006</v>
      </c>
      <c r="BN9" s="160">
        <f t="shared" si="0"/>
        <v>28903.202508268307</v>
      </c>
      <c r="BO9" s="160">
        <f t="shared" si="0"/>
        <v>27458.042382854892</v>
      </c>
      <c r="BP9" s="160">
        <f t="shared" si="0"/>
        <v>26085.140263712146</v>
      </c>
      <c r="BQ9" s="160">
        <f t="shared" si="0"/>
        <v>24780.883250526538</v>
      </c>
      <c r="BR9" s="160">
        <f t="shared" ref="BR9:CA9" si="1" xml:space="preserve"> BR$16</f>
        <v>23541.839088000212</v>
      </c>
      <c r="BS9" s="160">
        <f t="shared" si="1"/>
        <v>22364.747133600202</v>
      </c>
      <c r="BT9" s="160">
        <f t="shared" si="1"/>
        <v>21246.509776920193</v>
      </c>
      <c r="BU9" s="160">
        <f t="shared" si="1"/>
        <v>20184.184288074182</v>
      </c>
      <c r="BV9" s="160">
        <f t="shared" si="1"/>
        <v>19174.975073670474</v>
      </c>
      <c r="BW9" s="160">
        <f t="shared" si="1"/>
        <v>0</v>
      </c>
      <c r="BX9" s="160">
        <f t="shared" si="1"/>
        <v>0</v>
      </c>
      <c r="BY9" s="160">
        <f t="shared" si="1"/>
        <v>0</v>
      </c>
      <c r="BZ9" s="160">
        <f t="shared" si="1"/>
        <v>0</v>
      </c>
      <c r="CA9" s="160">
        <f t="shared" si="1"/>
        <v>0</v>
      </c>
    </row>
    <row r="10" spans="1:79" s="144" customFormat="1" x14ac:dyDescent="0.2">
      <c r="A10" s="93"/>
      <c r="B10" s="93"/>
      <c r="C10" s="94"/>
      <c r="D10" s="143"/>
      <c r="E10" s="144" t="str">
        <f>'T&amp;E'!E$38</f>
        <v>Last forecast period flag</v>
      </c>
      <c r="F10" s="144">
        <f>'T&amp;E'!F$38</f>
        <v>0</v>
      </c>
      <c r="G10" s="144" t="str">
        <f>'T&amp;E'!G$38</f>
        <v>flag</v>
      </c>
      <c r="H10" s="144">
        <f>'T&amp;E'!H$38</f>
        <v>1</v>
      </c>
      <c r="I10" s="144">
        <f>'T&amp;E'!I$38</f>
        <v>0</v>
      </c>
      <c r="J10" s="144">
        <f>'T&amp;E'!J$38</f>
        <v>0</v>
      </c>
      <c r="K10" s="144">
        <f>'T&amp;E'!K$38</f>
        <v>0</v>
      </c>
      <c r="L10" s="144">
        <f>'T&amp;E'!L$38</f>
        <v>0</v>
      </c>
      <c r="M10" s="144">
        <f>'T&amp;E'!M$38</f>
        <v>0</v>
      </c>
      <c r="N10" s="144">
        <f>'T&amp;E'!N$38</f>
        <v>0</v>
      </c>
      <c r="O10" s="144">
        <f>'T&amp;E'!O$38</f>
        <v>0</v>
      </c>
      <c r="P10" s="144">
        <f>'T&amp;E'!P$38</f>
        <v>0</v>
      </c>
      <c r="Q10" s="144">
        <f>'T&amp;E'!Q$38</f>
        <v>0</v>
      </c>
      <c r="R10" s="144">
        <f>'T&amp;E'!R$38</f>
        <v>0</v>
      </c>
      <c r="S10" s="144">
        <f>'T&amp;E'!S$38</f>
        <v>0</v>
      </c>
      <c r="T10" s="144">
        <f>'T&amp;E'!T$38</f>
        <v>0</v>
      </c>
      <c r="U10" s="144">
        <f>'T&amp;E'!U$38</f>
        <v>0</v>
      </c>
      <c r="V10" s="144">
        <f>'T&amp;E'!V$38</f>
        <v>0</v>
      </c>
      <c r="W10" s="144">
        <f>'T&amp;E'!W$38</f>
        <v>0</v>
      </c>
      <c r="X10" s="144">
        <f>'T&amp;E'!X$38</f>
        <v>0</v>
      </c>
      <c r="Y10" s="144">
        <f>'T&amp;E'!Y$38</f>
        <v>0</v>
      </c>
      <c r="Z10" s="144">
        <f>'T&amp;E'!Z$38</f>
        <v>0</v>
      </c>
      <c r="AA10" s="144">
        <f>'T&amp;E'!AA$38</f>
        <v>0</v>
      </c>
      <c r="AB10" s="144">
        <f>'T&amp;E'!AB$38</f>
        <v>0</v>
      </c>
      <c r="AC10" s="144">
        <f>'T&amp;E'!AC$38</f>
        <v>0</v>
      </c>
      <c r="AD10" s="144">
        <f>'T&amp;E'!AD$38</f>
        <v>0</v>
      </c>
      <c r="AE10" s="144">
        <f>'T&amp;E'!AE$38</f>
        <v>0</v>
      </c>
      <c r="AF10" s="144">
        <f>'T&amp;E'!AF$38</f>
        <v>0</v>
      </c>
      <c r="AG10" s="144">
        <f>'T&amp;E'!AG$38</f>
        <v>0</v>
      </c>
      <c r="AH10" s="144">
        <f>'T&amp;E'!AH$38</f>
        <v>0</v>
      </c>
      <c r="AI10" s="144">
        <f>'T&amp;E'!AI$38</f>
        <v>0</v>
      </c>
      <c r="AJ10" s="144">
        <f>'T&amp;E'!AJ$38</f>
        <v>0</v>
      </c>
      <c r="AK10" s="144">
        <f>'T&amp;E'!AK$38</f>
        <v>0</v>
      </c>
      <c r="AL10" s="144">
        <f>'T&amp;E'!AL$38</f>
        <v>0</v>
      </c>
      <c r="AM10" s="144">
        <f>'T&amp;E'!AM$38</f>
        <v>0</v>
      </c>
      <c r="AN10" s="144">
        <f>'T&amp;E'!AN$38</f>
        <v>0</v>
      </c>
      <c r="AO10" s="144">
        <f>'T&amp;E'!AO$38</f>
        <v>0</v>
      </c>
      <c r="AP10" s="144">
        <f>'T&amp;E'!AP$38</f>
        <v>0</v>
      </c>
      <c r="AQ10" s="144">
        <f>'T&amp;E'!AQ$38</f>
        <v>0</v>
      </c>
      <c r="AR10" s="144">
        <f>'T&amp;E'!AR$38</f>
        <v>0</v>
      </c>
      <c r="AS10" s="144">
        <f>'T&amp;E'!AS$38</f>
        <v>0</v>
      </c>
      <c r="AT10" s="144">
        <f>'T&amp;E'!AT$38</f>
        <v>0</v>
      </c>
      <c r="AU10" s="144">
        <f>'T&amp;E'!AU$38</f>
        <v>0</v>
      </c>
      <c r="AV10" s="144">
        <f>'T&amp;E'!AV$38</f>
        <v>0</v>
      </c>
      <c r="AW10" s="144">
        <f>'T&amp;E'!AW$38</f>
        <v>0</v>
      </c>
      <c r="AX10" s="144">
        <f>'T&amp;E'!AX$38</f>
        <v>0</v>
      </c>
      <c r="AY10" s="144">
        <f>'T&amp;E'!AY$38</f>
        <v>0</v>
      </c>
      <c r="AZ10" s="144">
        <f>'T&amp;E'!AZ$38</f>
        <v>0</v>
      </c>
      <c r="BA10" s="144">
        <f>'T&amp;E'!BA$38</f>
        <v>0</v>
      </c>
      <c r="BB10" s="144">
        <f>'T&amp;E'!BB$38</f>
        <v>0</v>
      </c>
      <c r="BC10" s="144">
        <f>'T&amp;E'!BC$38</f>
        <v>0</v>
      </c>
      <c r="BD10" s="144">
        <f>'T&amp;E'!BD$38</f>
        <v>0</v>
      </c>
      <c r="BE10" s="144">
        <f>'T&amp;E'!BE$38</f>
        <v>0</v>
      </c>
      <c r="BF10" s="144">
        <f>'T&amp;E'!BF$38</f>
        <v>0</v>
      </c>
      <c r="BG10" s="144">
        <f>'T&amp;E'!BG$38</f>
        <v>0</v>
      </c>
      <c r="BH10" s="144">
        <f>'T&amp;E'!BH$38</f>
        <v>0</v>
      </c>
      <c r="BI10" s="144">
        <f>'T&amp;E'!BI$38</f>
        <v>0</v>
      </c>
      <c r="BJ10" s="144">
        <f>'T&amp;E'!BJ$38</f>
        <v>0</v>
      </c>
      <c r="BK10" s="144">
        <f>'T&amp;E'!BK$38</f>
        <v>0</v>
      </c>
      <c r="BL10" s="144">
        <f>'T&amp;E'!BL$38</f>
        <v>0</v>
      </c>
      <c r="BM10" s="144">
        <f>'T&amp;E'!BM$38</f>
        <v>0</v>
      </c>
      <c r="BN10" s="144">
        <f>'T&amp;E'!BN$38</f>
        <v>0</v>
      </c>
      <c r="BO10" s="144">
        <f>'T&amp;E'!BO$38</f>
        <v>0</v>
      </c>
      <c r="BP10" s="144">
        <f>'T&amp;E'!BP$38</f>
        <v>0</v>
      </c>
      <c r="BQ10" s="144">
        <f>'T&amp;E'!BQ$38</f>
        <v>0</v>
      </c>
      <c r="BR10" s="144">
        <f>'T&amp;E'!BR$38</f>
        <v>0</v>
      </c>
      <c r="BS10" s="144">
        <f>'T&amp;E'!BS$38</f>
        <v>0</v>
      </c>
      <c r="BT10" s="144">
        <f>'T&amp;E'!BT$38</f>
        <v>0</v>
      </c>
      <c r="BU10" s="144">
        <f>'T&amp;E'!BU$38</f>
        <v>0</v>
      </c>
      <c r="BV10" s="144">
        <f>'T&amp;E'!BV$38</f>
        <v>1</v>
      </c>
      <c r="BW10" s="144">
        <f>'T&amp;E'!BW$38</f>
        <v>0</v>
      </c>
      <c r="BX10" s="144">
        <f>'T&amp;E'!BX$38</f>
        <v>0</v>
      </c>
      <c r="BY10" s="144">
        <f>'T&amp;E'!BY$38</f>
        <v>0</v>
      </c>
      <c r="BZ10" s="144">
        <f>'T&amp;E'!BZ$38</f>
        <v>0</v>
      </c>
      <c r="CA10" s="144">
        <f>'T&amp;E'!CA$38</f>
        <v>0</v>
      </c>
    </row>
    <row r="11" spans="1:79" x14ac:dyDescent="0.2">
      <c r="E11" s="90" t="s">
        <v>148</v>
      </c>
      <c r="G11" s="85" t="str">
        <f xml:space="preserve"> SMU</f>
        <v>€ 000s</v>
      </c>
      <c r="H11" s="85">
        <f>SUM(J11:CA11)</f>
        <v>395404.94468287495</v>
      </c>
      <c r="J11" s="85">
        <f t="shared" ref="J11:BR11" si="2" xml:space="preserve"> IF(J10 = 1, J9, $F8 * J9)</f>
        <v>0</v>
      </c>
      <c r="K11" s="85">
        <f t="shared" si="2"/>
        <v>0</v>
      </c>
      <c r="L11" s="85">
        <f t="shared" si="2"/>
        <v>0</v>
      </c>
      <c r="M11" s="85">
        <f t="shared" si="2"/>
        <v>0</v>
      </c>
      <c r="N11" s="85">
        <f t="shared" si="2"/>
        <v>0</v>
      </c>
      <c r="O11" s="85">
        <f t="shared" si="2"/>
        <v>19770.247234143739</v>
      </c>
      <c r="P11" s="85">
        <f t="shared" si="2"/>
        <v>18781.734872436555</v>
      </c>
      <c r="Q11" s="85">
        <f t="shared" si="2"/>
        <v>17842.648128814726</v>
      </c>
      <c r="R11" s="85">
        <f t="shared" si="2"/>
        <v>16950.515722373992</v>
      </c>
      <c r="S11" s="85">
        <f t="shared" si="2"/>
        <v>16102.989936255291</v>
      </c>
      <c r="T11" s="85">
        <f t="shared" si="2"/>
        <v>15297.840439442529</v>
      </c>
      <c r="U11" s="85">
        <f t="shared" si="2"/>
        <v>14532.948417470401</v>
      </c>
      <c r="V11" s="85">
        <f t="shared" si="2"/>
        <v>13806.300996596881</v>
      </c>
      <c r="W11" s="85">
        <f t="shared" si="2"/>
        <v>13115.985946767039</v>
      </c>
      <c r="X11" s="85">
        <f t="shared" si="2"/>
        <v>12460.186649428688</v>
      </c>
      <c r="Y11" s="85">
        <f t="shared" si="2"/>
        <v>11837.177316957253</v>
      </c>
      <c r="Z11" s="85">
        <f t="shared" si="2"/>
        <v>11245.318451109391</v>
      </c>
      <c r="AA11" s="85">
        <f t="shared" si="2"/>
        <v>10683.052528553921</v>
      </c>
      <c r="AB11" s="85">
        <f t="shared" si="2"/>
        <v>10148.899902126224</v>
      </c>
      <c r="AC11" s="85">
        <f t="shared" si="2"/>
        <v>9641.4549070199118</v>
      </c>
      <c r="AD11" s="85">
        <f t="shared" si="2"/>
        <v>9159.3821616689165</v>
      </c>
      <c r="AE11" s="85">
        <f t="shared" si="2"/>
        <v>8701.4130535854711</v>
      </c>
      <c r="AF11" s="85">
        <f t="shared" si="2"/>
        <v>8266.3424009061982</v>
      </c>
      <c r="AG11" s="85">
        <f t="shared" si="2"/>
        <v>7853.0252808608875</v>
      </c>
      <c r="AH11" s="85">
        <f t="shared" si="2"/>
        <v>7460.3740168178429</v>
      </c>
      <c r="AI11" s="85">
        <f t="shared" si="2"/>
        <v>7087.3553159769508</v>
      </c>
      <c r="AJ11" s="85">
        <f t="shared" si="2"/>
        <v>6732.9875501781034</v>
      </c>
      <c r="AK11" s="85">
        <f t="shared" si="2"/>
        <v>6396.3381726691987</v>
      </c>
      <c r="AL11" s="85">
        <f t="shared" si="2"/>
        <v>6076.5212640357386</v>
      </c>
      <c r="AM11" s="85">
        <f t="shared" si="2"/>
        <v>5772.6952008339513</v>
      </c>
      <c r="AN11" s="85">
        <f t="shared" si="2"/>
        <v>5484.0604407922538</v>
      </c>
      <c r="AO11" s="85">
        <f t="shared" si="2"/>
        <v>5209.857418752641</v>
      </c>
      <c r="AP11" s="85">
        <f t="shared" si="2"/>
        <v>4949.3645478150092</v>
      </c>
      <c r="AQ11" s="85">
        <f t="shared" si="2"/>
        <v>4701.8963204242582</v>
      </c>
      <c r="AR11" s="85">
        <f t="shared" si="2"/>
        <v>4466.8015044030453</v>
      </c>
      <c r="AS11" s="85">
        <f t="shared" si="2"/>
        <v>4243.461429182893</v>
      </c>
      <c r="AT11" s="85">
        <f t="shared" si="2"/>
        <v>4031.288357723748</v>
      </c>
      <c r="AU11" s="85">
        <f t="shared" si="2"/>
        <v>3829.7239398375605</v>
      </c>
      <c r="AV11" s="85">
        <f t="shared" si="2"/>
        <v>3638.2377428456821</v>
      </c>
      <c r="AW11" s="85">
        <f t="shared" si="2"/>
        <v>3456.3258557033982</v>
      </c>
      <c r="AX11" s="85">
        <f t="shared" si="2"/>
        <v>3283.5095629182283</v>
      </c>
      <c r="AY11" s="85">
        <f t="shared" si="2"/>
        <v>3119.3340847723171</v>
      </c>
      <c r="AZ11" s="85">
        <f t="shared" si="2"/>
        <v>2963.3673805337012</v>
      </c>
      <c r="BA11" s="85">
        <f t="shared" si="2"/>
        <v>2815.1990115070162</v>
      </c>
      <c r="BB11" s="85">
        <f t="shared" si="2"/>
        <v>2674.4390609316652</v>
      </c>
      <c r="BC11" s="85">
        <f t="shared" si="2"/>
        <v>2540.7171078850824</v>
      </c>
      <c r="BD11" s="85">
        <f t="shared" si="2"/>
        <v>2413.6812524908282</v>
      </c>
      <c r="BE11" s="85">
        <f t="shared" si="2"/>
        <v>2292.9971898662866</v>
      </c>
      <c r="BF11" s="85">
        <f t="shared" si="2"/>
        <v>2178.3473303729725</v>
      </c>
      <c r="BG11" s="85">
        <f t="shared" si="2"/>
        <v>2069.4299638543239</v>
      </c>
      <c r="BH11" s="85">
        <f t="shared" si="2"/>
        <v>1965.9584656616078</v>
      </c>
      <c r="BI11" s="85">
        <f t="shared" si="2"/>
        <v>1867.6605423785275</v>
      </c>
      <c r="BJ11" s="85">
        <f t="shared" si="2"/>
        <v>1774.2775152596009</v>
      </c>
      <c r="BK11" s="85">
        <f t="shared" si="2"/>
        <v>1685.5636394966209</v>
      </c>
      <c r="BL11" s="85">
        <f t="shared" si="2"/>
        <v>1601.2854575217898</v>
      </c>
      <c r="BM11" s="85">
        <f t="shared" si="2"/>
        <v>1521.2211846457003</v>
      </c>
      <c r="BN11" s="85">
        <f t="shared" si="2"/>
        <v>1445.1601254134155</v>
      </c>
      <c r="BO11" s="85">
        <f t="shared" si="2"/>
        <v>1372.9021191427446</v>
      </c>
      <c r="BP11" s="85">
        <f t="shared" si="2"/>
        <v>1304.2570131856073</v>
      </c>
      <c r="BQ11" s="85">
        <f t="shared" si="2"/>
        <v>1239.044162526327</v>
      </c>
      <c r="BR11" s="85">
        <f t="shared" si="2"/>
        <v>1177.0919544000105</v>
      </c>
      <c r="BS11" s="85">
        <f xml:space="preserve"> IF(BS10 = 1, BS9, $F8 * BS9)</f>
        <v>1118.2373566800102</v>
      </c>
      <c r="BT11" s="85">
        <f t="shared" ref="BT11:CA11" si="3" xml:space="preserve"> IF(BT10 = 1, BT9, $F8 * BT9)</f>
        <v>1062.3254888460096</v>
      </c>
      <c r="BU11" s="85">
        <f t="shared" si="3"/>
        <v>1009.2092144037092</v>
      </c>
      <c r="BV11" s="85">
        <f t="shared" si="3"/>
        <v>19174.975073670474</v>
      </c>
      <c r="BW11" s="85">
        <f t="shared" si="3"/>
        <v>0</v>
      </c>
      <c r="BX11" s="85">
        <f t="shared" si="3"/>
        <v>0</v>
      </c>
      <c r="BY11" s="85">
        <f t="shared" si="3"/>
        <v>0</v>
      </c>
      <c r="BZ11" s="85">
        <f t="shared" si="3"/>
        <v>0</v>
      </c>
      <c r="CA11" s="85">
        <f t="shared" si="3"/>
        <v>0</v>
      </c>
    </row>
    <row r="13" spans="1:79" s="165" customFormat="1" x14ac:dyDescent="0.2">
      <c r="A13" s="161"/>
      <c r="B13" s="161"/>
      <c r="C13" s="162"/>
      <c r="D13" s="163"/>
      <c r="E13" s="164" t="str">
        <f>ConFin!E$128</f>
        <v>Additions to fixed assets DC total</v>
      </c>
      <c r="F13" s="164">
        <f>ConFin!F$128</f>
        <v>395404.94468287478</v>
      </c>
      <c r="G13" s="164" t="str">
        <f>ConFin!G$128</f>
        <v>€ 000s</v>
      </c>
    </row>
    <row r="14" spans="1:79" s="118" customFormat="1" x14ac:dyDescent="0.2">
      <c r="A14" s="115"/>
      <c r="B14" s="115"/>
      <c r="C14" s="116"/>
      <c r="D14" s="117"/>
      <c r="E14" s="118" t="str">
        <f>'T&amp;E'!E$19</f>
        <v>Initial operations date flag</v>
      </c>
      <c r="F14" s="118">
        <f>'T&amp;E'!F$19</f>
        <v>0</v>
      </c>
      <c r="G14" s="118" t="str">
        <f>'T&amp;E'!G$19</f>
        <v>flag</v>
      </c>
      <c r="H14" s="118">
        <f>'T&amp;E'!H$19</f>
        <v>1</v>
      </c>
      <c r="I14" s="118">
        <f>'T&amp;E'!I$19</f>
        <v>0</v>
      </c>
      <c r="J14" s="118">
        <f>'T&amp;E'!J$19</f>
        <v>0</v>
      </c>
      <c r="K14" s="118">
        <f>'T&amp;E'!K$19</f>
        <v>0</v>
      </c>
      <c r="L14" s="118">
        <f>'T&amp;E'!L$19</f>
        <v>0</v>
      </c>
      <c r="M14" s="118">
        <f>'T&amp;E'!M$19</f>
        <v>0</v>
      </c>
      <c r="N14" s="118">
        <f>'T&amp;E'!N$19</f>
        <v>1</v>
      </c>
      <c r="O14" s="118">
        <f>'T&amp;E'!O$19</f>
        <v>0</v>
      </c>
      <c r="P14" s="118">
        <f>'T&amp;E'!P$19</f>
        <v>0</v>
      </c>
      <c r="Q14" s="118">
        <f>'T&amp;E'!Q$19</f>
        <v>0</v>
      </c>
      <c r="R14" s="118">
        <f>'T&amp;E'!R$19</f>
        <v>0</v>
      </c>
      <c r="S14" s="118">
        <f>'T&amp;E'!S$19</f>
        <v>0</v>
      </c>
      <c r="T14" s="118">
        <f>'T&amp;E'!T$19</f>
        <v>0</v>
      </c>
      <c r="U14" s="118">
        <f>'T&amp;E'!U$19</f>
        <v>0</v>
      </c>
      <c r="V14" s="118">
        <f>'T&amp;E'!V$19</f>
        <v>0</v>
      </c>
      <c r="W14" s="118">
        <f>'T&amp;E'!W$19</f>
        <v>0</v>
      </c>
      <c r="X14" s="118">
        <f>'T&amp;E'!X$19</f>
        <v>0</v>
      </c>
      <c r="Y14" s="118">
        <f>'T&amp;E'!Y$19</f>
        <v>0</v>
      </c>
      <c r="Z14" s="118">
        <f>'T&amp;E'!Z$19</f>
        <v>0</v>
      </c>
      <c r="AA14" s="118">
        <f>'T&amp;E'!AA$19</f>
        <v>0</v>
      </c>
      <c r="AB14" s="118">
        <f>'T&amp;E'!AB$19</f>
        <v>0</v>
      </c>
      <c r="AC14" s="118">
        <f>'T&amp;E'!AC$19</f>
        <v>0</v>
      </c>
      <c r="AD14" s="118">
        <f>'T&amp;E'!AD$19</f>
        <v>0</v>
      </c>
      <c r="AE14" s="118">
        <f>'T&amp;E'!AE$19</f>
        <v>0</v>
      </c>
      <c r="AF14" s="118">
        <f>'T&amp;E'!AF$19</f>
        <v>0</v>
      </c>
      <c r="AG14" s="118">
        <f>'T&amp;E'!AG$19</f>
        <v>0</v>
      </c>
      <c r="AH14" s="118">
        <f>'T&amp;E'!AH$19</f>
        <v>0</v>
      </c>
      <c r="AI14" s="118">
        <f>'T&amp;E'!AI$19</f>
        <v>0</v>
      </c>
      <c r="AJ14" s="118">
        <f>'T&amp;E'!AJ$19</f>
        <v>0</v>
      </c>
      <c r="AK14" s="118">
        <f>'T&amp;E'!AK$19</f>
        <v>0</v>
      </c>
      <c r="AL14" s="118">
        <f>'T&amp;E'!AL$19</f>
        <v>0</v>
      </c>
      <c r="AM14" s="118">
        <f>'T&amp;E'!AM$19</f>
        <v>0</v>
      </c>
      <c r="AN14" s="118">
        <f>'T&amp;E'!AN$19</f>
        <v>0</v>
      </c>
      <c r="AO14" s="118">
        <f>'T&amp;E'!AO$19</f>
        <v>0</v>
      </c>
      <c r="AP14" s="118">
        <f>'T&amp;E'!AP$19</f>
        <v>0</v>
      </c>
      <c r="AQ14" s="118">
        <f>'T&amp;E'!AQ$19</f>
        <v>0</v>
      </c>
      <c r="AR14" s="118">
        <f>'T&amp;E'!AR$19</f>
        <v>0</v>
      </c>
      <c r="AS14" s="118">
        <f>'T&amp;E'!AS$19</f>
        <v>0</v>
      </c>
      <c r="AT14" s="118">
        <f>'T&amp;E'!AT$19</f>
        <v>0</v>
      </c>
      <c r="AU14" s="118">
        <f>'T&amp;E'!AU$19</f>
        <v>0</v>
      </c>
      <c r="AV14" s="118">
        <f>'T&amp;E'!AV$19</f>
        <v>0</v>
      </c>
      <c r="AW14" s="118">
        <f>'T&amp;E'!AW$19</f>
        <v>0</v>
      </c>
      <c r="AX14" s="118">
        <f>'T&amp;E'!AX$19</f>
        <v>0</v>
      </c>
      <c r="AY14" s="118">
        <f>'T&amp;E'!AY$19</f>
        <v>0</v>
      </c>
      <c r="AZ14" s="118">
        <f>'T&amp;E'!AZ$19</f>
        <v>0</v>
      </c>
      <c r="BA14" s="118">
        <f>'T&amp;E'!BA$19</f>
        <v>0</v>
      </c>
      <c r="BB14" s="118">
        <f>'T&amp;E'!BB$19</f>
        <v>0</v>
      </c>
      <c r="BC14" s="118">
        <f>'T&amp;E'!BC$19</f>
        <v>0</v>
      </c>
      <c r="BD14" s="118">
        <f>'T&amp;E'!BD$19</f>
        <v>0</v>
      </c>
      <c r="BE14" s="118">
        <f>'T&amp;E'!BE$19</f>
        <v>0</v>
      </c>
      <c r="BF14" s="118">
        <f>'T&amp;E'!BF$19</f>
        <v>0</v>
      </c>
      <c r="BG14" s="118">
        <f>'T&amp;E'!BG$19</f>
        <v>0</v>
      </c>
      <c r="BH14" s="118">
        <f>'T&amp;E'!BH$19</f>
        <v>0</v>
      </c>
      <c r="BI14" s="118">
        <f>'T&amp;E'!BI$19</f>
        <v>0</v>
      </c>
      <c r="BJ14" s="118">
        <f>'T&amp;E'!BJ$19</f>
        <v>0</v>
      </c>
      <c r="BK14" s="118">
        <f>'T&amp;E'!BK$19</f>
        <v>0</v>
      </c>
      <c r="BL14" s="118">
        <f>'T&amp;E'!BL$19</f>
        <v>0</v>
      </c>
      <c r="BM14" s="118">
        <f>'T&amp;E'!BM$19</f>
        <v>0</v>
      </c>
      <c r="BN14" s="118">
        <f>'T&amp;E'!BN$19</f>
        <v>0</v>
      </c>
      <c r="BO14" s="118">
        <f>'T&amp;E'!BO$19</f>
        <v>0</v>
      </c>
      <c r="BP14" s="118">
        <f>'T&amp;E'!BP$19</f>
        <v>0</v>
      </c>
      <c r="BQ14" s="118">
        <f>'T&amp;E'!BQ$19</f>
        <v>0</v>
      </c>
      <c r="BR14" s="118">
        <f>'T&amp;E'!BR$19</f>
        <v>0</v>
      </c>
      <c r="BS14" s="118">
        <f>'T&amp;E'!BS$19</f>
        <v>0</v>
      </c>
      <c r="BT14" s="118">
        <f>'T&amp;E'!BT$19</f>
        <v>0</v>
      </c>
      <c r="BU14" s="118">
        <f>'T&amp;E'!BU$19</f>
        <v>0</v>
      </c>
      <c r="BV14" s="118">
        <f>'T&amp;E'!BV$19</f>
        <v>0</v>
      </c>
      <c r="BW14" s="118">
        <f>'T&amp;E'!BW$19</f>
        <v>0</v>
      </c>
      <c r="BX14" s="118">
        <f>'T&amp;E'!BX$19</f>
        <v>0</v>
      </c>
      <c r="BY14" s="118">
        <f>'T&amp;E'!BY$19</f>
        <v>0</v>
      </c>
      <c r="BZ14" s="118">
        <f>'T&amp;E'!BZ$19</f>
        <v>0</v>
      </c>
      <c r="CA14" s="118">
        <f>'T&amp;E'!CA$19</f>
        <v>0</v>
      </c>
    </row>
    <row r="15" spans="1:79" s="122" customFormat="1" x14ac:dyDescent="0.2">
      <c r="A15" s="119"/>
      <c r="B15" s="119"/>
      <c r="C15" s="120"/>
      <c r="D15" s="121"/>
    </row>
    <row r="16" spans="1:79" s="122" customFormat="1" x14ac:dyDescent="0.2">
      <c r="A16" s="119"/>
      <c r="B16" s="119"/>
      <c r="C16" s="120"/>
      <c r="D16" s="121"/>
      <c r="E16" s="124" t="s">
        <v>145</v>
      </c>
      <c r="G16" s="85" t="str">
        <f xml:space="preserve"> SMU</f>
        <v>€ 000s</v>
      </c>
      <c r="J16" s="122">
        <f t="shared" ref="J16:BU16" si="4" xml:space="preserve"> I19</f>
        <v>0</v>
      </c>
      <c r="K16" s="122">
        <f t="shared" si="4"/>
        <v>0</v>
      </c>
      <c r="L16" s="122">
        <f t="shared" si="4"/>
        <v>0</v>
      </c>
      <c r="M16" s="122">
        <f t="shared" si="4"/>
        <v>0</v>
      </c>
      <c r="N16" s="122">
        <f t="shared" si="4"/>
        <v>0</v>
      </c>
      <c r="O16" s="122">
        <f t="shared" si="4"/>
        <v>395404.94468287478</v>
      </c>
      <c r="P16" s="122">
        <f t="shared" si="4"/>
        <v>375634.69744873105</v>
      </c>
      <c r="Q16" s="122">
        <f t="shared" si="4"/>
        <v>356852.96257629449</v>
      </c>
      <c r="R16" s="122">
        <f t="shared" si="4"/>
        <v>339010.31444747979</v>
      </c>
      <c r="S16" s="122">
        <f t="shared" si="4"/>
        <v>322059.79872510582</v>
      </c>
      <c r="T16" s="122">
        <f t="shared" si="4"/>
        <v>305956.80878885055</v>
      </c>
      <c r="U16" s="122">
        <f t="shared" si="4"/>
        <v>290658.96834940801</v>
      </c>
      <c r="V16" s="122">
        <f t="shared" si="4"/>
        <v>276126.01993193763</v>
      </c>
      <c r="W16" s="122">
        <f t="shared" si="4"/>
        <v>262319.71893534076</v>
      </c>
      <c r="X16" s="122">
        <f t="shared" si="4"/>
        <v>249203.73298857373</v>
      </c>
      <c r="Y16" s="122">
        <f t="shared" si="4"/>
        <v>236743.54633914505</v>
      </c>
      <c r="Z16" s="122">
        <f t="shared" si="4"/>
        <v>224906.36902218781</v>
      </c>
      <c r="AA16" s="122">
        <f t="shared" si="4"/>
        <v>213661.05057107841</v>
      </c>
      <c r="AB16" s="122">
        <f t="shared" si="4"/>
        <v>202977.99804252447</v>
      </c>
      <c r="AC16" s="122">
        <f t="shared" si="4"/>
        <v>192829.09814039824</v>
      </c>
      <c r="AD16" s="122">
        <f t="shared" si="4"/>
        <v>183187.64323337833</v>
      </c>
      <c r="AE16" s="122">
        <f t="shared" si="4"/>
        <v>174028.26107170942</v>
      </c>
      <c r="AF16" s="122">
        <f t="shared" si="4"/>
        <v>165326.84801812394</v>
      </c>
      <c r="AG16" s="122">
        <f t="shared" si="4"/>
        <v>157060.50561721774</v>
      </c>
      <c r="AH16" s="122">
        <f t="shared" si="4"/>
        <v>149207.48033635685</v>
      </c>
      <c r="AI16" s="122">
        <f t="shared" si="4"/>
        <v>141747.10631953902</v>
      </c>
      <c r="AJ16" s="122">
        <f t="shared" si="4"/>
        <v>134659.75100356207</v>
      </c>
      <c r="AK16" s="122">
        <f t="shared" si="4"/>
        <v>127926.76345338396</v>
      </c>
      <c r="AL16" s="122">
        <f t="shared" si="4"/>
        <v>121530.42528071476</v>
      </c>
      <c r="AM16" s="122">
        <f t="shared" si="4"/>
        <v>115453.90401667902</v>
      </c>
      <c r="AN16" s="122">
        <f t="shared" si="4"/>
        <v>109681.20881584506</v>
      </c>
      <c r="AO16" s="122">
        <f t="shared" si="4"/>
        <v>104197.14837505281</v>
      </c>
      <c r="AP16" s="122">
        <f t="shared" si="4"/>
        <v>98987.290956300174</v>
      </c>
      <c r="AQ16" s="122">
        <f t="shared" si="4"/>
        <v>94037.92640848516</v>
      </c>
      <c r="AR16" s="122">
        <f t="shared" si="4"/>
        <v>89336.030088060899</v>
      </c>
      <c r="AS16" s="122">
        <f t="shared" si="4"/>
        <v>84869.228583657852</v>
      </c>
      <c r="AT16" s="122">
        <f t="shared" si="4"/>
        <v>80625.767154474961</v>
      </c>
      <c r="AU16" s="122">
        <f t="shared" si="4"/>
        <v>76594.478796751209</v>
      </c>
      <c r="AV16" s="122">
        <f t="shared" si="4"/>
        <v>72764.754856913642</v>
      </c>
      <c r="AW16" s="122">
        <f t="shared" si="4"/>
        <v>69126.517114067959</v>
      </c>
      <c r="AX16" s="122">
        <f t="shared" si="4"/>
        <v>65670.191258364561</v>
      </c>
      <c r="AY16" s="122">
        <f t="shared" si="4"/>
        <v>62386.681695446336</v>
      </c>
      <c r="AZ16" s="122">
        <f t="shared" si="4"/>
        <v>59267.34761067402</v>
      </c>
      <c r="BA16" s="122">
        <f t="shared" si="4"/>
        <v>56303.980230140318</v>
      </c>
      <c r="BB16" s="122">
        <f t="shared" si="4"/>
        <v>53488.781218633303</v>
      </c>
      <c r="BC16" s="122">
        <f t="shared" si="4"/>
        <v>50814.342157701642</v>
      </c>
      <c r="BD16" s="122">
        <f t="shared" si="4"/>
        <v>48273.625049816561</v>
      </c>
      <c r="BE16" s="122">
        <f t="shared" si="4"/>
        <v>45859.94379732573</v>
      </c>
      <c r="BF16" s="122">
        <f t="shared" si="4"/>
        <v>43566.946607459446</v>
      </c>
      <c r="BG16" s="122">
        <f t="shared" si="4"/>
        <v>41388.599277086476</v>
      </c>
      <c r="BH16" s="122">
        <f t="shared" si="4"/>
        <v>39319.169313232152</v>
      </c>
      <c r="BI16" s="122">
        <f t="shared" si="4"/>
        <v>37353.210847570546</v>
      </c>
      <c r="BJ16" s="122">
        <f t="shared" si="4"/>
        <v>35485.550305192017</v>
      </c>
      <c r="BK16" s="122">
        <f t="shared" si="4"/>
        <v>33711.272789932416</v>
      </c>
      <c r="BL16" s="122">
        <f t="shared" si="4"/>
        <v>32025.709150435796</v>
      </c>
      <c r="BM16" s="122">
        <f t="shared" si="4"/>
        <v>30424.423692914006</v>
      </c>
      <c r="BN16" s="122">
        <f t="shared" si="4"/>
        <v>28903.202508268307</v>
      </c>
      <c r="BO16" s="122">
        <f t="shared" si="4"/>
        <v>27458.042382854892</v>
      </c>
      <c r="BP16" s="122">
        <f t="shared" si="4"/>
        <v>26085.140263712146</v>
      </c>
      <c r="BQ16" s="122">
        <f t="shared" si="4"/>
        <v>24780.883250526538</v>
      </c>
      <c r="BR16" s="122">
        <f t="shared" si="4"/>
        <v>23541.839088000212</v>
      </c>
      <c r="BS16" s="122">
        <f t="shared" si="4"/>
        <v>22364.747133600202</v>
      </c>
      <c r="BT16" s="122">
        <f t="shared" si="4"/>
        <v>21246.509776920193</v>
      </c>
      <c r="BU16" s="122">
        <f t="shared" si="4"/>
        <v>20184.184288074182</v>
      </c>
      <c r="BV16" s="122">
        <f t="shared" ref="BV16:CA16" si="5" xml:space="preserve"> BU19</f>
        <v>19174.975073670474</v>
      </c>
      <c r="BW16" s="122">
        <f t="shared" si="5"/>
        <v>0</v>
      </c>
      <c r="BX16" s="122">
        <f t="shared" si="5"/>
        <v>0</v>
      </c>
      <c r="BY16" s="122">
        <f t="shared" si="5"/>
        <v>0</v>
      </c>
      <c r="BZ16" s="122">
        <f t="shared" si="5"/>
        <v>0</v>
      </c>
      <c r="CA16" s="122">
        <f t="shared" si="5"/>
        <v>0</v>
      </c>
    </row>
    <row r="17" spans="1:79" s="123" customFormat="1" x14ac:dyDescent="0.2">
      <c r="A17" s="125"/>
      <c r="B17" s="125"/>
      <c r="C17" s="126"/>
      <c r="D17" s="127" t="s">
        <v>23</v>
      </c>
      <c r="E17" s="123" t="s">
        <v>96</v>
      </c>
      <c r="G17" s="123" t="str">
        <f xml:space="preserve"> SMU</f>
        <v>€ 000s</v>
      </c>
    </row>
    <row r="18" spans="1:79" s="124" customFormat="1" x14ac:dyDescent="0.2">
      <c r="A18" s="166"/>
      <c r="B18" s="166"/>
      <c r="C18" s="167"/>
      <c r="D18" s="168" t="s">
        <v>24</v>
      </c>
      <c r="E18" s="90" t="str">
        <f>E$11</f>
        <v>Tax depreciaiton / capital allowances POS</v>
      </c>
      <c r="F18" s="90">
        <f t="shared" ref="F18:BQ18" si="6">F$11</f>
        <v>0</v>
      </c>
      <c r="G18" s="90" t="str">
        <f t="shared" si="6"/>
        <v>€ 000s</v>
      </c>
      <c r="H18" s="90">
        <f t="shared" si="6"/>
        <v>395404.94468287495</v>
      </c>
      <c r="I18" s="90">
        <f t="shared" si="6"/>
        <v>0</v>
      </c>
      <c r="J18" s="90">
        <f t="shared" si="6"/>
        <v>0</v>
      </c>
      <c r="K18" s="90">
        <f t="shared" si="6"/>
        <v>0</v>
      </c>
      <c r="L18" s="90">
        <f t="shared" si="6"/>
        <v>0</v>
      </c>
      <c r="M18" s="90">
        <f t="shared" si="6"/>
        <v>0</v>
      </c>
      <c r="N18" s="90">
        <f t="shared" si="6"/>
        <v>0</v>
      </c>
      <c r="O18" s="90">
        <f t="shared" si="6"/>
        <v>19770.247234143739</v>
      </c>
      <c r="P18" s="90">
        <f t="shared" si="6"/>
        <v>18781.734872436555</v>
      </c>
      <c r="Q18" s="90">
        <f t="shared" si="6"/>
        <v>17842.648128814726</v>
      </c>
      <c r="R18" s="90">
        <f t="shared" si="6"/>
        <v>16950.515722373992</v>
      </c>
      <c r="S18" s="90">
        <f t="shared" si="6"/>
        <v>16102.989936255291</v>
      </c>
      <c r="T18" s="90">
        <f t="shared" si="6"/>
        <v>15297.840439442529</v>
      </c>
      <c r="U18" s="90">
        <f t="shared" si="6"/>
        <v>14532.948417470401</v>
      </c>
      <c r="V18" s="90">
        <f t="shared" si="6"/>
        <v>13806.300996596881</v>
      </c>
      <c r="W18" s="90">
        <f t="shared" si="6"/>
        <v>13115.985946767039</v>
      </c>
      <c r="X18" s="90">
        <f t="shared" si="6"/>
        <v>12460.186649428688</v>
      </c>
      <c r="Y18" s="90">
        <f t="shared" si="6"/>
        <v>11837.177316957253</v>
      </c>
      <c r="Z18" s="90">
        <f t="shared" si="6"/>
        <v>11245.318451109391</v>
      </c>
      <c r="AA18" s="90">
        <f t="shared" si="6"/>
        <v>10683.052528553921</v>
      </c>
      <c r="AB18" s="90">
        <f t="shared" si="6"/>
        <v>10148.899902126224</v>
      </c>
      <c r="AC18" s="90">
        <f t="shared" si="6"/>
        <v>9641.4549070199118</v>
      </c>
      <c r="AD18" s="90">
        <f t="shared" si="6"/>
        <v>9159.3821616689165</v>
      </c>
      <c r="AE18" s="90">
        <f t="shared" si="6"/>
        <v>8701.4130535854711</v>
      </c>
      <c r="AF18" s="90">
        <f t="shared" si="6"/>
        <v>8266.3424009061982</v>
      </c>
      <c r="AG18" s="90">
        <f t="shared" si="6"/>
        <v>7853.0252808608875</v>
      </c>
      <c r="AH18" s="90">
        <f t="shared" si="6"/>
        <v>7460.3740168178429</v>
      </c>
      <c r="AI18" s="90">
        <f t="shared" si="6"/>
        <v>7087.3553159769508</v>
      </c>
      <c r="AJ18" s="90">
        <f t="shared" si="6"/>
        <v>6732.9875501781034</v>
      </c>
      <c r="AK18" s="90">
        <f t="shared" si="6"/>
        <v>6396.3381726691987</v>
      </c>
      <c r="AL18" s="90">
        <f t="shared" si="6"/>
        <v>6076.5212640357386</v>
      </c>
      <c r="AM18" s="90">
        <f t="shared" si="6"/>
        <v>5772.6952008339513</v>
      </c>
      <c r="AN18" s="90">
        <f t="shared" si="6"/>
        <v>5484.0604407922538</v>
      </c>
      <c r="AO18" s="90">
        <f t="shared" si="6"/>
        <v>5209.857418752641</v>
      </c>
      <c r="AP18" s="90">
        <f t="shared" si="6"/>
        <v>4949.3645478150092</v>
      </c>
      <c r="AQ18" s="90">
        <f t="shared" si="6"/>
        <v>4701.8963204242582</v>
      </c>
      <c r="AR18" s="90">
        <f t="shared" si="6"/>
        <v>4466.8015044030453</v>
      </c>
      <c r="AS18" s="90">
        <f t="shared" si="6"/>
        <v>4243.461429182893</v>
      </c>
      <c r="AT18" s="90">
        <f t="shared" si="6"/>
        <v>4031.288357723748</v>
      </c>
      <c r="AU18" s="90">
        <f t="shared" si="6"/>
        <v>3829.7239398375605</v>
      </c>
      <c r="AV18" s="90">
        <f t="shared" si="6"/>
        <v>3638.2377428456821</v>
      </c>
      <c r="AW18" s="90">
        <f t="shared" si="6"/>
        <v>3456.3258557033982</v>
      </c>
      <c r="AX18" s="90">
        <f t="shared" si="6"/>
        <v>3283.5095629182283</v>
      </c>
      <c r="AY18" s="90">
        <f t="shared" si="6"/>
        <v>3119.3340847723171</v>
      </c>
      <c r="AZ18" s="90">
        <f t="shared" si="6"/>
        <v>2963.3673805337012</v>
      </c>
      <c r="BA18" s="90">
        <f t="shared" si="6"/>
        <v>2815.1990115070162</v>
      </c>
      <c r="BB18" s="90">
        <f t="shared" si="6"/>
        <v>2674.4390609316652</v>
      </c>
      <c r="BC18" s="90">
        <f t="shared" si="6"/>
        <v>2540.7171078850824</v>
      </c>
      <c r="BD18" s="90">
        <f t="shared" si="6"/>
        <v>2413.6812524908282</v>
      </c>
      <c r="BE18" s="90">
        <f t="shared" si="6"/>
        <v>2292.9971898662866</v>
      </c>
      <c r="BF18" s="90">
        <f t="shared" si="6"/>
        <v>2178.3473303729725</v>
      </c>
      <c r="BG18" s="90">
        <f t="shared" si="6"/>
        <v>2069.4299638543239</v>
      </c>
      <c r="BH18" s="90">
        <f t="shared" si="6"/>
        <v>1965.9584656616078</v>
      </c>
      <c r="BI18" s="90">
        <f t="shared" si="6"/>
        <v>1867.6605423785275</v>
      </c>
      <c r="BJ18" s="90">
        <f t="shared" si="6"/>
        <v>1774.2775152596009</v>
      </c>
      <c r="BK18" s="90">
        <f t="shared" si="6"/>
        <v>1685.5636394966209</v>
      </c>
      <c r="BL18" s="90">
        <f t="shared" si="6"/>
        <v>1601.2854575217898</v>
      </c>
      <c r="BM18" s="90">
        <f t="shared" si="6"/>
        <v>1521.2211846457003</v>
      </c>
      <c r="BN18" s="90">
        <f t="shared" si="6"/>
        <v>1445.1601254134155</v>
      </c>
      <c r="BO18" s="90">
        <f t="shared" si="6"/>
        <v>1372.9021191427446</v>
      </c>
      <c r="BP18" s="90">
        <f t="shared" si="6"/>
        <v>1304.2570131856073</v>
      </c>
      <c r="BQ18" s="90">
        <f t="shared" si="6"/>
        <v>1239.044162526327</v>
      </c>
      <c r="BR18" s="90">
        <f t="shared" ref="BR18:CA18" si="7">BR$11</f>
        <v>1177.0919544000105</v>
      </c>
      <c r="BS18" s="90">
        <f t="shared" si="7"/>
        <v>1118.2373566800102</v>
      </c>
      <c r="BT18" s="90">
        <f t="shared" si="7"/>
        <v>1062.3254888460096</v>
      </c>
      <c r="BU18" s="90">
        <f t="shared" si="7"/>
        <v>1009.2092144037092</v>
      </c>
      <c r="BV18" s="90">
        <f t="shared" si="7"/>
        <v>19174.975073670474</v>
      </c>
      <c r="BW18" s="90">
        <f t="shared" si="7"/>
        <v>0</v>
      </c>
      <c r="BX18" s="90">
        <f t="shared" si="7"/>
        <v>0</v>
      </c>
      <c r="BY18" s="90">
        <f t="shared" si="7"/>
        <v>0</v>
      </c>
      <c r="BZ18" s="90">
        <f t="shared" si="7"/>
        <v>0</v>
      </c>
      <c r="CA18" s="90">
        <f t="shared" si="7"/>
        <v>0</v>
      </c>
    </row>
    <row r="19" spans="1:79" s="122" customFormat="1" ht="13.5" thickBot="1" x14ac:dyDescent="0.25">
      <c r="A19" s="119"/>
      <c r="B19" s="119"/>
      <c r="C19" s="120"/>
      <c r="D19" s="121"/>
      <c r="E19" s="124" t="s">
        <v>146</v>
      </c>
      <c r="G19" s="124" t="str">
        <f xml:space="preserve"> SMU</f>
        <v>€ 000s</v>
      </c>
      <c r="I19" s="128"/>
      <c r="J19" s="122">
        <f t="shared" ref="J19:BU19" si="8" xml:space="preserve"> IF( J14 = 1, $F13, J16 + J17 - J18)</f>
        <v>0</v>
      </c>
      <c r="K19" s="122">
        <f t="shared" si="8"/>
        <v>0</v>
      </c>
      <c r="L19" s="122">
        <f t="shared" si="8"/>
        <v>0</v>
      </c>
      <c r="M19" s="122">
        <f t="shared" si="8"/>
        <v>0</v>
      </c>
      <c r="N19" s="122">
        <f t="shared" si="8"/>
        <v>395404.94468287478</v>
      </c>
      <c r="O19" s="122">
        <f t="shared" si="8"/>
        <v>375634.69744873105</v>
      </c>
      <c r="P19" s="122">
        <f t="shared" si="8"/>
        <v>356852.96257629449</v>
      </c>
      <c r="Q19" s="122">
        <f t="shared" si="8"/>
        <v>339010.31444747979</v>
      </c>
      <c r="R19" s="122">
        <f t="shared" si="8"/>
        <v>322059.79872510582</v>
      </c>
      <c r="S19" s="122">
        <f t="shared" si="8"/>
        <v>305956.80878885055</v>
      </c>
      <c r="T19" s="122">
        <f t="shared" si="8"/>
        <v>290658.96834940801</v>
      </c>
      <c r="U19" s="122">
        <f t="shared" si="8"/>
        <v>276126.01993193763</v>
      </c>
      <c r="V19" s="122">
        <f t="shared" si="8"/>
        <v>262319.71893534076</v>
      </c>
      <c r="W19" s="122">
        <f t="shared" si="8"/>
        <v>249203.73298857373</v>
      </c>
      <c r="X19" s="122">
        <f t="shared" si="8"/>
        <v>236743.54633914505</v>
      </c>
      <c r="Y19" s="122">
        <f t="shared" si="8"/>
        <v>224906.36902218781</v>
      </c>
      <c r="Z19" s="122">
        <f t="shared" si="8"/>
        <v>213661.05057107841</v>
      </c>
      <c r="AA19" s="122">
        <f t="shared" si="8"/>
        <v>202977.99804252447</v>
      </c>
      <c r="AB19" s="122">
        <f t="shared" si="8"/>
        <v>192829.09814039824</v>
      </c>
      <c r="AC19" s="122">
        <f t="shared" si="8"/>
        <v>183187.64323337833</v>
      </c>
      <c r="AD19" s="122">
        <f t="shared" si="8"/>
        <v>174028.26107170942</v>
      </c>
      <c r="AE19" s="122">
        <f t="shared" si="8"/>
        <v>165326.84801812394</v>
      </c>
      <c r="AF19" s="122">
        <f t="shared" si="8"/>
        <v>157060.50561721774</v>
      </c>
      <c r="AG19" s="122">
        <f t="shared" si="8"/>
        <v>149207.48033635685</v>
      </c>
      <c r="AH19" s="122">
        <f t="shared" si="8"/>
        <v>141747.10631953902</v>
      </c>
      <c r="AI19" s="122">
        <f t="shared" si="8"/>
        <v>134659.75100356207</v>
      </c>
      <c r="AJ19" s="122">
        <f t="shared" si="8"/>
        <v>127926.76345338396</v>
      </c>
      <c r="AK19" s="122">
        <f t="shared" si="8"/>
        <v>121530.42528071476</v>
      </c>
      <c r="AL19" s="122">
        <f t="shared" si="8"/>
        <v>115453.90401667902</v>
      </c>
      <c r="AM19" s="122">
        <f t="shared" si="8"/>
        <v>109681.20881584506</v>
      </c>
      <c r="AN19" s="122">
        <f t="shared" si="8"/>
        <v>104197.14837505281</v>
      </c>
      <c r="AO19" s="122">
        <f t="shared" si="8"/>
        <v>98987.290956300174</v>
      </c>
      <c r="AP19" s="122">
        <f t="shared" si="8"/>
        <v>94037.92640848516</v>
      </c>
      <c r="AQ19" s="122">
        <f t="shared" si="8"/>
        <v>89336.030088060899</v>
      </c>
      <c r="AR19" s="122">
        <f t="shared" si="8"/>
        <v>84869.228583657852</v>
      </c>
      <c r="AS19" s="122">
        <f t="shared" si="8"/>
        <v>80625.767154474961</v>
      </c>
      <c r="AT19" s="122">
        <f t="shared" si="8"/>
        <v>76594.478796751209</v>
      </c>
      <c r="AU19" s="122">
        <f t="shared" si="8"/>
        <v>72764.754856913642</v>
      </c>
      <c r="AV19" s="122">
        <f t="shared" si="8"/>
        <v>69126.517114067959</v>
      </c>
      <c r="AW19" s="122">
        <f t="shared" si="8"/>
        <v>65670.191258364561</v>
      </c>
      <c r="AX19" s="122">
        <f t="shared" si="8"/>
        <v>62386.681695446336</v>
      </c>
      <c r="AY19" s="122">
        <f t="shared" si="8"/>
        <v>59267.34761067402</v>
      </c>
      <c r="AZ19" s="122">
        <f t="shared" si="8"/>
        <v>56303.980230140318</v>
      </c>
      <c r="BA19" s="122">
        <f t="shared" si="8"/>
        <v>53488.781218633303</v>
      </c>
      <c r="BB19" s="122">
        <f t="shared" si="8"/>
        <v>50814.342157701642</v>
      </c>
      <c r="BC19" s="122">
        <f t="shared" si="8"/>
        <v>48273.625049816561</v>
      </c>
      <c r="BD19" s="122">
        <f t="shared" si="8"/>
        <v>45859.94379732573</v>
      </c>
      <c r="BE19" s="122">
        <f t="shared" si="8"/>
        <v>43566.946607459446</v>
      </c>
      <c r="BF19" s="122">
        <f t="shared" si="8"/>
        <v>41388.599277086476</v>
      </c>
      <c r="BG19" s="122">
        <f t="shared" si="8"/>
        <v>39319.169313232152</v>
      </c>
      <c r="BH19" s="122">
        <f t="shared" si="8"/>
        <v>37353.210847570546</v>
      </c>
      <c r="BI19" s="122">
        <f t="shared" si="8"/>
        <v>35485.550305192017</v>
      </c>
      <c r="BJ19" s="122">
        <f t="shared" si="8"/>
        <v>33711.272789932416</v>
      </c>
      <c r="BK19" s="122">
        <f t="shared" si="8"/>
        <v>32025.709150435796</v>
      </c>
      <c r="BL19" s="122">
        <f t="shared" si="8"/>
        <v>30424.423692914006</v>
      </c>
      <c r="BM19" s="122">
        <f t="shared" si="8"/>
        <v>28903.202508268307</v>
      </c>
      <c r="BN19" s="122">
        <f t="shared" si="8"/>
        <v>27458.042382854892</v>
      </c>
      <c r="BO19" s="122">
        <f t="shared" si="8"/>
        <v>26085.140263712146</v>
      </c>
      <c r="BP19" s="122">
        <f t="shared" si="8"/>
        <v>24780.883250526538</v>
      </c>
      <c r="BQ19" s="122">
        <f t="shared" si="8"/>
        <v>23541.839088000212</v>
      </c>
      <c r="BR19" s="122">
        <f t="shared" si="8"/>
        <v>22364.747133600202</v>
      </c>
      <c r="BS19" s="122">
        <f t="shared" si="8"/>
        <v>21246.509776920193</v>
      </c>
      <c r="BT19" s="122">
        <f t="shared" si="8"/>
        <v>20184.184288074182</v>
      </c>
      <c r="BU19" s="122">
        <f t="shared" si="8"/>
        <v>19174.975073670474</v>
      </c>
      <c r="BV19" s="122">
        <f t="shared" ref="BV19:CA19" si="9" xml:space="preserve"> IF( BV14 = 1, $F13, BV16 + BV17 - BV18)</f>
        <v>0</v>
      </c>
      <c r="BW19" s="122">
        <f t="shared" si="9"/>
        <v>0</v>
      </c>
      <c r="BX19" s="122">
        <f t="shared" si="9"/>
        <v>0</v>
      </c>
      <c r="BY19" s="122">
        <f t="shared" si="9"/>
        <v>0</v>
      </c>
      <c r="BZ19" s="122">
        <f t="shared" si="9"/>
        <v>0</v>
      </c>
      <c r="CA19" s="122">
        <f t="shared" si="9"/>
        <v>0</v>
      </c>
    </row>
    <row r="20" spans="1:79" s="133" customFormat="1" ht="13.5" thickTop="1" x14ac:dyDescent="0.2">
      <c r="A20" s="129"/>
      <c r="B20" s="130"/>
      <c r="C20" s="131"/>
      <c r="D20" s="132"/>
    </row>
    <row r="22" spans="1:79" x14ac:dyDescent="0.2">
      <c r="A22" s="81" t="s">
        <v>141</v>
      </c>
    </row>
    <row r="24" spans="1:79" s="144" customFormat="1" x14ac:dyDescent="0.2">
      <c r="A24" s="93"/>
      <c r="B24" s="93"/>
      <c r="C24" s="94"/>
      <c r="D24" s="143"/>
      <c r="E24" s="144" t="str">
        <f>Rev!E$114</f>
        <v>Operating revenue</v>
      </c>
      <c r="F24" s="144">
        <f>Rev!F$114</f>
        <v>0</v>
      </c>
      <c r="G24" s="144" t="str">
        <f>Rev!G$114</f>
        <v>€ 000s</v>
      </c>
      <c r="H24" s="144">
        <f>Rev!H$114</f>
        <v>2496071.6230094829</v>
      </c>
      <c r="I24" s="144">
        <f>Rev!I$114</f>
        <v>0</v>
      </c>
      <c r="J24" s="144">
        <f>Rev!J$114</f>
        <v>0</v>
      </c>
      <c r="K24" s="144">
        <f>Rev!K$114</f>
        <v>0</v>
      </c>
      <c r="L24" s="144">
        <f>Rev!L$114</f>
        <v>0</v>
      </c>
      <c r="M24" s="144">
        <f>Rev!M$114</f>
        <v>0</v>
      </c>
      <c r="N24" s="144">
        <f>Rev!N$114</f>
        <v>0</v>
      </c>
      <c r="O24" s="144">
        <f>Rev!O$114</f>
        <v>28320.769635156234</v>
      </c>
      <c r="P24" s="144">
        <f>Rev!P$114</f>
        <v>28958.426471637678</v>
      </c>
      <c r="Q24" s="144">
        <f>Rev!Q$114</f>
        <v>30091.227628847631</v>
      </c>
      <c r="R24" s="144">
        <f>Rev!R$114</f>
        <v>27748.148997131044</v>
      </c>
      <c r="S24" s="144">
        <f>Rev!S$114</f>
        <v>28613.131574876927</v>
      </c>
      <c r="T24" s="144">
        <f>Rev!T$114</f>
        <v>28339.057848639008</v>
      </c>
      <c r="U24" s="144">
        <f>Rev!U$114</f>
        <v>29106.24846271659</v>
      </c>
      <c r="V24" s="144">
        <f>Rev!V$114</f>
        <v>29106.974544247565</v>
      </c>
      <c r="W24" s="144">
        <f>Rev!W$114</f>
        <v>29838.907301767311</v>
      </c>
      <c r="X24" s="144">
        <f>Rev!X$114</f>
        <v>30560.848165026353</v>
      </c>
      <c r="Y24" s="144">
        <f>Rev!Y$114</f>
        <v>31263.545256796431</v>
      </c>
      <c r="Z24" s="144">
        <f>Rev!Z$114</f>
        <v>31113.243733315645</v>
      </c>
      <c r="AA24" s="144">
        <f>Rev!AA$114</f>
        <v>31830.879261692833</v>
      </c>
      <c r="AB24" s="144">
        <f>Rev!AB$114</f>
        <v>31891.074826648532</v>
      </c>
      <c r="AC24" s="144">
        <f>Rev!AC$114</f>
        <v>32626.651243235148</v>
      </c>
      <c r="AD24" s="144">
        <f>Rev!AD$114</f>
        <v>33366.213497050572</v>
      </c>
      <c r="AE24" s="144">
        <f>Rev!AE$114</f>
        <v>34164.980293150256</v>
      </c>
      <c r="AF24" s="144">
        <f>Rev!AF$114</f>
        <v>34200.368834476823</v>
      </c>
      <c r="AG24" s="144">
        <f>Rev!AG$114</f>
        <v>35019.104800479006</v>
      </c>
      <c r="AH24" s="144">
        <f>Rev!AH$114</f>
        <v>35055.378055338733</v>
      </c>
      <c r="AI24" s="144">
        <f>Rev!AI$114</f>
        <v>35894.582420490966</v>
      </c>
      <c r="AJ24" s="144">
        <f>Rev!AJ$114</f>
        <v>35931.762506722189</v>
      </c>
      <c r="AK24" s="144">
        <f>Rev!AK$114</f>
        <v>36791.946981003231</v>
      </c>
      <c r="AL24" s="144">
        <f>Rev!AL$114</f>
        <v>36830.056569390239</v>
      </c>
      <c r="AM24" s="144">
        <f>Rev!AM$114</f>
        <v>37711.745655528306</v>
      </c>
      <c r="AN24" s="144">
        <f>Rev!AN$114</f>
        <v>38259.00268752328</v>
      </c>
      <c r="AO24" s="144">
        <f>Rev!AO$114</f>
        <v>39210.207854456828</v>
      </c>
      <c r="AP24" s="144">
        <f>Rev!AP$114</f>
        <v>39215.477754711355</v>
      </c>
      <c r="AQ24" s="144">
        <f>Rev!AQ$114</f>
        <v>40190.463050818231</v>
      </c>
      <c r="AR24" s="144">
        <f>Rev!AR$114</f>
        <v>40195.86469857912</v>
      </c>
      <c r="AS24" s="144">
        <f>Rev!AS$114</f>
        <v>41195.224627088675</v>
      </c>
      <c r="AT24" s="144">
        <f>Rev!AT$114</f>
        <v>41200.761316043587</v>
      </c>
      <c r="AU24" s="144">
        <f>Rev!AU$114</f>
        <v>42225.105242765872</v>
      </c>
      <c r="AV24" s="144">
        <f>Rev!AV$114</f>
        <v>42230.780348944667</v>
      </c>
      <c r="AW24" s="144">
        <f>Rev!AW$114</f>
        <v>43280.732873835012</v>
      </c>
      <c r="AX24" s="144">
        <f>Rev!AX$114</f>
        <v>44074.759350530898</v>
      </c>
      <c r="AY24" s="144">
        <f>Rev!AY$114</f>
        <v>45207.321965486022</v>
      </c>
      <c r="AZ24" s="144">
        <f>Rev!AZ$114</f>
        <v>45176.628334294161</v>
      </c>
      <c r="BA24" s="144">
        <f>Rev!BA$114</f>
        <v>46337.505014623166</v>
      </c>
      <c r="BB24" s="144">
        <f>Rev!BB$114</f>
        <v>46306.044042651505</v>
      </c>
      <c r="BC24" s="144">
        <f>Rev!BC$114</f>
        <v>47495.942639988731</v>
      </c>
      <c r="BD24" s="144">
        <f>Rev!BD$114</f>
        <v>47463.695143717778</v>
      </c>
      <c r="BE24" s="144">
        <f>Rev!BE$114</f>
        <v>48683.341205988429</v>
      </c>
      <c r="BF24" s="144">
        <f>Rev!BF$114</f>
        <v>48470.767838953594</v>
      </c>
      <c r="BG24" s="144">
        <f>Rev!BG$114</f>
        <v>49718.674909094319</v>
      </c>
      <c r="BH24" s="144">
        <f>Rev!BH$114</f>
        <v>49682.537034927424</v>
      </c>
      <c r="BI24" s="144">
        <f>Rev!BI$114</f>
        <v>49064.834495946321</v>
      </c>
      <c r="BJ24" s="144">
        <f>Rev!BJ$114</f>
        <v>52656.363606258179</v>
      </c>
      <c r="BK24" s="144">
        <f>Rev!BK$114</f>
        <v>50100.504446307066</v>
      </c>
      <c r="BL24" s="144">
        <f>Rev!BL$114</f>
        <v>53972.772696414628</v>
      </c>
      <c r="BM24" s="144">
        <f>Rev!BM$114</f>
        <v>51353.01705746472</v>
      </c>
      <c r="BN24" s="144">
        <f>Rev!BN$114</f>
        <v>55322.092013824978</v>
      </c>
      <c r="BO24" s="144">
        <f>Rev!BO$114</f>
        <v>52636.842483901331</v>
      </c>
      <c r="BP24" s="144">
        <f>Rev!BP$114</f>
        <v>56705.144314170589</v>
      </c>
      <c r="BQ24" s="144">
        <f>Rev!BQ$114</f>
        <v>53952.763545998852</v>
      </c>
      <c r="BR24" s="144">
        <f>Rev!BR$114</f>
        <v>56003.042643330555</v>
      </c>
      <c r="BS24" s="144">
        <f>Rev!BS$114</f>
        <v>57447.645976158958</v>
      </c>
      <c r="BT24" s="144">
        <f>Rev!BT$114</f>
        <v>58161.308693212399</v>
      </c>
      <c r="BU24" s="144">
        <f>Rev!BU$114</f>
        <v>58883.837125562917</v>
      </c>
      <c r="BV24" s="144">
        <f>Rev!BV$114</f>
        <v>59615.341410542693</v>
      </c>
      <c r="BW24" s="144">
        <f>Rev!BW$114</f>
        <v>0</v>
      </c>
      <c r="BX24" s="144">
        <f>Rev!BX$114</f>
        <v>0</v>
      </c>
      <c r="BY24" s="144">
        <f>Rev!BY$114</f>
        <v>0</v>
      </c>
      <c r="BZ24" s="144">
        <f>Rev!BZ$114</f>
        <v>0</v>
      </c>
      <c r="CA24" s="144">
        <f>Rev!CA$114</f>
        <v>0</v>
      </c>
    </row>
    <row r="25" spans="1:79" s="144" customFormat="1" x14ac:dyDescent="0.2">
      <c r="A25" s="93"/>
      <c r="B25" s="93"/>
      <c r="C25" s="94"/>
      <c r="D25" s="143" t="s">
        <v>24</v>
      </c>
      <c r="E25" s="144" t="str">
        <f>Opex!E$33</f>
        <v>Operating costs POS</v>
      </c>
      <c r="F25" s="144">
        <f>Opex!F$33</f>
        <v>0</v>
      </c>
      <c r="G25" s="144" t="str">
        <f>Opex!G$33</f>
        <v>€ 000s</v>
      </c>
      <c r="H25" s="144">
        <f>Opex!H$33</f>
        <v>560672.48116026679</v>
      </c>
      <c r="I25" s="144">
        <f>Opex!I$33</f>
        <v>0</v>
      </c>
      <c r="J25" s="144">
        <f>Opex!J$33</f>
        <v>0</v>
      </c>
      <c r="K25" s="144">
        <f>Opex!K$33</f>
        <v>0</v>
      </c>
      <c r="L25" s="144">
        <f>Opex!L$33</f>
        <v>0</v>
      </c>
      <c r="M25" s="144">
        <f>Opex!M$33</f>
        <v>0</v>
      </c>
      <c r="N25" s="144">
        <f>Opex!N$33</f>
        <v>0</v>
      </c>
      <c r="O25" s="144">
        <f>Opex!O$33</f>
        <v>6684.7066249999962</v>
      </c>
      <c r="P25" s="144">
        <f>Opex!P$33</f>
        <v>6680.9536206912626</v>
      </c>
      <c r="Q25" s="144">
        <f>Opex!Q$33</f>
        <v>6939.6985656249954</v>
      </c>
      <c r="R25" s="144">
        <f>Opex!R$33</f>
        <v>6469.8722894927132</v>
      </c>
      <c r="S25" s="144">
        <f>Opex!S$33</f>
        <v>6700.3650086718681</v>
      </c>
      <c r="T25" s="144">
        <f>Opex!T$33</f>
        <v>6688.612890996018</v>
      </c>
      <c r="U25" s="144">
        <f>Opex!U$33</f>
        <v>6925.575952746085</v>
      </c>
      <c r="V25" s="144">
        <f>Opex!V$33</f>
        <v>6801.304150089788</v>
      </c>
      <c r="W25" s="144">
        <f>Opex!W$33</f>
        <v>7043.5139448578011</v>
      </c>
      <c r="X25" s="144">
        <f>Opex!X$33</f>
        <v>7031.2158589427345</v>
      </c>
      <c r="Y25" s="144">
        <f>Opex!Y$33</f>
        <v>7280.2247669163235</v>
      </c>
      <c r="Z25" s="144">
        <f>Opex!Z$33</f>
        <v>7170.170605779369</v>
      </c>
      <c r="AA25" s="144">
        <f>Opex!AA$33</f>
        <v>7424.947257425426</v>
      </c>
      <c r="AB25" s="144">
        <f>Opex!AB$33</f>
        <v>7349.4248709238509</v>
      </c>
      <c r="AC25" s="144">
        <f>Opex!AC$33</f>
        <v>7610.5709388610594</v>
      </c>
      <c r="AD25" s="144">
        <f>Opex!AD$33</f>
        <v>7533.1604926969439</v>
      </c>
      <c r="AE25" s="144">
        <f>Opex!AE$33</f>
        <v>7800.8352123325831</v>
      </c>
      <c r="AF25" s="144">
        <f>Opex!AF$33</f>
        <v>7721.489505014365</v>
      </c>
      <c r="AG25" s="144">
        <f>Opex!AG$33</f>
        <v>7995.8560926408963</v>
      </c>
      <c r="AH25" s="144">
        <f>Opex!AH$33</f>
        <v>7914.5267426397222</v>
      </c>
      <c r="AI25" s="144">
        <f>Opex!AI$33</f>
        <v>8195.7524949569161</v>
      </c>
      <c r="AJ25" s="144">
        <f>Opex!AJ$33</f>
        <v>8112.3899112057125</v>
      </c>
      <c r="AK25" s="144">
        <f>Opex!AK$33</f>
        <v>8400.646307330835</v>
      </c>
      <c r="AL25" s="144">
        <f>Opex!AL$33</f>
        <v>8315.1996589858518</v>
      </c>
      <c r="AM25" s="144">
        <f>Opex!AM$33</f>
        <v>8610.6624650141039</v>
      </c>
      <c r="AN25" s="144">
        <f>Opex!AN$33</f>
        <v>8523.079650460495</v>
      </c>
      <c r="AO25" s="144">
        <f>Opex!AO$33</f>
        <v>8825.9290266394528</v>
      </c>
      <c r="AP25" s="144">
        <f>Opex!AP$33</f>
        <v>8736.1566417220056</v>
      </c>
      <c r="AQ25" s="144">
        <f>Opex!AQ$33</f>
        <v>9046.5772523054366</v>
      </c>
      <c r="AR25" s="144">
        <f>Opex!AR$33</f>
        <v>8954.5605577650531</v>
      </c>
      <c r="AS25" s="144">
        <f>Opex!AS$33</f>
        <v>9272.7416836130706</v>
      </c>
      <c r="AT25" s="144">
        <f>Opex!AT$33</f>
        <v>9178.4245717091762</v>
      </c>
      <c r="AU25" s="144">
        <f>Opex!AU$33</f>
        <v>9504.5602257033952</v>
      </c>
      <c r="AV25" s="144">
        <f>Opex!AV$33</f>
        <v>9407.885186001904</v>
      </c>
      <c r="AW25" s="144">
        <f>Opex!AW$33</f>
        <v>9742.1742313459763</v>
      </c>
      <c r="AX25" s="144">
        <f>Opex!AX$33</f>
        <v>9643.0823156519491</v>
      </c>
      <c r="AY25" s="144">
        <f>Opex!AY$33</f>
        <v>9985.7285871296226</v>
      </c>
      <c r="AZ25" s="144">
        <f>Opex!AZ$33</f>
        <v>9884.1593735432434</v>
      </c>
      <c r="BA25" s="144">
        <f>Opex!BA$33</f>
        <v>10235.371801807862</v>
      </c>
      <c r="BB25" s="144">
        <f>Opex!BB$33</f>
        <v>10131.263357881822</v>
      </c>
      <c r="BC25" s="144">
        <f>Opex!BC$33</f>
        <v>10491.256096853054</v>
      </c>
      <c r="BD25" s="144">
        <f>Opex!BD$33</f>
        <v>10384.544941828864</v>
      </c>
      <c r="BE25" s="144">
        <f>Opex!BE$33</f>
        <v>10753.537499274376</v>
      </c>
      <c r="BF25" s="144">
        <f>Opex!BF$33</f>
        <v>10644.158565374582</v>
      </c>
      <c r="BG25" s="144">
        <f>Opex!BG$33</f>
        <v>11022.375936756232</v>
      </c>
      <c r="BH25" s="144">
        <f>Opex!BH$33</f>
        <v>10910.262529508944</v>
      </c>
      <c r="BI25" s="144">
        <f>Opex!BI$33</f>
        <v>11045.798937803323</v>
      </c>
      <c r="BJ25" s="144">
        <f>Opex!BJ$33</f>
        <v>11438.287739375324</v>
      </c>
      <c r="BK25" s="144">
        <f>Opex!BK$33</f>
        <v>11321.943911248403</v>
      </c>
      <c r="BL25" s="144">
        <f>Opex!BL$33</f>
        <v>11724.244932859703</v>
      </c>
      <c r="BM25" s="144">
        <f>Opex!BM$33</f>
        <v>11604.992509029613</v>
      </c>
      <c r="BN25" s="144">
        <f>Opex!BN$33</f>
        <v>12017.351056181191</v>
      </c>
      <c r="BO25" s="144">
        <f>Opex!BO$33</f>
        <v>11895.117321755348</v>
      </c>
      <c r="BP25" s="144">
        <f>Opex!BP$33</f>
        <v>12317.784832585723</v>
      </c>
      <c r="BQ25" s="144">
        <f>Opex!BQ$33</f>
        <v>12192.495254799231</v>
      </c>
      <c r="BR25" s="144">
        <f>Opex!BR$33</f>
        <v>12343.96063067925</v>
      </c>
      <c r="BS25" s="144">
        <f>Opex!BS$33</f>
        <v>12782.576826924331</v>
      </c>
      <c r="BT25" s="144">
        <f>Opex!BT$33</f>
        <v>12941.372689735366</v>
      </c>
      <c r="BU25" s="144">
        <f>Opex!BU$33</f>
        <v>13102.141247597436</v>
      </c>
      <c r="BV25" s="144">
        <f>Opex!BV$33</f>
        <v>13264.907006978749</v>
      </c>
      <c r="BW25" s="144">
        <f>Opex!BW$33</f>
        <v>0</v>
      </c>
      <c r="BX25" s="144">
        <f>Opex!BX$33</f>
        <v>0</v>
      </c>
      <c r="BY25" s="144">
        <f>Opex!BY$33</f>
        <v>0</v>
      </c>
      <c r="BZ25" s="144">
        <f>Opex!BZ$33</f>
        <v>0</v>
      </c>
      <c r="CA25" s="144">
        <f>Opex!CA$33</f>
        <v>0</v>
      </c>
    </row>
    <row r="26" spans="1:79" s="90" customFormat="1" x14ac:dyDescent="0.2">
      <c r="A26" s="82"/>
      <c r="B26" s="82"/>
      <c r="C26" s="83"/>
      <c r="D26" s="89" t="s">
        <v>24</v>
      </c>
      <c r="E26" s="90" t="str">
        <f>E$11</f>
        <v>Tax depreciaiton / capital allowances POS</v>
      </c>
      <c r="F26" s="90">
        <f t="shared" ref="F26:BQ26" si="10">F$11</f>
        <v>0</v>
      </c>
      <c r="G26" s="90" t="str">
        <f t="shared" si="10"/>
        <v>€ 000s</v>
      </c>
      <c r="H26" s="90">
        <f t="shared" si="10"/>
        <v>395404.94468287495</v>
      </c>
      <c r="I26" s="90">
        <f t="shared" si="10"/>
        <v>0</v>
      </c>
      <c r="J26" s="90">
        <f t="shared" si="10"/>
        <v>0</v>
      </c>
      <c r="K26" s="90">
        <f t="shared" si="10"/>
        <v>0</v>
      </c>
      <c r="L26" s="90">
        <f t="shared" si="10"/>
        <v>0</v>
      </c>
      <c r="M26" s="90">
        <f t="shared" si="10"/>
        <v>0</v>
      </c>
      <c r="N26" s="90">
        <f t="shared" si="10"/>
        <v>0</v>
      </c>
      <c r="O26" s="90">
        <f t="shared" si="10"/>
        <v>19770.247234143739</v>
      </c>
      <c r="P26" s="90">
        <f t="shared" si="10"/>
        <v>18781.734872436555</v>
      </c>
      <c r="Q26" s="90">
        <f t="shared" si="10"/>
        <v>17842.648128814726</v>
      </c>
      <c r="R26" s="90">
        <f t="shared" si="10"/>
        <v>16950.515722373992</v>
      </c>
      <c r="S26" s="90">
        <f t="shared" si="10"/>
        <v>16102.989936255291</v>
      </c>
      <c r="T26" s="90">
        <f t="shared" si="10"/>
        <v>15297.840439442529</v>
      </c>
      <c r="U26" s="90">
        <f t="shared" si="10"/>
        <v>14532.948417470401</v>
      </c>
      <c r="V26" s="90">
        <f t="shared" si="10"/>
        <v>13806.300996596881</v>
      </c>
      <c r="W26" s="90">
        <f t="shared" si="10"/>
        <v>13115.985946767039</v>
      </c>
      <c r="X26" s="90">
        <f t="shared" si="10"/>
        <v>12460.186649428688</v>
      </c>
      <c r="Y26" s="90">
        <f t="shared" si="10"/>
        <v>11837.177316957253</v>
      </c>
      <c r="Z26" s="90">
        <f t="shared" si="10"/>
        <v>11245.318451109391</v>
      </c>
      <c r="AA26" s="90">
        <f t="shared" si="10"/>
        <v>10683.052528553921</v>
      </c>
      <c r="AB26" s="90">
        <f t="shared" si="10"/>
        <v>10148.899902126224</v>
      </c>
      <c r="AC26" s="90">
        <f t="shared" si="10"/>
        <v>9641.4549070199118</v>
      </c>
      <c r="AD26" s="90">
        <f t="shared" si="10"/>
        <v>9159.3821616689165</v>
      </c>
      <c r="AE26" s="90">
        <f t="shared" si="10"/>
        <v>8701.4130535854711</v>
      </c>
      <c r="AF26" s="90">
        <f t="shared" si="10"/>
        <v>8266.3424009061982</v>
      </c>
      <c r="AG26" s="90">
        <f t="shared" si="10"/>
        <v>7853.0252808608875</v>
      </c>
      <c r="AH26" s="90">
        <f t="shared" si="10"/>
        <v>7460.3740168178429</v>
      </c>
      <c r="AI26" s="90">
        <f t="shared" si="10"/>
        <v>7087.3553159769508</v>
      </c>
      <c r="AJ26" s="90">
        <f t="shared" si="10"/>
        <v>6732.9875501781034</v>
      </c>
      <c r="AK26" s="90">
        <f t="shared" si="10"/>
        <v>6396.3381726691987</v>
      </c>
      <c r="AL26" s="90">
        <f t="shared" si="10"/>
        <v>6076.5212640357386</v>
      </c>
      <c r="AM26" s="90">
        <f t="shared" si="10"/>
        <v>5772.6952008339513</v>
      </c>
      <c r="AN26" s="90">
        <f t="shared" si="10"/>
        <v>5484.0604407922538</v>
      </c>
      <c r="AO26" s="90">
        <f t="shared" si="10"/>
        <v>5209.857418752641</v>
      </c>
      <c r="AP26" s="90">
        <f t="shared" si="10"/>
        <v>4949.3645478150092</v>
      </c>
      <c r="AQ26" s="90">
        <f t="shared" si="10"/>
        <v>4701.8963204242582</v>
      </c>
      <c r="AR26" s="90">
        <f t="shared" si="10"/>
        <v>4466.8015044030453</v>
      </c>
      <c r="AS26" s="90">
        <f t="shared" si="10"/>
        <v>4243.461429182893</v>
      </c>
      <c r="AT26" s="90">
        <f t="shared" si="10"/>
        <v>4031.288357723748</v>
      </c>
      <c r="AU26" s="90">
        <f t="shared" si="10"/>
        <v>3829.7239398375605</v>
      </c>
      <c r="AV26" s="90">
        <f t="shared" si="10"/>
        <v>3638.2377428456821</v>
      </c>
      <c r="AW26" s="90">
        <f t="shared" si="10"/>
        <v>3456.3258557033982</v>
      </c>
      <c r="AX26" s="90">
        <f t="shared" si="10"/>
        <v>3283.5095629182283</v>
      </c>
      <c r="AY26" s="90">
        <f t="shared" si="10"/>
        <v>3119.3340847723171</v>
      </c>
      <c r="AZ26" s="90">
        <f t="shared" si="10"/>
        <v>2963.3673805337012</v>
      </c>
      <c r="BA26" s="90">
        <f t="shared" si="10"/>
        <v>2815.1990115070162</v>
      </c>
      <c r="BB26" s="90">
        <f t="shared" si="10"/>
        <v>2674.4390609316652</v>
      </c>
      <c r="BC26" s="90">
        <f t="shared" si="10"/>
        <v>2540.7171078850824</v>
      </c>
      <c r="BD26" s="90">
        <f t="shared" si="10"/>
        <v>2413.6812524908282</v>
      </c>
      <c r="BE26" s="90">
        <f t="shared" si="10"/>
        <v>2292.9971898662866</v>
      </c>
      <c r="BF26" s="90">
        <f t="shared" si="10"/>
        <v>2178.3473303729725</v>
      </c>
      <c r="BG26" s="90">
        <f t="shared" si="10"/>
        <v>2069.4299638543239</v>
      </c>
      <c r="BH26" s="90">
        <f t="shared" si="10"/>
        <v>1965.9584656616078</v>
      </c>
      <c r="BI26" s="90">
        <f t="shared" si="10"/>
        <v>1867.6605423785275</v>
      </c>
      <c r="BJ26" s="90">
        <f t="shared" si="10"/>
        <v>1774.2775152596009</v>
      </c>
      <c r="BK26" s="90">
        <f t="shared" si="10"/>
        <v>1685.5636394966209</v>
      </c>
      <c r="BL26" s="90">
        <f t="shared" si="10"/>
        <v>1601.2854575217898</v>
      </c>
      <c r="BM26" s="90">
        <f t="shared" si="10"/>
        <v>1521.2211846457003</v>
      </c>
      <c r="BN26" s="90">
        <f t="shared" si="10"/>
        <v>1445.1601254134155</v>
      </c>
      <c r="BO26" s="90">
        <f t="shared" si="10"/>
        <v>1372.9021191427446</v>
      </c>
      <c r="BP26" s="90">
        <f t="shared" si="10"/>
        <v>1304.2570131856073</v>
      </c>
      <c r="BQ26" s="90">
        <f t="shared" si="10"/>
        <v>1239.044162526327</v>
      </c>
      <c r="BR26" s="90">
        <f t="shared" ref="BR26:CA26" si="11">BR$11</f>
        <v>1177.0919544000105</v>
      </c>
      <c r="BS26" s="90">
        <f t="shared" si="11"/>
        <v>1118.2373566800102</v>
      </c>
      <c r="BT26" s="90">
        <f t="shared" si="11"/>
        <v>1062.3254888460096</v>
      </c>
      <c r="BU26" s="90">
        <f t="shared" si="11"/>
        <v>1009.2092144037092</v>
      </c>
      <c r="BV26" s="90">
        <f t="shared" si="11"/>
        <v>19174.975073670474</v>
      </c>
      <c r="BW26" s="90">
        <f t="shared" si="11"/>
        <v>0</v>
      </c>
      <c r="BX26" s="90">
        <f t="shared" si="11"/>
        <v>0</v>
      </c>
      <c r="BY26" s="90">
        <f t="shared" si="11"/>
        <v>0</v>
      </c>
      <c r="BZ26" s="90">
        <f t="shared" si="11"/>
        <v>0</v>
      </c>
      <c r="CA26" s="90">
        <f t="shared" si="11"/>
        <v>0</v>
      </c>
    </row>
    <row r="27" spans="1:79" s="144" customFormat="1" x14ac:dyDescent="0.2">
      <c r="A27" s="93"/>
      <c r="B27" s="93"/>
      <c r="C27" s="94"/>
      <c r="D27" s="143" t="s">
        <v>24</v>
      </c>
      <c r="E27" s="144" t="str">
        <f>SrDebt!E$30</f>
        <v>Senior debt interest expense POS</v>
      </c>
      <c r="F27" s="144">
        <f>SrDebt!F$30</f>
        <v>0</v>
      </c>
      <c r="G27" s="144" t="str">
        <f>SrDebt!G$30</f>
        <v>€ 000s</v>
      </c>
      <c r="H27" s="144">
        <f>SrDebt!H$30</f>
        <v>392274.30033447064</v>
      </c>
      <c r="I27" s="144">
        <f>SrDebt!I$30</f>
        <v>0</v>
      </c>
      <c r="J27" s="144">
        <f>SrDebt!J$30</f>
        <v>0</v>
      </c>
      <c r="K27" s="144">
        <f>SrDebt!K$30</f>
        <v>0</v>
      </c>
      <c r="L27" s="144">
        <f>SrDebt!L$30</f>
        <v>0</v>
      </c>
      <c r="M27" s="144">
        <f>SrDebt!M$30</f>
        <v>0</v>
      </c>
      <c r="N27" s="144">
        <f>SrDebt!N$30</f>
        <v>0</v>
      </c>
      <c r="O27" s="144">
        <f>SrDebt!O$30</f>
        <v>15329.387897949242</v>
      </c>
      <c r="P27" s="144">
        <f>SrDebt!P$30</f>
        <v>15185.138357829541</v>
      </c>
      <c r="Q27" s="144">
        <f>SrDebt!Q$30</f>
        <v>15030.464833939233</v>
      </c>
      <c r="R27" s="144">
        <f>SrDebt!R$30</f>
        <v>14858.7756894822</v>
      </c>
      <c r="S27" s="144">
        <f>SrDebt!S$30</f>
        <v>14734.301059750853</v>
      </c>
      <c r="T27" s="144">
        <f>SrDebt!T$30</f>
        <v>14598.635976854002</v>
      </c>
      <c r="U27" s="144">
        <f>SrDebt!U$30</f>
        <v>14472.475114453882</v>
      </c>
      <c r="V27" s="144">
        <f>SrDebt!V$30</f>
        <v>14336.810031557032</v>
      </c>
      <c r="W27" s="144">
        <f>SrDebt!W$30</f>
        <v>14200.378479265284</v>
      </c>
      <c r="X27" s="144">
        <f>SrDebt!X$30</f>
        <v>14054.289412597829</v>
      </c>
      <c r="Y27" s="144">
        <f>SrDebt!Y$30</f>
        <v>13160.795868718624</v>
      </c>
      <c r="Z27" s="144">
        <f>SrDebt!Z$30</f>
        <v>12971.276225706608</v>
      </c>
      <c r="AA27" s="144">
        <f>SrDebt!AA$30</f>
        <v>12781.611356914507</v>
      </c>
      <c r="AB27" s="144">
        <f>SrDebt!AB$30</f>
        <v>12580.328425715539</v>
      </c>
      <c r="AC27" s="144">
        <f>SrDebt!AC$30</f>
        <v>12373.962592213567</v>
      </c>
      <c r="AD27" s="144">
        <f>SrDebt!AD$30</f>
        <v>12154.52643850387</v>
      </c>
      <c r="AE27" s="144">
        <f>SrDebt!AE$30</f>
        <v>11913.596869341469</v>
      </c>
      <c r="AF27" s="144">
        <f>SrDebt!AF$30</f>
        <v>11656.692464369627</v>
      </c>
      <c r="AG27" s="144">
        <f>SrDebt!AG$30</f>
        <v>11392.236318833322</v>
      </c>
      <c r="AH27" s="144">
        <f>SrDebt!AH$30</f>
        <v>11110.20785390663</v>
      </c>
      <c r="AI27" s="144">
        <f>SrDebt!AI$30</f>
        <v>10218.247248817219</v>
      </c>
      <c r="AJ27" s="144">
        <f>SrDebt!AJ$30</f>
        <v>9905.2534203366704</v>
      </c>
      <c r="AK27" s="144">
        <f>SrDebt!AK$30</f>
        <v>9582.5213964914765</v>
      </c>
      <c r="AL27" s="144">
        <f>SrDebt!AL$30</f>
        <v>9239.9015088734177</v>
      </c>
      <c r="AM27" s="144">
        <f>SrDebt!AM$30</f>
        <v>8886.1718490787916</v>
      </c>
      <c r="AN27" s="144">
        <f>SrDebt!AN$30</f>
        <v>8510.9084333369938</v>
      </c>
      <c r="AO27" s="144">
        <f>SrDebt!AO$30</f>
        <v>8112.1910541113348</v>
      </c>
      <c r="AP27" s="144">
        <f>SrDebt!AP$30</f>
        <v>7688.9224499522752</v>
      </c>
      <c r="AQ27" s="144">
        <f>SrDebt!AQ$30</f>
        <v>7251.8009199928065</v>
      </c>
      <c r="AR27" s="144">
        <f>SrDebt!AR$30</f>
        <v>6788.2079575632461</v>
      </c>
      <c r="AS27" s="144">
        <f>SrDebt!AS$30</f>
        <v>6309.253334840163</v>
      </c>
      <c r="AT27" s="144">
        <f>SrDebt!AT$30</f>
        <v>5801.9070721102989</v>
      </c>
      <c r="AU27" s="144">
        <f>SrDebt!AU$30</f>
        <v>5277.4160992314128</v>
      </c>
      <c r="AV27" s="144">
        <f>SrDebt!AV$30</f>
        <v>4722.3389634466703</v>
      </c>
      <c r="AW27" s="144">
        <f>SrDebt!AW$30</f>
        <v>4148.334067657408</v>
      </c>
      <c r="AX27" s="144">
        <f>SrDebt!AX$30</f>
        <v>3541.5484860632146</v>
      </c>
      <c r="AY27" s="144">
        <f>SrDebt!AY$30</f>
        <v>2897.1816998223653</v>
      </c>
      <c r="AZ27" s="144">
        <f>SrDebt!AZ$30</f>
        <v>2215.9194973408198</v>
      </c>
      <c r="BA27" s="144">
        <f>SrDebt!BA$30</f>
        <v>1511.8891197813734</v>
      </c>
      <c r="BB27" s="144">
        <f>SrDebt!BB$30</f>
        <v>768.49448771977177</v>
      </c>
      <c r="BC27" s="144">
        <f>SrDebt!BC$30</f>
        <v>0</v>
      </c>
      <c r="BD27" s="144">
        <f>SrDebt!BD$30</f>
        <v>0</v>
      </c>
      <c r="BE27" s="144">
        <f>SrDebt!BE$30</f>
        <v>0</v>
      </c>
      <c r="BF27" s="144">
        <f>SrDebt!BF$30</f>
        <v>0</v>
      </c>
      <c r="BG27" s="144">
        <f>SrDebt!BG$30</f>
        <v>0</v>
      </c>
      <c r="BH27" s="144">
        <f>SrDebt!BH$30</f>
        <v>0</v>
      </c>
      <c r="BI27" s="144">
        <f>SrDebt!BI$30</f>
        <v>0</v>
      </c>
      <c r="BJ27" s="144">
        <f>SrDebt!BJ$30</f>
        <v>0</v>
      </c>
      <c r="BK27" s="144">
        <f>SrDebt!BK$30</f>
        <v>0</v>
      </c>
      <c r="BL27" s="144">
        <f>SrDebt!BL$30</f>
        <v>0</v>
      </c>
      <c r="BM27" s="144">
        <f>SrDebt!BM$30</f>
        <v>0</v>
      </c>
      <c r="BN27" s="144">
        <f>SrDebt!BN$30</f>
        <v>0</v>
      </c>
      <c r="BO27" s="144">
        <f>SrDebt!BO$30</f>
        <v>0</v>
      </c>
      <c r="BP27" s="144">
        <f>SrDebt!BP$30</f>
        <v>0</v>
      </c>
      <c r="BQ27" s="144">
        <f>SrDebt!BQ$30</f>
        <v>0</v>
      </c>
      <c r="BR27" s="144">
        <f>SrDebt!BR$30</f>
        <v>0</v>
      </c>
      <c r="BS27" s="144">
        <f>SrDebt!BS$30</f>
        <v>0</v>
      </c>
      <c r="BT27" s="144">
        <f>SrDebt!BT$30</f>
        <v>0</v>
      </c>
      <c r="BU27" s="144">
        <f>SrDebt!BU$30</f>
        <v>0</v>
      </c>
      <c r="BV27" s="144">
        <f>SrDebt!BV$30</f>
        <v>0</v>
      </c>
      <c r="BW27" s="144">
        <f>SrDebt!BW$30</f>
        <v>0</v>
      </c>
      <c r="BX27" s="144">
        <f>SrDebt!BX$30</f>
        <v>0</v>
      </c>
      <c r="BY27" s="144">
        <f>SrDebt!BY$30</f>
        <v>0</v>
      </c>
      <c r="BZ27" s="144">
        <f>SrDebt!BZ$30</f>
        <v>0</v>
      </c>
      <c r="CA27" s="144">
        <f>SrDebt!CA$30</f>
        <v>0</v>
      </c>
    </row>
    <row r="28" spans="1:79" x14ac:dyDescent="0.2">
      <c r="E28" s="85" t="s">
        <v>137</v>
      </c>
      <c r="G28" s="85" t="str">
        <f xml:space="preserve"> SMU</f>
        <v>€ 000s</v>
      </c>
      <c r="H28" s="135">
        <f>SUM(J28:CA28)</f>
        <v>1147719.8968318701</v>
      </c>
      <c r="J28" s="114">
        <f xml:space="preserve"> J24 - SUM(J25:J27)</f>
        <v>0</v>
      </c>
      <c r="K28" s="114">
        <f t="shared" ref="K28:BV28" si="12" xml:space="preserve"> K24 - SUM(K25:K27)</f>
        <v>0</v>
      </c>
      <c r="L28" s="114">
        <f t="shared" si="12"/>
        <v>0</v>
      </c>
      <c r="M28" s="114">
        <f t="shared" si="12"/>
        <v>0</v>
      </c>
      <c r="N28" s="114">
        <f t="shared" si="12"/>
        <v>0</v>
      </c>
      <c r="O28" s="114">
        <f t="shared" si="12"/>
        <v>-13463.572121936741</v>
      </c>
      <c r="P28" s="114">
        <f t="shared" si="12"/>
        <v>-11689.400379319683</v>
      </c>
      <c r="Q28" s="114">
        <f t="shared" si="12"/>
        <v>-9721.5838995313206</v>
      </c>
      <c r="R28" s="114">
        <f t="shared" si="12"/>
        <v>-10531.014704217858</v>
      </c>
      <c r="S28" s="114">
        <f t="shared" si="12"/>
        <v>-8924.5244298010875</v>
      </c>
      <c r="T28" s="114">
        <f t="shared" si="12"/>
        <v>-8246.031458653546</v>
      </c>
      <c r="U28" s="114">
        <f t="shared" si="12"/>
        <v>-6824.7510219537799</v>
      </c>
      <c r="V28" s="114">
        <f t="shared" si="12"/>
        <v>-5837.4406339961388</v>
      </c>
      <c r="W28" s="114">
        <f t="shared" si="12"/>
        <v>-4520.9710691228138</v>
      </c>
      <c r="X28" s="114">
        <f t="shared" si="12"/>
        <v>-2984.8437559428967</v>
      </c>
      <c r="Y28" s="114">
        <f t="shared" si="12"/>
        <v>-1014.6526957957685</v>
      </c>
      <c r="Z28" s="114">
        <f t="shared" si="12"/>
        <v>-273.52154927972515</v>
      </c>
      <c r="AA28" s="114">
        <f t="shared" si="12"/>
        <v>941.26811879898014</v>
      </c>
      <c r="AB28" s="114">
        <f t="shared" si="12"/>
        <v>1812.421627882919</v>
      </c>
      <c r="AC28" s="114">
        <f t="shared" si="12"/>
        <v>3000.6628051406115</v>
      </c>
      <c r="AD28" s="114">
        <f t="shared" si="12"/>
        <v>4519.1444041808427</v>
      </c>
      <c r="AE28" s="114">
        <f t="shared" si="12"/>
        <v>5749.1351578907343</v>
      </c>
      <c r="AF28" s="114">
        <f t="shared" si="12"/>
        <v>6555.8444641866299</v>
      </c>
      <c r="AG28" s="114">
        <f t="shared" si="12"/>
        <v>7777.9871081439014</v>
      </c>
      <c r="AH28" s="114">
        <f t="shared" si="12"/>
        <v>8570.2694419745385</v>
      </c>
      <c r="AI28" s="114">
        <f t="shared" si="12"/>
        <v>10393.227360739882</v>
      </c>
      <c r="AJ28" s="114">
        <f t="shared" si="12"/>
        <v>11181.131625001704</v>
      </c>
      <c r="AK28" s="114">
        <f t="shared" si="12"/>
        <v>12412.441104511723</v>
      </c>
      <c r="AL28" s="114">
        <f t="shared" si="12"/>
        <v>13198.434137495231</v>
      </c>
      <c r="AM28" s="114">
        <f t="shared" si="12"/>
        <v>14442.216140601457</v>
      </c>
      <c r="AN28" s="114">
        <f t="shared" si="12"/>
        <v>15740.954162933536</v>
      </c>
      <c r="AO28" s="114">
        <f t="shared" si="12"/>
        <v>17062.230354953401</v>
      </c>
      <c r="AP28" s="114">
        <f t="shared" si="12"/>
        <v>17841.034115222064</v>
      </c>
      <c r="AQ28" s="114">
        <f t="shared" si="12"/>
        <v>19190.188558095731</v>
      </c>
      <c r="AR28" s="114">
        <f t="shared" si="12"/>
        <v>19986.294678847775</v>
      </c>
      <c r="AS28" s="114">
        <f t="shared" si="12"/>
        <v>21369.768179452549</v>
      </c>
      <c r="AT28" s="114">
        <f t="shared" si="12"/>
        <v>22189.141314500364</v>
      </c>
      <c r="AU28" s="114">
        <f t="shared" si="12"/>
        <v>23613.404977993505</v>
      </c>
      <c r="AV28" s="114">
        <f t="shared" si="12"/>
        <v>24462.31845665041</v>
      </c>
      <c r="AW28" s="114">
        <f t="shared" si="12"/>
        <v>25933.898719128229</v>
      </c>
      <c r="AX28" s="114">
        <f t="shared" si="12"/>
        <v>27606.618985897505</v>
      </c>
      <c r="AY28" s="114">
        <f t="shared" si="12"/>
        <v>29205.077593761715</v>
      </c>
      <c r="AZ28" s="114">
        <f t="shared" si="12"/>
        <v>30113.182082876396</v>
      </c>
      <c r="BA28" s="114">
        <f t="shared" si="12"/>
        <v>31775.045081526914</v>
      </c>
      <c r="BB28" s="114">
        <f t="shared" si="12"/>
        <v>32731.847136118246</v>
      </c>
      <c r="BC28" s="114">
        <f t="shared" si="12"/>
        <v>34463.96943525059</v>
      </c>
      <c r="BD28" s="114">
        <f t="shared" si="12"/>
        <v>34665.468949398084</v>
      </c>
      <c r="BE28" s="114">
        <f t="shared" si="12"/>
        <v>35636.806516847762</v>
      </c>
      <c r="BF28" s="114">
        <f t="shared" si="12"/>
        <v>35648.261943206038</v>
      </c>
      <c r="BG28" s="114">
        <f t="shared" si="12"/>
        <v>36626.869008483765</v>
      </c>
      <c r="BH28" s="114">
        <f t="shared" si="12"/>
        <v>36806.316039756872</v>
      </c>
      <c r="BI28" s="114">
        <f t="shared" si="12"/>
        <v>36151.375015764468</v>
      </c>
      <c r="BJ28" s="114">
        <f t="shared" si="12"/>
        <v>39443.798351623256</v>
      </c>
      <c r="BK28" s="114">
        <f t="shared" si="12"/>
        <v>37092.996895562042</v>
      </c>
      <c r="BL28" s="114">
        <f t="shared" si="12"/>
        <v>40647.242306033135</v>
      </c>
      <c r="BM28" s="114">
        <f t="shared" si="12"/>
        <v>38226.803363789411</v>
      </c>
      <c r="BN28" s="114">
        <f t="shared" si="12"/>
        <v>41859.580832230371</v>
      </c>
      <c r="BO28" s="114">
        <f t="shared" si="12"/>
        <v>39368.823043003242</v>
      </c>
      <c r="BP28" s="114">
        <f t="shared" si="12"/>
        <v>43083.102468399258</v>
      </c>
      <c r="BQ28" s="114">
        <f t="shared" si="12"/>
        <v>40521.224128673297</v>
      </c>
      <c r="BR28" s="114">
        <f t="shared" si="12"/>
        <v>42481.990058251293</v>
      </c>
      <c r="BS28" s="114">
        <f t="shared" si="12"/>
        <v>43546.831792554614</v>
      </c>
      <c r="BT28" s="114">
        <f t="shared" si="12"/>
        <v>44157.610514631022</v>
      </c>
      <c r="BU28" s="114">
        <f t="shared" si="12"/>
        <v>44772.486663561773</v>
      </c>
      <c r="BV28" s="114">
        <f t="shared" si="12"/>
        <v>27175.459329893471</v>
      </c>
      <c r="BW28" s="114">
        <f t="shared" ref="BW28:CA28" si="13" xml:space="preserve"> BW24 - SUM(BW25:BW27)</f>
        <v>0</v>
      </c>
      <c r="BX28" s="114">
        <f t="shared" si="13"/>
        <v>0</v>
      </c>
      <c r="BY28" s="114">
        <f t="shared" si="13"/>
        <v>0</v>
      </c>
      <c r="BZ28" s="114">
        <f t="shared" si="13"/>
        <v>0</v>
      </c>
      <c r="CA28" s="114">
        <f t="shared" si="13"/>
        <v>0</v>
      </c>
    </row>
    <row r="30" spans="1:79" s="186" customFormat="1" x14ac:dyDescent="0.2">
      <c r="A30" s="181"/>
      <c r="B30" s="182"/>
      <c r="C30" s="183"/>
      <c r="D30" s="184"/>
      <c r="E30" s="186" t="str">
        <f>InpC!E$49</f>
        <v>Corporation tax rate</v>
      </c>
      <c r="F30" s="186">
        <f>InpC!F$49</f>
        <v>0.3</v>
      </c>
      <c r="G30" s="186" t="str">
        <f>InpC!G$49</f>
        <v>of TI</v>
      </c>
    </row>
    <row r="31" spans="1:79" x14ac:dyDescent="0.2">
      <c r="E31" s="85" t="str">
        <f xml:space="preserve"> E$28</f>
        <v>Taxable income</v>
      </c>
      <c r="F31" s="85">
        <f t="shared" ref="F31:BQ31" si="14" xml:space="preserve"> F$28</f>
        <v>0</v>
      </c>
      <c r="G31" s="85" t="str">
        <f t="shared" si="14"/>
        <v>€ 000s</v>
      </c>
      <c r="H31" s="85">
        <f t="shared" si="14"/>
        <v>1147719.8968318701</v>
      </c>
      <c r="I31" s="85">
        <f t="shared" si="14"/>
        <v>0</v>
      </c>
      <c r="J31" s="85">
        <f t="shared" si="14"/>
        <v>0</v>
      </c>
      <c r="K31" s="85">
        <f t="shared" si="14"/>
        <v>0</v>
      </c>
      <c r="L31" s="85">
        <f t="shared" si="14"/>
        <v>0</v>
      </c>
      <c r="M31" s="85">
        <f t="shared" si="14"/>
        <v>0</v>
      </c>
      <c r="N31" s="85">
        <f t="shared" si="14"/>
        <v>0</v>
      </c>
      <c r="O31" s="85">
        <f t="shared" si="14"/>
        <v>-13463.572121936741</v>
      </c>
      <c r="P31" s="85">
        <f t="shared" si="14"/>
        <v>-11689.400379319683</v>
      </c>
      <c r="Q31" s="85">
        <f t="shared" si="14"/>
        <v>-9721.5838995313206</v>
      </c>
      <c r="R31" s="85">
        <f t="shared" si="14"/>
        <v>-10531.014704217858</v>
      </c>
      <c r="S31" s="85">
        <f t="shared" si="14"/>
        <v>-8924.5244298010875</v>
      </c>
      <c r="T31" s="85">
        <f t="shared" si="14"/>
        <v>-8246.031458653546</v>
      </c>
      <c r="U31" s="85">
        <f t="shared" si="14"/>
        <v>-6824.7510219537799</v>
      </c>
      <c r="V31" s="85">
        <f t="shared" si="14"/>
        <v>-5837.4406339961388</v>
      </c>
      <c r="W31" s="85">
        <f t="shared" si="14"/>
        <v>-4520.9710691228138</v>
      </c>
      <c r="X31" s="85">
        <f t="shared" si="14"/>
        <v>-2984.8437559428967</v>
      </c>
      <c r="Y31" s="85">
        <f t="shared" si="14"/>
        <v>-1014.6526957957685</v>
      </c>
      <c r="Z31" s="85">
        <f t="shared" si="14"/>
        <v>-273.52154927972515</v>
      </c>
      <c r="AA31" s="85">
        <f t="shared" si="14"/>
        <v>941.26811879898014</v>
      </c>
      <c r="AB31" s="85">
        <f t="shared" si="14"/>
        <v>1812.421627882919</v>
      </c>
      <c r="AC31" s="85">
        <f t="shared" si="14"/>
        <v>3000.6628051406115</v>
      </c>
      <c r="AD31" s="85">
        <f t="shared" si="14"/>
        <v>4519.1444041808427</v>
      </c>
      <c r="AE31" s="85">
        <f t="shared" si="14"/>
        <v>5749.1351578907343</v>
      </c>
      <c r="AF31" s="85">
        <f t="shared" si="14"/>
        <v>6555.8444641866299</v>
      </c>
      <c r="AG31" s="85">
        <f t="shared" si="14"/>
        <v>7777.9871081439014</v>
      </c>
      <c r="AH31" s="85">
        <f t="shared" si="14"/>
        <v>8570.2694419745385</v>
      </c>
      <c r="AI31" s="85">
        <f t="shared" si="14"/>
        <v>10393.227360739882</v>
      </c>
      <c r="AJ31" s="85">
        <f t="shared" si="14"/>
        <v>11181.131625001704</v>
      </c>
      <c r="AK31" s="85">
        <f t="shared" si="14"/>
        <v>12412.441104511723</v>
      </c>
      <c r="AL31" s="85">
        <f t="shared" si="14"/>
        <v>13198.434137495231</v>
      </c>
      <c r="AM31" s="85">
        <f t="shared" si="14"/>
        <v>14442.216140601457</v>
      </c>
      <c r="AN31" s="85">
        <f t="shared" si="14"/>
        <v>15740.954162933536</v>
      </c>
      <c r="AO31" s="85">
        <f t="shared" si="14"/>
        <v>17062.230354953401</v>
      </c>
      <c r="AP31" s="85">
        <f t="shared" si="14"/>
        <v>17841.034115222064</v>
      </c>
      <c r="AQ31" s="85">
        <f t="shared" si="14"/>
        <v>19190.188558095731</v>
      </c>
      <c r="AR31" s="85">
        <f t="shared" si="14"/>
        <v>19986.294678847775</v>
      </c>
      <c r="AS31" s="85">
        <f t="shared" si="14"/>
        <v>21369.768179452549</v>
      </c>
      <c r="AT31" s="85">
        <f t="shared" si="14"/>
        <v>22189.141314500364</v>
      </c>
      <c r="AU31" s="85">
        <f t="shared" si="14"/>
        <v>23613.404977993505</v>
      </c>
      <c r="AV31" s="85">
        <f t="shared" si="14"/>
        <v>24462.31845665041</v>
      </c>
      <c r="AW31" s="85">
        <f t="shared" si="14"/>
        <v>25933.898719128229</v>
      </c>
      <c r="AX31" s="85">
        <f t="shared" si="14"/>
        <v>27606.618985897505</v>
      </c>
      <c r="AY31" s="85">
        <f t="shared" si="14"/>
        <v>29205.077593761715</v>
      </c>
      <c r="AZ31" s="85">
        <f t="shared" si="14"/>
        <v>30113.182082876396</v>
      </c>
      <c r="BA31" s="85">
        <f t="shared" si="14"/>
        <v>31775.045081526914</v>
      </c>
      <c r="BB31" s="85">
        <f t="shared" si="14"/>
        <v>32731.847136118246</v>
      </c>
      <c r="BC31" s="85">
        <f t="shared" si="14"/>
        <v>34463.96943525059</v>
      </c>
      <c r="BD31" s="85">
        <f t="shared" si="14"/>
        <v>34665.468949398084</v>
      </c>
      <c r="BE31" s="85">
        <f t="shared" si="14"/>
        <v>35636.806516847762</v>
      </c>
      <c r="BF31" s="85">
        <f t="shared" si="14"/>
        <v>35648.261943206038</v>
      </c>
      <c r="BG31" s="85">
        <f t="shared" si="14"/>
        <v>36626.869008483765</v>
      </c>
      <c r="BH31" s="85">
        <f t="shared" si="14"/>
        <v>36806.316039756872</v>
      </c>
      <c r="BI31" s="85">
        <f t="shared" si="14"/>
        <v>36151.375015764468</v>
      </c>
      <c r="BJ31" s="85">
        <f t="shared" si="14"/>
        <v>39443.798351623256</v>
      </c>
      <c r="BK31" s="85">
        <f t="shared" si="14"/>
        <v>37092.996895562042</v>
      </c>
      <c r="BL31" s="85">
        <f t="shared" si="14"/>
        <v>40647.242306033135</v>
      </c>
      <c r="BM31" s="85">
        <f t="shared" si="14"/>
        <v>38226.803363789411</v>
      </c>
      <c r="BN31" s="85">
        <f t="shared" si="14"/>
        <v>41859.580832230371</v>
      </c>
      <c r="BO31" s="85">
        <f t="shared" si="14"/>
        <v>39368.823043003242</v>
      </c>
      <c r="BP31" s="85">
        <f t="shared" si="14"/>
        <v>43083.102468399258</v>
      </c>
      <c r="BQ31" s="85">
        <f t="shared" si="14"/>
        <v>40521.224128673297</v>
      </c>
      <c r="BR31" s="85">
        <f t="shared" ref="BR31:CA31" si="15" xml:space="preserve"> BR$28</f>
        <v>42481.990058251293</v>
      </c>
      <c r="BS31" s="85">
        <f t="shared" si="15"/>
        <v>43546.831792554614</v>
      </c>
      <c r="BT31" s="85">
        <f t="shared" si="15"/>
        <v>44157.610514631022</v>
      </c>
      <c r="BU31" s="85">
        <f t="shared" si="15"/>
        <v>44772.486663561773</v>
      </c>
      <c r="BV31" s="85">
        <f t="shared" si="15"/>
        <v>27175.459329893471</v>
      </c>
      <c r="BW31" s="85">
        <f t="shared" si="15"/>
        <v>0</v>
      </c>
      <c r="BX31" s="85">
        <f t="shared" si="15"/>
        <v>0</v>
      </c>
      <c r="BY31" s="85">
        <f t="shared" si="15"/>
        <v>0</v>
      </c>
      <c r="BZ31" s="85">
        <f t="shared" si="15"/>
        <v>0</v>
      </c>
      <c r="CA31" s="85">
        <f t="shared" si="15"/>
        <v>0</v>
      </c>
    </row>
    <row r="32" spans="1:79" s="268" customFormat="1" x14ac:dyDescent="0.2">
      <c r="A32" s="148"/>
      <c r="B32" s="148"/>
      <c r="C32" s="149"/>
      <c r="D32" s="267"/>
      <c r="E32" s="268" t="s">
        <v>263</v>
      </c>
      <c r="G32" s="268" t="str">
        <f xml:space="preserve"> SMU</f>
        <v>€ 000s</v>
      </c>
      <c r="H32" s="268">
        <f>SUM(J32:CA32)</f>
        <v>344315.96904956095</v>
      </c>
      <c r="J32" s="268">
        <f xml:space="preserve"> $F30 * J31</f>
        <v>0</v>
      </c>
      <c r="K32" s="268">
        <f t="shared" ref="K32:BV32" si="16" xml:space="preserve"> $F30 * K31</f>
        <v>0</v>
      </c>
      <c r="L32" s="268">
        <f t="shared" si="16"/>
        <v>0</v>
      </c>
      <c r="M32" s="268">
        <f t="shared" si="16"/>
        <v>0</v>
      </c>
      <c r="N32" s="268">
        <f t="shared" si="16"/>
        <v>0</v>
      </c>
      <c r="O32" s="268">
        <f t="shared" si="16"/>
        <v>-4039.0716365810222</v>
      </c>
      <c r="P32" s="268">
        <f t="shared" si="16"/>
        <v>-3506.8201137959045</v>
      </c>
      <c r="Q32" s="268">
        <f t="shared" si="16"/>
        <v>-2916.4751698593959</v>
      </c>
      <c r="R32" s="268">
        <f t="shared" si="16"/>
        <v>-3159.3044112653574</v>
      </c>
      <c r="S32" s="268">
        <f t="shared" si="16"/>
        <v>-2677.3573289403262</v>
      </c>
      <c r="T32" s="268">
        <f t="shared" si="16"/>
        <v>-2473.8094375960636</v>
      </c>
      <c r="U32" s="268">
        <f t="shared" si="16"/>
        <v>-2047.425306586134</v>
      </c>
      <c r="V32" s="268">
        <f t="shared" si="16"/>
        <v>-1751.2321901988416</v>
      </c>
      <c r="W32" s="268">
        <f t="shared" si="16"/>
        <v>-1356.291320736844</v>
      </c>
      <c r="X32" s="268">
        <f t="shared" si="16"/>
        <v>-895.45312678286894</v>
      </c>
      <c r="Y32" s="268">
        <f t="shared" si="16"/>
        <v>-304.39580873873052</v>
      </c>
      <c r="Z32" s="268">
        <f t="shared" si="16"/>
        <v>-82.056464783917548</v>
      </c>
      <c r="AA32" s="268">
        <f t="shared" si="16"/>
        <v>282.38043563969404</v>
      </c>
      <c r="AB32" s="268">
        <f t="shared" si="16"/>
        <v>543.72648836487565</v>
      </c>
      <c r="AC32" s="268">
        <f t="shared" si="16"/>
        <v>900.19884154218346</v>
      </c>
      <c r="AD32" s="268">
        <f t="shared" si="16"/>
        <v>1355.7433212542528</v>
      </c>
      <c r="AE32" s="268">
        <f t="shared" si="16"/>
        <v>1724.7405473672202</v>
      </c>
      <c r="AF32" s="268">
        <f t="shared" si="16"/>
        <v>1966.753339255989</v>
      </c>
      <c r="AG32" s="268">
        <f t="shared" si="16"/>
        <v>2333.3961324431702</v>
      </c>
      <c r="AH32" s="268">
        <f t="shared" si="16"/>
        <v>2571.0808325923613</v>
      </c>
      <c r="AI32" s="268">
        <f t="shared" si="16"/>
        <v>3117.9682082219647</v>
      </c>
      <c r="AJ32" s="268">
        <f t="shared" si="16"/>
        <v>3354.339487500511</v>
      </c>
      <c r="AK32" s="268">
        <f t="shared" si="16"/>
        <v>3723.7323313535167</v>
      </c>
      <c r="AL32" s="268">
        <f t="shared" si="16"/>
        <v>3959.5302412485689</v>
      </c>
      <c r="AM32" s="268">
        <f t="shared" si="16"/>
        <v>4332.6648421804366</v>
      </c>
      <c r="AN32" s="268">
        <f t="shared" si="16"/>
        <v>4722.2862488800611</v>
      </c>
      <c r="AO32" s="268">
        <f t="shared" si="16"/>
        <v>5118.6691064860197</v>
      </c>
      <c r="AP32" s="268">
        <f t="shared" si="16"/>
        <v>5352.3102345666193</v>
      </c>
      <c r="AQ32" s="268">
        <f t="shared" si="16"/>
        <v>5757.0565674287191</v>
      </c>
      <c r="AR32" s="268">
        <f t="shared" si="16"/>
        <v>5995.8884036543323</v>
      </c>
      <c r="AS32" s="268">
        <f t="shared" si="16"/>
        <v>6410.9304538357646</v>
      </c>
      <c r="AT32" s="268">
        <f t="shared" si="16"/>
        <v>6656.742394350109</v>
      </c>
      <c r="AU32" s="268">
        <f t="shared" si="16"/>
        <v>7084.0214933980515</v>
      </c>
      <c r="AV32" s="268">
        <f t="shared" si="16"/>
        <v>7338.6955369951229</v>
      </c>
      <c r="AW32" s="268">
        <f t="shared" si="16"/>
        <v>7780.1696157384686</v>
      </c>
      <c r="AX32" s="268">
        <f t="shared" si="16"/>
        <v>8281.9856957692518</v>
      </c>
      <c r="AY32" s="268">
        <f t="shared" si="16"/>
        <v>8761.523278128514</v>
      </c>
      <c r="AZ32" s="268">
        <f t="shared" si="16"/>
        <v>9033.9546248629176</v>
      </c>
      <c r="BA32" s="268">
        <f t="shared" si="16"/>
        <v>9532.5135244580742</v>
      </c>
      <c r="BB32" s="268">
        <f t="shared" si="16"/>
        <v>9819.5541408354729</v>
      </c>
      <c r="BC32" s="268">
        <f t="shared" si="16"/>
        <v>10339.190830575177</v>
      </c>
      <c r="BD32" s="268">
        <f t="shared" si="16"/>
        <v>10399.640684819426</v>
      </c>
      <c r="BE32" s="268">
        <f t="shared" si="16"/>
        <v>10691.041955054328</v>
      </c>
      <c r="BF32" s="268">
        <f t="shared" si="16"/>
        <v>10694.47858296181</v>
      </c>
      <c r="BG32" s="268">
        <f t="shared" si="16"/>
        <v>10988.06070254513</v>
      </c>
      <c r="BH32" s="268">
        <f t="shared" si="16"/>
        <v>11041.894811927061</v>
      </c>
      <c r="BI32" s="268">
        <f t="shared" si="16"/>
        <v>10845.41250472934</v>
      </c>
      <c r="BJ32" s="268">
        <f t="shared" si="16"/>
        <v>11833.139505486977</v>
      </c>
      <c r="BK32" s="268">
        <f t="shared" si="16"/>
        <v>11127.899068668612</v>
      </c>
      <c r="BL32" s="268">
        <f t="shared" si="16"/>
        <v>12194.172691809939</v>
      </c>
      <c r="BM32" s="268">
        <f t="shared" si="16"/>
        <v>11468.041009136823</v>
      </c>
      <c r="BN32" s="268">
        <f t="shared" si="16"/>
        <v>12557.87424966911</v>
      </c>
      <c r="BO32" s="268">
        <f t="shared" si="16"/>
        <v>11810.646912900973</v>
      </c>
      <c r="BP32" s="268">
        <f t="shared" si="16"/>
        <v>12924.930740519778</v>
      </c>
      <c r="BQ32" s="268">
        <f t="shared" si="16"/>
        <v>12156.367238601988</v>
      </c>
      <c r="BR32" s="268">
        <f t="shared" si="16"/>
        <v>12744.597017475387</v>
      </c>
      <c r="BS32" s="268">
        <f t="shared" si="16"/>
        <v>13064.049537766385</v>
      </c>
      <c r="BT32" s="268">
        <f t="shared" si="16"/>
        <v>13247.283154389306</v>
      </c>
      <c r="BU32" s="268">
        <f t="shared" si="16"/>
        <v>13431.745999068531</v>
      </c>
      <c r="BV32" s="268">
        <f t="shared" si="16"/>
        <v>8152.6377989680404</v>
      </c>
      <c r="BW32" s="268">
        <f t="shared" ref="BW32:CA32" si="17" xml:space="preserve"> $F30 * BW31</f>
        <v>0</v>
      </c>
      <c r="BX32" s="268">
        <f t="shared" si="17"/>
        <v>0</v>
      </c>
      <c r="BY32" s="268">
        <f t="shared" si="17"/>
        <v>0</v>
      </c>
      <c r="BZ32" s="268">
        <f t="shared" si="17"/>
        <v>0</v>
      </c>
      <c r="CA32" s="268">
        <f t="shared" si="17"/>
        <v>0</v>
      </c>
    </row>
    <row r="33" spans="1:79" s="248" customFormat="1" x14ac:dyDescent="0.2">
      <c r="A33" s="145"/>
      <c r="B33" s="145"/>
      <c r="C33" s="146"/>
      <c r="D33" s="310"/>
      <c r="E33" s="248" t="str">
        <f xml:space="preserve"> LEFT(E32, LEN(E32) - 4)</f>
        <v xml:space="preserve">[Tax payments </v>
      </c>
      <c r="G33" s="248" t="str">
        <f xml:space="preserve"> G32</f>
        <v>€ 000s</v>
      </c>
      <c r="H33" s="248">
        <f>SUM(J33:CA33)</f>
        <v>-344315.96904956095</v>
      </c>
      <c r="J33" s="248">
        <f t="shared" ref="J33:BU33" si="18" xml:space="preserve"> -1 * J32</f>
        <v>0</v>
      </c>
      <c r="K33" s="248">
        <f t="shared" si="18"/>
        <v>0</v>
      </c>
      <c r="L33" s="248">
        <f t="shared" si="18"/>
        <v>0</v>
      </c>
      <c r="M33" s="248">
        <f t="shared" si="18"/>
        <v>0</v>
      </c>
      <c r="N33" s="248">
        <f t="shared" si="18"/>
        <v>0</v>
      </c>
      <c r="O33" s="248">
        <f t="shared" si="18"/>
        <v>4039.0716365810222</v>
      </c>
      <c r="P33" s="248">
        <f t="shared" si="18"/>
        <v>3506.8201137959045</v>
      </c>
      <c r="Q33" s="248">
        <f t="shared" si="18"/>
        <v>2916.4751698593959</v>
      </c>
      <c r="R33" s="248">
        <f t="shared" si="18"/>
        <v>3159.3044112653574</v>
      </c>
      <c r="S33" s="248">
        <f t="shared" si="18"/>
        <v>2677.3573289403262</v>
      </c>
      <c r="T33" s="248">
        <f t="shared" si="18"/>
        <v>2473.8094375960636</v>
      </c>
      <c r="U33" s="248">
        <f t="shared" si="18"/>
        <v>2047.425306586134</v>
      </c>
      <c r="V33" s="248">
        <f t="shared" si="18"/>
        <v>1751.2321901988416</v>
      </c>
      <c r="W33" s="248">
        <f t="shared" si="18"/>
        <v>1356.291320736844</v>
      </c>
      <c r="X33" s="248">
        <f t="shared" si="18"/>
        <v>895.45312678286894</v>
      </c>
      <c r="Y33" s="248">
        <f t="shared" si="18"/>
        <v>304.39580873873052</v>
      </c>
      <c r="Z33" s="248">
        <f t="shared" si="18"/>
        <v>82.056464783917548</v>
      </c>
      <c r="AA33" s="248">
        <f t="shared" si="18"/>
        <v>-282.38043563969404</v>
      </c>
      <c r="AB33" s="248">
        <f t="shared" si="18"/>
        <v>-543.72648836487565</v>
      </c>
      <c r="AC33" s="248">
        <f t="shared" si="18"/>
        <v>-900.19884154218346</v>
      </c>
      <c r="AD33" s="248">
        <f t="shared" si="18"/>
        <v>-1355.7433212542528</v>
      </c>
      <c r="AE33" s="248">
        <f t="shared" si="18"/>
        <v>-1724.7405473672202</v>
      </c>
      <c r="AF33" s="248">
        <f t="shared" si="18"/>
        <v>-1966.753339255989</v>
      </c>
      <c r="AG33" s="248">
        <f t="shared" si="18"/>
        <v>-2333.3961324431702</v>
      </c>
      <c r="AH33" s="248">
        <f t="shared" si="18"/>
        <v>-2571.0808325923613</v>
      </c>
      <c r="AI33" s="248">
        <f t="shared" si="18"/>
        <v>-3117.9682082219647</v>
      </c>
      <c r="AJ33" s="248">
        <f t="shared" si="18"/>
        <v>-3354.339487500511</v>
      </c>
      <c r="AK33" s="248">
        <f t="shared" si="18"/>
        <v>-3723.7323313535167</v>
      </c>
      <c r="AL33" s="248">
        <f t="shared" si="18"/>
        <v>-3959.5302412485689</v>
      </c>
      <c r="AM33" s="248">
        <f t="shared" si="18"/>
        <v>-4332.6648421804366</v>
      </c>
      <c r="AN33" s="248">
        <f t="shared" si="18"/>
        <v>-4722.2862488800611</v>
      </c>
      <c r="AO33" s="248">
        <f t="shared" si="18"/>
        <v>-5118.6691064860197</v>
      </c>
      <c r="AP33" s="248">
        <f t="shared" si="18"/>
        <v>-5352.3102345666193</v>
      </c>
      <c r="AQ33" s="248">
        <f t="shared" si="18"/>
        <v>-5757.0565674287191</v>
      </c>
      <c r="AR33" s="248">
        <f t="shared" si="18"/>
        <v>-5995.8884036543323</v>
      </c>
      <c r="AS33" s="248">
        <f t="shared" si="18"/>
        <v>-6410.9304538357646</v>
      </c>
      <c r="AT33" s="248">
        <f t="shared" si="18"/>
        <v>-6656.742394350109</v>
      </c>
      <c r="AU33" s="248">
        <f t="shared" si="18"/>
        <v>-7084.0214933980515</v>
      </c>
      <c r="AV33" s="248">
        <f t="shared" si="18"/>
        <v>-7338.6955369951229</v>
      </c>
      <c r="AW33" s="248">
        <f t="shared" si="18"/>
        <v>-7780.1696157384686</v>
      </c>
      <c r="AX33" s="248">
        <f t="shared" si="18"/>
        <v>-8281.9856957692518</v>
      </c>
      <c r="AY33" s="248">
        <f t="shared" si="18"/>
        <v>-8761.523278128514</v>
      </c>
      <c r="AZ33" s="248">
        <f t="shared" si="18"/>
        <v>-9033.9546248629176</v>
      </c>
      <c r="BA33" s="248">
        <f t="shared" si="18"/>
        <v>-9532.5135244580742</v>
      </c>
      <c r="BB33" s="248">
        <f t="shared" si="18"/>
        <v>-9819.5541408354729</v>
      </c>
      <c r="BC33" s="248">
        <f t="shared" si="18"/>
        <v>-10339.190830575177</v>
      </c>
      <c r="BD33" s="248">
        <f t="shared" si="18"/>
        <v>-10399.640684819426</v>
      </c>
      <c r="BE33" s="248">
        <f t="shared" si="18"/>
        <v>-10691.041955054328</v>
      </c>
      <c r="BF33" s="248">
        <f t="shared" si="18"/>
        <v>-10694.47858296181</v>
      </c>
      <c r="BG33" s="248">
        <f t="shared" si="18"/>
        <v>-10988.06070254513</v>
      </c>
      <c r="BH33" s="248">
        <f t="shared" si="18"/>
        <v>-11041.894811927061</v>
      </c>
      <c r="BI33" s="248">
        <f t="shared" si="18"/>
        <v>-10845.41250472934</v>
      </c>
      <c r="BJ33" s="248">
        <f t="shared" si="18"/>
        <v>-11833.139505486977</v>
      </c>
      <c r="BK33" s="248">
        <f t="shared" si="18"/>
        <v>-11127.899068668612</v>
      </c>
      <c r="BL33" s="248">
        <f t="shared" si="18"/>
        <v>-12194.172691809939</v>
      </c>
      <c r="BM33" s="248">
        <f t="shared" si="18"/>
        <v>-11468.041009136823</v>
      </c>
      <c r="BN33" s="248">
        <f t="shared" si="18"/>
        <v>-12557.87424966911</v>
      </c>
      <c r="BO33" s="248">
        <f t="shared" si="18"/>
        <v>-11810.646912900973</v>
      </c>
      <c r="BP33" s="248">
        <f t="shared" si="18"/>
        <v>-12924.930740519778</v>
      </c>
      <c r="BQ33" s="248">
        <f t="shared" si="18"/>
        <v>-12156.367238601988</v>
      </c>
      <c r="BR33" s="248">
        <f t="shared" si="18"/>
        <v>-12744.597017475387</v>
      </c>
      <c r="BS33" s="248">
        <f t="shared" si="18"/>
        <v>-13064.049537766385</v>
      </c>
      <c r="BT33" s="248">
        <f t="shared" si="18"/>
        <v>-13247.283154389306</v>
      </c>
      <c r="BU33" s="248">
        <f t="shared" si="18"/>
        <v>-13431.745999068531</v>
      </c>
      <c r="BV33" s="248">
        <f t="shared" ref="BV33:CA33" si="19" xml:space="preserve"> -1 * BV32</f>
        <v>-8152.6377989680404</v>
      </c>
      <c r="BW33" s="248">
        <f t="shared" si="19"/>
        <v>0</v>
      </c>
      <c r="BX33" s="248">
        <f t="shared" si="19"/>
        <v>0</v>
      </c>
      <c r="BY33" s="248">
        <f t="shared" si="19"/>
        <v>0</v>
      </c>
      <c r="BZ33" s="248">
        <f t="shared" si="19"/>
        <v>0</v>
      </c>
      <c r="CA33" s="248">
        <f t="shared" si="19"/>
        <v>0</v>
      </c>
    </row>
    <row r="36" spans="1:79" x14ac:dyDescent="0.2">
      <c r="A36" s="81" t="s">
        <v>140</v>
      </c>
    </row>
    <row r="38" spans="1:79" s="192" customFormat="1" x14ac:dyDescent="0.2">
      <c r="A38" s="188"/>
      <c r="B38" s="188"/>
      <c r="C38" s="189"/>
      <c r="D38" s="190"/>
      <c r="E38" s="191" t="str">
        <f>InpC!E$50</f>
        <v>[Effective P&amp;L tax rate]</v>
      </c>
      <c r="F38" s="191">
        <f>InpC!F$50</f>
        <v>0.3</v>
      </c>
      <c r="G38" s="191" t="str">
        <f>InpC!G$50</f>
        <v>of PBT</v>
      </c>
    </row>
    <row r="39" spans="1:79" s="196" customFormat="1" x14ac:dyDescent="0.2">
      <c r="A39" s="193"/>
      <c r="B39" s="193"/>
      <c r="C39" s="194"/>
      <c r="D39" s="195"/>
      <c r="E39" s="196" t="str">
        <f xml:space="preserve"> Finstat!E$15</f>
        <v>Profit before tax</v>
      </c>
      <c r="F39" s="196">
        <f xml:space="preserve"> Finstat!F$15</f>
        <v>0</v>
      </c>
      <c r="G39" s="196" t="str">
        <f xml:space="preserve"> Finstat!G$15</f>
        <v>€ 000s</v>
      </c>
      <c r="H39" s="196">
        <f xml:space="preserve"> Finstat!H$15</f>
        <v>1147719.8968318698</v>
      </c>
      <c r="I39" s="196">
        <f xml:space="preserve"> Finstat!I$15</f>
        <v>0</v>
      </c>
      <c r="J39" s="196">
        <f xml:space="preserve"> Finstat!J$15</f>
        <v>0</v>
      </c>
      <c r="K39" s="196">
        <f xml:space="preserve"> Finstat!K$15</f>
        <v>0</v>
      </c>
      <c r="L39" s="196">
        <f xml:space="preserve"> Finstat!L$15</f>
        <v>0</v>
      </c>
      <c r="M39" s="196">
        <f xml:space="preserve"> Finstat!M$15</f>
        <v>0</v>
      </c>
      <c r="N39" s="196">
        <f xml:space="preserve"> Finstat!N$15</f>
        <v>0</v>
      </c>
      <c r="O39" s="196">
        <f xml:space="preserve"> Finstat!O$15</f>
        <v>-1601.4237814504995</v>
      </c>
      <c r="P39" s="196">
        <f xml:space="preserve"> Finstat!P$15</f>
        <v>-815.76440054062186</v>
      </c>
      <c r="Q39" s="196">
        <f xml:space="preserve"> Finstat!Q$15</f>
        <v>212.96533562590412</v>
      </c>
      <c r="R39" s="196">
        <f xml:space="preserve"> Finstat!R$15</f>
        <v>-1488.5978755013639</v>
      </c>
      <c r="S39" s="196">
        <f xml:space="preserve"> Finstat!S$15</f>
        <v>-729.63338720329193</v>
      </c>
      <c r="T39" s="196">
        <f xml:space="preserve"> Finstat!T$15</f>
        <v>-856.28991286850942</v>
      </c>
      <c r="U39" s="196">
        <f xml:space="preserve"> Finstat!U$15</f>
        <v>-199.90149814086908</v>
      </c>
      <c r="V39" s="196">
        <f xml:space="preserve"> Finstat!V$15</f>
        <v>60.761468943248474</v>
      </c>
      <c r="W39" s="196">
        <f xml:space="preserve"> Finstat!W$15</f>
        <v>686.91598398672795</v>
      </c>
      <c r="X39" s="196">
        <f xml:space="preserve"> Finstat!X$15</f>
        <v>1567.2439998282935</v>
      </c>
      <c r="Y39" s="196">
        <f xml:space="preserve"> Finstat!Y$15</f>
        <v>2914.425727503989</v>
      </c>
      <c r="Z39" s="196">
        <f xml:space="preserve"> Finstat!Z$15</f>
        <v>3063.698008172174</v>
      </c>
      <c r="AA39" s="196">
        <f xml:space="preserve"> Finstat!AA$15</f>
        <v>3716.2217536954049</v>
      </c>
      <c r="AB39" s="196">
        <f xml:space="preserve"> Finstat!AB$15</f>
        <v>4053.2226363516456</v>
      </c>
      <c r="AC39" s="196">
        <f xml:space="preserve"> Finstat!AC$15</f>
        <v>4734.0188185030274</v>
      </c>
      <c r="AD39" s="196">
        <f xml:space="preserve"> Finstat!AD$15</f>
        <v>5770.4276721922615</v>
      </c>
      <c r="AE39" s="196">
        <f xml:space="preserve"> Finstat!AE$15</f>
        <v>6542.4493178187113</v>
      </c>
      <c r="AF39" s="196">
        <f xml:space="preserve"> Finstat!AF$15</f>
        <v>6914.0879714353359</v>
      </c>
      <c r="AG39" s="196">
        <f xml:space="preserve"> Finstat!AG$15</f>
        <v>7722.9134953472894</v>
      </c>
      <c r="AH39" s="196">
        <f xml:space="preserve"> Finstat!AH$15</f>
        <v>8122.5445651348855</v>
      </c>
      <c r="AI39" s="196">
        <f xml:space="preserve"> Finstat!AI$15</f>
        <v>9572.4837830593351</v>
      </c>
      <c r="AJ39" s="196">
        <f xml:space="preserve"> Finstat!AJ$15</f>
        <v>10006.020281522309</v>
      </c>
      <c r="AK39" s="196">
        <f xml:space="preserve"> Finstat!AK$15</f>
        <v>10900.680383523424</v>
      </c>
      <c r="AL39" s="196">
        <f xml:space="preserve"> Finstat!AL$15</f>
        <v>11366.856507873472</v>
      </c>
      <c r="AM39" s="196">
        <f xml:space="preserve"> Finstat!AM$15</f>
        <v>12306.812447777917</v>
      </c>
      <c r="AN39" s="196">
        <f xml:space="preserve"> Finstat!AN$15</f>
        <v>13316.915710068293</v>
      </c>
      <c r="AO39" s="196">
        <f xml:space="preserve"> Finstat!AO$15</f>
        <v>14363.988880048546</v>
      </c>
      <c r="AP39" s="196">
        <f xml:space="preserve"> Finstat!AP$15</f>
        <v>14882.299769379579</v>
      </c>
      <c r="AQ39" s="196">
        <f xml:space="preserve"> Finstat!AQ$15</f>
        <v>15983.985984862491</v>
      </c>
      <c r="AR39" s="196">
        <f xml:space="preserve"> Finstat!AR$15</f>
        <v>16544.997289593324</v>
      </c>
      <c r="AS39" s="196">
        <f xml:space="preserve"> Finstat!AS$15</f>
        <v>17705.130714977946</v>
      </c>
      <c r="AT39" s="196">
        <f xml:space="preserve"> Finstat!AT$15</f>
        <v>18312.330778566615</v>
      </c>
      <c r="AU39" s="196">
        <f xml:space="preserve"> Finstat!AU$15</f>
        <v>19535.030024173568</v>
      </c>
      <c r="AV39" s="196">
        <f xml:space="preserve"> Finstat!AV$15</f>
        <v>20192.457305838594</v>
      </c>
      <c r="AW39" s="196">
        <f xml:space="preserve"> Finstat!AW$15</f>
        <v>21482.125681174133</v>
      </c>
      <c r="AX39" s="196">
        <f xml:space="preserve"> Finstat!AX$15</f>
        <v>22982.02965515824</v>
      </c>
      <c r="AY39" s="196">
        <f xml:space="preserve"> Finstat!AY$15</f>
        <v>24416.312784876536</v>
      </c>
      <c r="AZ39" s="196">
        <f xml:space="preserve"> Finstat!AZ$15</f>
        <v>25168.450569752604</v>
      </c>
      <c r="BA39" s="196">
        <f xml:space="preserve"> Finstat!BA$15</f>
        <v>26682.145199376431</v>
      </c>
      <c r="BB39" s="196">
        <f xml:space="preserve"> Finstat!BB$15</f>
        <v>27498.187303392417</v>
      </c>
      <c r="BC39" s="196">
        <f xml:space="preserve"> Finstat!BC$15</f>
        <v>29096.587649478184</v>
      </c>
      <c r="BD39" s="196">
        <f xml:space="preserve"> Finstat!BD$15</f>
        <v>29171.051308231421</v>
      </c>
      <c r="BE39" s="196">
        <f xml:space="preserve"> Finstat!BE$15</f>
        <v>30021.70481305656</v>
      </c>
      <c r="BF39" s="196">
        <f xml:space="preserve"> Finstat!BF$15</f>
        <v>29918.510379921521</v>
      </c>
      <c r="BG39" s="196">
        <f xml:space="preserve"> Finstat!BG$15</f>
        <v>30788.200078680595</v>
      </c>
      <c r="BH39" s="196">
        <f xml:space="preserve"> Finstat!BH$15</f>
        <v>30864.175611760984</v>
      </c>
      <c r="BI39" s="196">
        <f xml:space="preserve"> Finstat!BI$15</f>
        <v>30110.936664485504</v>
      </c>
      <c r="BJ39" s="196">
        <f xml:space="preserve"> Finstat!BJ$15</f>
        <v>33309.976973225363</v>
      </c>
      <c r="BK39" s="196">
        <f xml:space="preserve"> Finstat!BK$15</f>
        <v>30870.461641401169</v>
      </c>
      <c r="BL39" s="196">
        <f xml:space="preserve"> Finstat!BL$15</f>
        <v>34340.428869897434</v>
      </c>
      <c r="BM39" s="196">
        <f xml:space="preserve"> Finstat!BM$15</f>
        <v>39748.024548435103</v>
      </c>
      <c r="BN39" s="196">
        <f xml:space="preserve"> Finstat!BN$15</f>
        <v>43304.740957643786</v>
      </c>
      <c r="BO39" s="196">
        <f xml:space="preserve"> Finstat!BO$15</f>
        <v>40741.725162145987</v>
      </c>
      <c r="BP39" s="196">
        <f xml:space="preserve"> Finstat!BP$15</f>
        <v>44387.359481584863</v>
      </c>
      <c r="BQ39" s="196">
        <f xml:space="preserve"> Finstat!BQ$15</f>
        <v>41760.268291199623</v>
      </c>
      <c r="BR39" s="196">
        <f xml:space="preserve"> Finstat!BR$15</f>
        <v>43659.082012651306</v>
      </c>
      <c r="BS39" s="196">
        <f xml:space="preserve"> Finstat!BS$15</f>
        <v>44665.069149234623</v>
      </c>
      <c r="BT39" s="196">
        <f xml:space="preserve"> Finstat!BT$15</f>
        <v>45219.936003477036</v>
      </c>
      <c r="BU39" s="196">
        <f xml:space="preserve"> Finstat!BU$15</f>
        <v>45781.695877965481</v>
      </c>
      <c r="BV39" s="196">
        <f xml:space="preserve"> Finstat!BV$15</f>
        <v>46350.434403563944</v>
      </c>
      <c r="BW39" s="196">
        <f xml:space="preserve"> Finstat!BW$15</f>
        <v>0</v>
      </c>
      <c r="BX39" s="196">
        <f xml:space="preserve"> Finstat!BX$15</f>
        <v>0</v>
      </c>
      <c r="BY39" s="196">
        <f xml:space="preserve"> Finstat!BY$15</f>
        <v>0</v>
      </c>
      <c r="BZ39" s="196">
        <f xml:space="preserve"> Finstat!BZ$15</f>
        <v>0</v>
      </c>
      <c r="CA39" s="196">
        <f xml:space="preserve"> Finstat!CA$15</f>
        <v>0</v>
      </c>
    </row>
    <row r="40" spans="1:79" x14ac:dyDescent="0.2">
      <c r="E40" s="135" t="s">
        <v>142</v>
      </c>
      <c r="G40" s="85" t="str">
        <f xml:space="preserve"> SMU</f>
        <v>€ 000s</v>
      </c>
      <c r="H40" s="187">
        <f>SUM(J40:CA40)</f>
        <v>344315.96904956095</v>
      </c>
      <c r="J40" s="85">
        <f xml:space="preserve"> $F38 * J39</f>
        <v>0</v>
      </c>
      <c r="K40" s="85">
        <f t="shared" ref="K40" si="20" xml:space="preserve"> $F38 * K39</f>
        <v>0</v>
      </c>
      <c r="L40" s="85">
        <f t="shared" ref="L40" si="21" xml:space="preserve"> $F38 * L39</f>
        <v>0</v>
      </c>
      <c r="M40" s="85">
        <f t="shared" ref="M40" si="22" xml:space="preserve"> $F38 * M39</f>
        <v>0</v>
      </c>
      <c r="N40" s="85">
        <f t="shared" ref="N40" si="23" xml:space="preserve"> $F38 * N39</f>
        <v>0</v>
      </c>
      <c r="O40" s="85">
        <f t="shared" ref="O40" si="24" xml:space="preserve"> $F38 * O39</f>
        <v>-480.42713443514981</v>
      </c>
      <c r="P40" s="85">
        <f t="shared" ref="P40" si="25" xml:space="preserve"> $F38 * P39</f>
        <v>-244.72932016218655</v>
      </c>
      <c r="Q40" s="85">
        <f t="shared" ref="Q40" si="26" xml:space="preserve"> $F38 * Q39</f>
        <v>63.889600687771235</v>
      </c>
      <c r="R40" s="85">
        <f t="shared" ref="R40" si="27" xml:space="preserve"> $F38 * R39</f>
        <v>-446.57936265040917</v>
      </c>
      <c r="S40" s="85">
        <f t="shared" ref="S40" si="28" xml:space="preserve"> $F38 * S39</f>
        <v>-218.89001616098759</v>
      </c>
      <c r="T40" s="85">
        <f t="shared" ref="T40" si="29" xml:space="preserve"> $F38 * T39</f>
        <v>-256.88697386055281</v>
      </c>
      <c r="U40" s="85">
        <f t="shared" ref="U40" si="30" xml:space="preserve"> $F38 * U39</f>
        <v>-59.970449442260723</v>
      </c>
      <c r="V40" s="85">
        <f t="shared" ref="V40" si="31" xml:space="preserve"> $F38 * V39</f>
        <v>18.22844068297454</v>
      </c>
      <c r="W40" s="85">
        <f t="shared" ref="W40" si="32" xml:space="preserve"> $F38 * W39</f>
        <v>206.07479519601839</v>
      </c>
      <c r="X40" s="85">
        <f t="shared" ref="X40" si="33" xml:space="preserve"> $F38 * X39</f>
        <v>470.17319994848799</v>
      </c>
      <c r="Y40" s="85">
        <f t="shared" ref="Y40" si="34" xml:space="preserve"> $F38 * Y39</f>
        <v>874.32771825119664</v>
      </c>
      <c r="Z40" s="85">
        <f t="shared" ref="Z40" si="35" xml:space="preserve"> $F38 * Z39</f>
        <v>919.10940245165216</v>
      </c>
      <c r="AA40" s="85">
        <f t="shared" ref="AA40" si="36" xml:space="preserve"> $F38 * AA39</f>
        <v>1114.8665261086214</v>
      </c>
      <c r="AB40" s="85">
        <f t="shared" ref="AB40" si="37" xml:space="preserve"> $F38 * AB39</f>
        <v>1215.9667909054936</v>
      </c>
      <c r="AC40" s="85">
        <f t="shared" ref="AC40" si="38" xml:space="preserve"> $F38 * AC39</f>
        <v>1420.2056455509082</v>
      </c>
      <c r="AD40" s="85">
        <f t="shared" ref="AD40" si="39" xml:space="preserve"> $F38 * AD39</f>
        <v>1731.1283016576783</v>
      </c>
      <c r="AE40" s="85">
        <f t="shared" ref="AE40" si="40" xml:space="preserve"> $F38 * AE39</f>
        <v>1962.7347953456133</v>
      </c>
      <c r="AF40" s="85">
        <f t="shared" ref="AF40" si="41" xml:space="preserve"> $F38 * AF39</f>
        <v>2074.2263914306009</v>
      </c>
      <c r="AG40" s="85">
        <f t="shared" ref="AG40" si="42" xml:space="preserve"> $F38 * AG39</f>
        <v>2316.8740486041866</v>
      </c>
      <c r="AH40" s="85">
        <f t="shared" ref="AH40" si="43" xml:space="preserve"> $F38 * AH39</f>
        <v>2436.7633695404656</v>
      </c>
      <c r="AI40" s="85">
        <f t="shared" ref="AI40" si="44" xml:space="preserve"> $F38 * AI39</f>
        <v>2871.7451349178004</v>
      </c>
      <c r="AJ40" s="85">
        <f t="shared" ref="AJ40" si="45" xml:space="preserve"> $F38 * AJ39</f>
        <v>3001.8060844566926</v>
      </c>
      <c r="AK40" s="85">
        <f t="shared" ref="AK40" si="46" xml:space="preserve"> $F38 * AK39</f>
        <v>3270.2041150570271</v>
      </c>
      <c r="AL40" s="85">
        <f t="shared" ref="AL40" si="47" xml:space="preserve"> $F38 * AL39</f>
        <v>3410.0569523620416</v>
      </c>
      <c r="AM40" s="85">
        <f t="shared" ref="AM40" si="48" xml:space="preserve"> $F38 * AM39</f>
        <v>3692.0437343333747</v>
      </c>
      <c r="AN40" s="85">
        <f t="shared" ref="AN40" si="49" xml:space="preserve"> $F38 * AN39</f>
        <v>3995.0747130204877</v>
      </c>
      <c r="AO40" s="85">
        <f t="shared" ref="AO40" si="50" xml:space="preserve"> $F38 * AO39</f>
        <v>4309.1966640145638</v>
      </c>
      <c r="AP40" s="85">
        <f t="shared" ref="AP40" si="51" xml:space="preserve"> $F38 * AP39</f>
        <v>4464.6899308138736</v>
      </c>
      <c r="AQ40" s="85">
        <f t="shared" ref="AQ40" si="52" xml:space="preserve"> $F38 * AQ39</f>
        <v>4795.1957954587469</v>
      </c>
      <c r="AR40" s="85">
        <f t="shared" ref="AR40" si="53" xml:space="preserve"> $F38 * AR39</f>
        <v>4963.4991868779971</v>
      </c>
      <c r="AS40" s="85">
        <f t="shared" ref="AS40" si="54" xml:space="preserve"> $F38 * AS39</f>
        <v>5311.539214493384</v>
      </c>
      <c r="AT40" s="85">
        <f t="shared" ref="AT40" si="55" xml:space="preserve"> $F38 * AT39</f>
        <v>5493.6992335699842</v>
      </c>
      <c r="AU40" s="85">
        <f t="shared" ref="AU40" si="56" xml:space="preserve"> $F38 * AU39</f>
        <v>5860.5090072520698</v>
      </c>
      <c r="AV40" s="85">
        <f t="shared" ref="AV40" si="57" xml:space="preserve"> $F38 * AV39</f>
        <v>6057.7371917515784</v>
      </c>
      <c r="AW40" s="85">
        <f t="shared" ref="AW40" si="58" xml:space="preserve"> $F38 * AW39</f>
        <v>6444.6377043522398</v>
      </c>
      <c r="AX40" s="85">
        <f t="shared" ref="AX40" si="59" xml:space="preserve"> $F38 * AX39</f>
        <v>6894.6088965474719</v>
      </c>
      <c r="AY40" s="85">
        <f t="shared" ref="AY40" si="60" xml:space="preserve"> $F38 * AY39</f>
        <v>7324.8938354629609</v>
      </c>
      <c r="AZ40" s="85">
        <f t="shared" ref="AZ40" si="61" xml:space="preserve"> $F38 * AZ39</f>
        <v>7550.5351709257811</v>
      </c>
      <c r="BA40" s="85">
        <f t="shared" ref="BA40" si="62" xml:space="preserve"> $F38 * BA39</f>
        <v>8004.6435598129292</v>
      </c>
      <c r="BB40" s="85">
        <f t="shared" ref="BB40" si="63" xml:space="preserve"> $F38 * BB39</f>
        <v>8249.4561910177254</v>
      </c>
      <c r="BC40" s="85">
        <f t="shared" ref="BC40" si="64" xml:space="preserve"> $F38 * BC39</f>
        <v>8728.9762948434545</v>
      </c>
      <c r="BD40" s="85">
        <f t="shared" ref="BD40" si="65" xml:space="preserve"> $F38 * BD39</f>
        <v>8751.3153924694252</v>
      </c>
      <c r="BE40" s="85">
        <f t="shared" ref="BE40" si="66" xml:space="preserve"> $F38 * BE39</f>
        <v>9006.5114439169683</v>
      </c>
      <c r="BF40" s="85">
        <f t="shared" ref="BF40" si="67" xml:space="preserve"> $F38 * BF39</f>
        <v>8975.5531139764553</v>
      </c>
      <c r="BG40" s="85">
        <f t="shared" ref="BG40" si="68" xml:space="preserve"> $F38 * BG39</f>
        <v>9236.4600236041788</v>
      </c>
      <c r="BH40" s="85">
        <f t="shared" ref="BH40" si="69" xml:space="preserve"> $F38 * BH39</f>
        <v>9259.2526835282952</v>
      </c>
      <c r="BI40" s="85">
        <f t="shared" ref="BI40" si="70" xml:space="preserve"> $F38 * BI39</f>
        <v>9033.2809993456503</v>
      </c>
      <c r="BJ40" s="85">
        <f t="shared" ref="BJ40" si="71" xml:space="preserve"> $F38 * BJ39</f>
        <v>9992.9930919676081</v>
      </c>
      <c r="BK40" s="85">
        <f t="shared" ref="BK40" si="72" xml:space="preserve"> $F38 * BK39</f>
        <v>9261.1384924203503</v>
      </c>
      <c r="BL40" s="85">
        <f t="shared" ref="BL40" si="73" xml:space="preserve"> $F38 * BL39</f>
        <v>10302.128660969231</v>
      </c>
      <c r="BM40" s="85">
        <f t="shared" ref="BM40" si="74" xml:space="preserve"> $F38 * BM39</f>
        <v>11924.407364530531</v>
      </c>
      <c r="BN40" s="85">
        <f t="shared" ref="BN40" si="75" xml:space="preserve"> $F38 * BN39</f>
        <v>12991.422287293135</v>
      </c>
      <c r="BO40" s="85">
        <f t="shared" ref="BO40" si="76" xml:space="preserve"> $F38 * BO39</f>
        <v>12222.517548643797</v>
      </c>
      <c r="BP40" s="85">
        <f t="shared" ref="BP40" si="77" xml:space="preserve"> $F38 * BP39</f>
        <v>13316.207844475459</v>
      </c>
      <c r="BQ40" s="85">
        <f t="shared" ref="BQ40" si="78" xml:space="preserve"> $F38 * BQ39</f>
        <v>12528.080487359886</v>
      </c>
      <c r="BR40" s="85">
        <f t="shared" ref="BR40" si="79" xml:space="preserve"> $F38 * BR39</f>
        <v>13097.724603795392</v>
      </c>
      <c r="BS40" s="85">
        <f t="shared" ref="BS40" si="80" xml:space="preserve"> $F38 * BS39</f>
        <v>13399.520744770387</v>
      </c>
      <c r="BT40" s="85">
        <f t="shared" ref="BT40" si="81" xml:space="preserve"> $F38 * BT39</f>
        <v>13565.98080104311</v>
      </c>
      <c r="BU40" s="85">
        <f t="shared" ref="BU40" si="82" xml:space="preserve"> $F38 * BU39</f>
        <v>13734.508763389644</v>
      </c>
      <c r="BV40" s="85">
        <f t="shared" ref="BV40" si="83" xml:space="preserve"> $F38 * BV39</f>
        <v>13905.130321069182</v>
      </c>
      <c r="BW40" s="85">
        <f t="shared" ref="BW40" si="84" xml:space="preserve"> $F38 * BW39</f>
        <v>0</v>
      </c>
      <c r="BX40" s="85">
        <f t="shared" ref="BX40" si="85" xml:space="preserve"> $F38 * BX39</f>
        <v>0</v>
      </c>
      <c r="BY40" s="85">
        <f t="shared" ref="BY40" si="86" xml:space="preserve"> $F38 * BY39</f>
        <v>0</v>
      </c>
      <c r="BZ40" s="85">
        <f t="shared" ref="BZ40" si="87" xml:space="preserve"> $F38 * BZ39</f>
        <v>0</v>
      </c>
      <c r="CA40" s="85">
        <f t="shared" ref="CA40" si="88" xml:space="preserve"> $F38 * CA39</f>
        <v>0</v>
      </c>
    </row>
    <row r="41" spans="1:79" s="140" customFormat="1" x14ac:dyDescent="0.2">
      <c r="A41" s="137"/>
      <c r="B41" s="137"/>
      <c r="C41" s="138"/>
      <c r="D41" s="139"/>
      <c r="E41" s="140" t="str">
        <f xml:space="preserve"> LEFT(E40, LEN(E40) - 4)</f>
        <v>P&amp;L tax charge</v>
      </c>
      <c r="G41" s="140" t="str">
        <f xml:space="preserve"> G40</f>
        <v>€ 000s</v>
      </c>
      <c r="H41" s="140">
        <f>SUM(J41:CA41)</f>
        <v>-344315.96904956095</v>
      </c>
      <c r="J41" s="140">
        <f t="shared" ref="J41:BU41" si="89" xml:space="preserve"> -1 * J40</f>
        <v>0</v>
      </c>
      <c r="K41" s="140">
        <f t="shared" si="89"/>
        <v>0</v>
      </c>
      <c r="L41" s="140">
        <f t="shared" si="89"/>
        <v>0</v>
      </c>
      <c r="M41" s="140">
        <f t="shared" si="89"/>
        <v>0</v>
      </c>
      <c r="N41" s="140">
        <f t="shared" si="89"/>
        <v>0</v>
      </c>
      <c r="O41" s="140">
        <f t="shared" si="89"/>
        <v>480.42713443514981</v>
      </c>
      <c r="P41" s="140">
        <f t="shared" si="89"/>
        <v>244.72932016218655</v>
      </c>
      <c r="Q41" s="140">
        <f t="shared" si="89"/>
        <v>-63.889600687771235</v>
      </c>
      <c r="R41" s="140">
        <f t="shared" si="89"/>
        <v>446.57936265040917</v>
      </c>
      <c r="S41" s="140">
        <f t="shared" si="89"/>
        <v>218.89001616098759</v>
      </c>
      <c r="T41" s="140">
        <f t="shared" si="89"/>
        <v>256.88697386055281</v>
      </c>
      <c r="U41" s="140">
        <f t="shared" si="89"/>
        <v>59.970449442260723</v>
      </c>
      <c r="V41" s="140">
        <f t="shared" si="89"/>
        <v>-18.22844068297454</v>
      </c>
      <c r="W41" s="140">
        <f t="shared" si="89"/>
        <v>-206.07479519601839</v>
      </c>
      <c r="X41" s="140">
        <f t="shared" si="89"/>
        <v>-470.17319994848799</v>
      </c>
      <c r="Y41" s="140">
        <f t="shared" si="89"/>
        <v>-874.32771825119664</v>
      </c>
      <c r="Z41" s="140">
        <f t="shared" si="89"/>
        <v>-919.10940245165216</v>
      </c>
      <c r="AA41" s="140">
        <f t="shared" si="89"/>
        <v>-1114.8665261086214</v>
      </c>
      <c r="AB41" s="140">
        <f t="shared" si="89"/>
        <v>-1215.9667909054936</v>
      </c>
      <c r="AC41" s="140">
        <f t="shared" si="89"/>
        <v>-1420.2056455509082</v>
      </c>
      <c r="AD41" s="140">
        <f t="shared" si="89"/>
        <v>-1731.1283016576783</v>
      </c>
      <c r="AE41" s="140">
        <f t="shared" si="89"/>
        <v>-1962.7347953456133</v>
      </c>
      <c r="AF41" s="140">
        <f t="shared" si="89"/>
        <v>-2074.2263914306009</v>
      </c>
      <c r="AG41" s="140">
        <f t="shared" si="89"/>
        <v>-2316.8740486041866</v>
      </c>
      <c r="AH41" s="140">
        <f t="shared" si="89"/>
        <v>-2436.7633695404656</v>
      </c>
      <c r="AI41" s="140">
        <f t="shared" si="89"/>
        <v>-2871.7451349178004</v>
      </c>
      <c r="AJ41" s="140">
        <f t="shared" si="89"/>
        <v>-3001.8060844566926</v>
      </c>
      <c r="AK41" s="140">
        <f t="shared" si="89"/>
        <v>-3270.2041150570271</v>
      </c>
      <c r="AL41" s="140">
        <f t="shared" si="89"/>
        <v>-3410.0569523620416</v>
      </c>
      <c r="AM41" s="140">
        <f t="shared" si="89"/>
        <v>-3692.0437343333747</v>
      </c>
      <c r="AN41" s="140">
        <f t="shared" si="89"/>
        <v>-3995.0747130204877</v>
      </c>
      <c r="AO41" s="140">
        <f t="shared" si="89"/>
        <v>-4309.1966640145638</v>
      </c>
      <c r="AP41" s="140">
        <f t="shared" si="89"/>
        <v>-4464.6899308138736</v>
      </c>
      <c r="AQ41" s="140">
        <f t="shared" si="89"/>
        <v>-4795.1957954587469</v>
      </c>
      <c r="AR41" s="140">
        <f t="shared" si="89"/>
        <v>-4963.4991868779971</v>
      </c>
      <c r="AS41" s="140">
        <f t="shared" si="89"/>
        <v>-5311.539214493384</v>
      </c>
      <c r="AT41" s="140">
        <f t="shared" si="89"/>
        <v>-5493.6992335699842</v>
      </c>
      <c r="AU41" s="140">
        <f t="shared" si="89"/>
        <v>-5860.5090072520698</v>
      </c>
      <c r="AV41" s="140">
        <f t="shared" si="89"/>
        <v>-6057.7371917515784</v>
      </c>
      <c r="AW41" s="140">
        <f t="shared" si="89"/>
        <v>-6444.6377043522398</v>
      </c>
      <c r="AX41" s="140">
        <f t="shared" si="89"/>
        <v>-6894.6088965474719</v>
      </c>
      <c r="AY41" s="140">
        <f t="shared" si="89"/>
        <v>-7324.8938354629609</v>
      </c>
      <c r="AZ41" s="140">
        <f t="shared" si="89"/>
        <v>-7550.5351709257811</v>
      </c>
      <c r="BA41" s="140">
        <f t="shared" si="89"/>
        <v>-8004.6435598129292</v>
      </c>
      <c r="BB41" s="140">
        <f t="shared" si="89"/>
        <v>-8249.4561910177254</v>
      </c>
      <c r="BC41" s="140">
        <f t="shared" si="89"/>
        <v>-8728.9762948434545</v>
      </c>
      <c r="BD41" s="140">
        <f t="shared" si="89"/>
        <v>-8751.3153924694252</v>
      </c>
      <c r="BE41" s="140">
        <f t="shared" si="89"/>
        <v>-9006.5114439169683</v>
      </c>
      <c r="BF41" s="140">
        <f t="shared" si="89"/>
        <v>-8975.5531139764553</v>
      </c>
      <c r="BG41" s="140">
        <f t="shared" si="89"/>
        <v>-9236.4600236041788</v>
      </c>
      <c r="BH41" s="140">
        <f t="shared" si="89"/>
        <v>-9259.2526835282952</v>
      </c>
      <c r="BI41" s="140">
        <f t="shared" si="89"/>
        <v>-9033.2809993456503</v>
      </c>
      <c r="BJ41" s="140">
        <f t="shared" si="89"/>
        <v>-9992.9930919676081</v>
      </c>
      <c r="BK41" s="140">
        <f t="shared" si="89"/>
        <v>-9261.1384924203503</v>
      </c>
      <c r="BL41" s="140">
        <f t="shared" si="89"/>
        <v>-10302.128660969231</v>
      </c>
      <c r="BM41" s="140">
        <f t="shared" si="89"/>
        <v>-11924.407364530531</v>
      </c>
      <c r="BN41" s="140">
        <f t="shared" si="89"/>
        <v>-12991.422287293135</v>
      </c>
      <c r="BO41" s="140">
        <f t="shared" si="89"/>
        <v>-12222.517548643797</v>
      </c>
      <c r="BP41" s="140">
        <f t="shared" si="89"/>
        <v>-13316.207844475459</v>
      </c>
      <c r="BQ41" s="140">
        <f t="shared" si="89"/>
        <v>-12528.080487359886</v>
      </c>
      <c r="BR41" s="140">
        <f t="shared" si="89"/>
        <v>-13097.724603795392</v>
      </c>
      <c r="BS41" s="140">
        <f t="shared" si="89"/>
        <v>-13399.520744770387</v>
      </c>
      <c r="BT41" s="140">
        <f t="shared" si="89"/>
        <v>-13565.98080104311</v>
      </c>
      <c r="BU41" s="140">
        <f t="shared" si="89"/>
        <v>-13734.508763389644</v>
      </c>
      <c r="BV41" s="140">
        <f t="shared" ref="BV41:CA41" si="90" xml:space="preserve"> -1 * BV40</f>
        <v>-13905.130321069182</v>
      </c>
      <c r="BW41" s="140">
        <f t="shared" si="90"/>
        <v>0</v>
      </c>
      <c r="BX41" s="140">
        <f t="shared" si="90"/>
        <v>0</v>
      </c>
      <c r="BY41" s="140">
        <f t="shared" si="90"/>
        <v>0</v>
      </c>
      <c r="BZ41" s="140">
        <f t="shared" si="90"/>
        <v>0</v>
      </c>
      <c r="CA41" s="140">
        <f t="shared" si="90"/>
        <v>0</v>
      </c>
    </row>
    <row r="43" spans="1:79" s="150" customFormat="1" x14ac:dyDescent="0.2">
      <c r="A43" s="108"/>
      <c r="B43" s="108"/>
      <c r="C43" s="109"/>
      <c r="D43" s="277"/>
      <c r="E43" s="155" t="s">
        <v>197</v>
      </c>
      <c r="F43" s="278">
        <v>0</v>
      </c>
      <c r="G43" s="155" t="s">
        <v>27</v>
      </c>
    </row>
    <row r="44" spans="1:79" s="118" customFormat="1" x14ac:dyDescent="0.2">
      <c r="A44" s="115"/>
      <c r="B44" s="115"/>
      <c r="C44" s="116"/>
      <c r="D44" s="117"/>
      <c r="E44" s="118" t="str">
        <f>'T&amp;E'!E$19</f>
        <v>Initial operations date flag</v>
      </c>
      <c r="F44" s="118">
        <f>'T&amp;E'!F$19</f>
        <v>0</v>
      </c>
      <c r="G44" s="118" t="str">
        <f>'T&amp;E'!G$19</f>
        <v>flag</v>
      </c>
      <c r="H44" s="118">
        <f>'T&amp;E'!H$19</f>
        <v>1</v>
      </c>
      <c r="I44" s="118">
        <f>'T&amp;E'!I$19</f>
        <v>0</v>
      </c>
      <c r="J44" s="118">
        <f>'T&amp;E'!J$19</f>
        <v>0</v>
      </c>
      <c r="K44" s="118">
        <f>'T&amp;E'!K$19</f>
        <v>0</v>
      </c>
      <c r="L44" s="118">
        <f>'T&amp;E'!L$19</f>
        <v>0</v>
      </c>
      <c r="M44" s="118">
        <f>'T&amp;E'!M$19</f>
        <v>0</v>
      </c>
      <c r="N44" s="118">
        <f>'T&amp;E'!N$19</f>
        <v>1</v>
      </c>
      <c r="O44" s="118">
        <f>'T&amp;E'!O$19</f>
        <v>0</v>
      </c>
      <c r="P44" s="118">
        <f>'T&amp;E'!P$19</f>
        <v>0</v>
      </c>
      <c r="Q44" s="118">
        <f>'T&amp;E'!Q$19</f>
        <v>0</v>
      </c>
      <c r="R44" s="118">
        <f>'T&amp;E'!R$19</f>
        <v>0</v>
      </c>
      <c r="S44" s="118">
        <f>'T&amp;E'!S$19</f>
        <v>0</v>
      </c>
      <c r="T44" s="118">
        <f>'T&amp;E'!T$19</f>
        <v>0</v>
      </c>
      <c r="U44" s="118">
        <f>'T&amp;E'!U$19</f>
        <v>0</v>
      </c>
      <c r="V44" s="118">
        <f>'T&amp;E'!V$19</f>
        <v>0</v>
      </c>
      <c r="W44" s="118">
        <f>'T&amp;E'!W$19</f>
        <v>0</v>
      </c>
      <c r="X44" s="118">
        <f>'T&amp;E'!X$19</f>
        <v>0</v>
      </c>
      <c r="Y44" s="118">
        <f>'T&amp;E'!Y$19</f>
        <v>0</v>
      </c>
      <c r="Z44" s="118">
        <f>'T&amp;E'!Z$19</f>
        <v>0</v>
      </c>
      <c r="AA44" s="118">
        <f>'T&amp;E'!AA$19</f>
        <v>0</v>
      </c>
      <c r="AB44" s="118">
        <f>'T&amp;E'!AB$19</f>
        <v>0</v>
      </c>
      <c r="AC44" s="118">
        <f>'T&amp;E'!AC$19</f>
        <v>0</v>
      </c>
      <c r="AD44" s="118">
        <f>'T&amp;E'!AD$19</f>
        <v>0</v>
      </c>
      <c r="AE44" s="118">
        <f>'T&amp;E'!AE$19</f>
        <v>0</v>
      </c>
      <c r="AF44" s="118">
        <f>'T&amp;E'!AF$19</f>
        <v>0</v>
      </c>
      <c r="AG44" s="118">
        <f>'T&amp;E'!AG$19</f>
        <v>0</v>
      </c>
      <c r="AH44" s="118">
        <f>'T&amp;E'!AH$19</f>
        <v>0</v>
      </c>
      <c r="AI44" s="118">
        <f>'T&amp;E'!AI$19</f>
        <v>0</v>
      </c>
      <c r="AJ44" s="118">
        <f>'T&amp;E'!AJ$19</f>
        <v>0</v>
      </c>
      <c r="AK44" s="118">
        <f>'T&amp;E'!AK$19</f>
        <v>0</v>
      </c>
      <c r="AL44" s="118">
        <f>'T&amp;E'!AL$19</f>
        <v>0</v>
      </c>
      <c r="AM44" s="118">
        <f>'T&amp;E'!AM$19</f>
        <v>0</v>
      </c>
      <c r="AN44" s="118">
        <f>'T&amp;E'!AN$19</f>
        <v>0</v>
      </c>
      <c r="AO44" s="118">
        <f>'T&amp;E'!AO$19</f>
        <v>0</v>
      </c>
      <c r="AP44" s="118">
        <f>'T&amp;E'!AP$19</f>
        <v>0</v>
      </c>
      <c r="AQ44" s="118">
        <f>'T&amp;E'!AQ$19</f>
        <v>0</v>
      </c>
      <c r="AR44" s="118">
        <f>'T&amp;E'!AR$19</f>
        <v>0</v>
      </c>
      <c r="AS44" s="118">
        <f>'T&amp;E'!AS$19</f>
        <v>0</v>
      </c>
      <c r="AT44" s="118">
        <f>'T&amp;E'!AT$19</f>
        <v>0</v>
      </c>
      <c r="AU44" s="118">
        <f>'T&amp;E'!AU$19</f>
        <v>0</v>
      </c>
      <c r="AV44" s="118">
        <f>'T&amp;E'!AV$19</f>
        <v>0</v>
      </c>
      <c r="AW44" s="118">
        <f>'T&amp;E'!AW$19</f>
        <v>0</v>
      </c>
      <c r="AX44" s="118">
        <f>'T&amp;E'!AX$19</f>
        <v>0</v>
      </c>
      <c r="AY44" s="118">
        <f>'T&amp;E'!AY$19</f>
        <v>0</v>
      </c>
      <c r="AZ44" s="118">
        <f>'T&amp;E'!AZ$19</f>
        <v>0</v>
      </c>
      <c r="BA44" s="118">
        <f>'T&amp;E'!BA$19</f>
        <v>0</v>
      </c>
      <c r="BB44" s="118">
        <f>'T&amp;E'!BB$19</f>
        <v>0</v>
      </c>
      <c r="BC44" s="118">
        <f>'T&amp;E'!BC$19</f>
        <v>0</v>
      </c>
      <c r="BD44" s="118">
        <f>'T&amp;E'!BD$19</f>
        <v>0</v>
      </c>
      <c r="BE44" s="118">
        <f>'T&amp;E'!BE$19</f>
        <v>0</v>
      </c>
      <c r="BF44" s="118">
        <f>'T&amp;E'!BF$19</f>
        <v>0</v>
      </c>
      <c r="BG44" s="118">
        <f>'T&amp;E'!BG$19</f>
        <v>0</v>
      </c>
      <c r="BH44" s="118">
        <f>'T&amp;E'!BH$19</f>
        <v>0</v>
      </c>
      <c r="BI44" s="118">
        <f>'T&amp;E'!BI$19</f>
        <v>0</v>
      </c>
      <c r="BJ44" s="118">
        <f>'T&amp;E'!BJ$19</f>
        <v>0</v>
      </c>
      <c r="BK44" s="118">
        <f>'T&amp;E'!BK$19</f>
        <v>0</v>
      </c>
      <c r="BL44" s="118">
        <f>'T&amp;E'!BL$19</f>
        <v>0</v>
      </c>
      <c r="BM44" s="118">
        <f>'T&amp;E'!BM$19</f>
        <v>0</v>
      </c>
      <c r="BN44" s="118">
        <f>'T&amp;E'!BN$19</f>
        <v>0</v>
      </c>
      <c r="BO44" s="118">
        <f>'T&amp;E'!BO$19</f>
        <v>0</v>
      </c>
      <c r="BP44" s="118">
        <f>'T&amp;E'!BP$19</f>
        <v>0</v>
      </c>
      <c r="BQ44" s="118">
        <f>'T&amp;E'!BQ$19</f>
        <v>0</v>
      </c>
      <c r="BR44" s="118">
        <f>'T&amp;E'!BR$19</f>
        <v>0</v>
      </c>
      <c r="BS44" s="118">
        <f>'T&amp;E'!BS$19</f>
        <v>0</v>
      </c>
      <c r="BT44" s="118">
        <f>'T&amp;E'!BT$19</f>
        <v>0</v>
      </c>
      <c r="BU44" s="118">
        <f>'T&amp;E'!BU$19</f>
        <v>0</v>
      </c>
      <c r="BV44" s="118">
        <f>'T&amp;E'!BV$19</f>
        <v>0</v>
      </c>
      <c r="BW44" s="118">
        <f>'T&amp;E'!BW$19</f>
        <v>0</v>
      </c>
      <c r="BX44" s="118">
        <f>'T&amp;E'!BX$19</f>
        <v>0</v>
      </c>
      <c r="BY44" s="118">
        <f>'T&amp;E'!BY$19</f>
        <v>0</v>
      </c>
      <c r="BZ44" s="118">
        <f>'T&amp;E'!BZ$19</f>
        <v>0</v>
      </c>
      <c r="CA44" s="118">
        <f>'T&amp;E'!CA$19</f>
        <v>0</v>
      </c>
    </row>
    <row r="45" spans="1:79" s="122" customFormat="1" x14ac:dyDescent="0.2">
      <c r="A45" s="119"/>
      <c r="B45" s="119"/>
      <c r="C45" s="120"/>
      <c r="D45" s="121"/>
    </row>
    <row r="46" spans="1:79" s="122" customFormat="1" x14ac:dyDescent="0.2">
      <c r="A46" s="119"/>
      <c r="B46" s="119"/>
      <c r="C46" s="120"/>
      <c r="D46" s="121"/>
      <c r="E46" s="124" t="s">
        <v>143</v>
      </c>
      <c r="G46" s="124" t="str">
        <f xml:space="preserve"> SMU</f>
        <v>€ 000s</v>
      </c>
      <c r="J46" s="122">
        <f t="shared" ref="J46" si="91" xml:space="preserve"> I49</f>
        <v>0</v>
      </c>
      <c r="K46" s="122">
        <f t="shared" ref="K46" si="92" xml:space="preserve"> J49</f>
        <v>0</v>
      </c>
      <c r="L46" s="122">
        <f t="shared" ref="L46" si="93" xml:space="preserve"> K49</f>
        <v>0</v>
      </c>
      <c r="M46" s="122">
        <f t="shared" ref="M46" si="94" xml:space="preserve"> L49</f>
        <v>0</v>
      </c>
      <c r="N46" s="122">
        <f t="shared" ref="N46" si="95" xml:space="preserve"> M49</f>
        <v>0</v>
      </c>
      <c r="O46" s="122">
        <f t="shared" ref="O46" si="96" xml:space="preserve"> N49</f>
        <v>0</v>
      </c>
      <c r="P46" s="122">
        <f t="shared" ref="P46" si="97" xml:space="preserve"> O49</f>
        <v>3558.6445021458721</v>
      </c>
      <c r="Q46" s="122">
        <f t="shared" ref="Q46" si="98" xml:space="preserve"> P49</f>
        <v>6820.7352957795902</v>
      </c>
      <c r="R46" s="122">
        <f t="shared" ref="R46" si="99" xml:space="preserve"> Q49</f>
        <v>9801.1000663267569</v>
      </c>
      <c r="S46" s="122">
        <f t="shared" ref="S46" si="100" xml:space="preserve"> R49</f>
        <v>12513.825114941705</v>
      </c>
      <c r="T46" s="122">
        <f t="shared" ref="T46" si="101" xml:space="preserve"> S49</f>
        <v>14972.292427721044</v>
      </c>
      <c r="U46" s="122">
        <f t="shared" ref="U46" si="102" xml:space="preserve"> T49</f>
        <v>17189.214891456555</v>
      </c>
      <c r="V46" s="122">
        <f t="shared" ref="V46" si="103" xml:space="preserve"> U49</f>
        <v>19176.669748600427</v>
      </c>
      <c r="W46" s="122">
        <f t="shared" ref="W46" si="104" xml:space="preserve"> V49</f>
        <v>20946.130379482245</v>
      </c>
      <c r="X46" s="122">
        <f t="shared" ref="X46" si="105" xml:space="preserve"> W49</f>
        <v>22508.496495415107</v>
      </c>
      <c r="Y46" s="122">
        <f t="shared" ref="Y46" si="106" xml:space="preserve"> X49</f>
        <v>23874.122822146463</v>
      </c>
      <c r="Z46" s="122">
        <f t="shared" ref="Z46" si="107" xml:space="preserve"> Y49</f>
        <v>25052.846349136387</v>
      </c>
      <c r="AA46" s="122">
        <f t="shared" ref="AA46" si="108" xml:space="preserve"> Z49</f>
        <v>26054.012216371957</v>
      </c>
      <c r="AB46" s="122">
        <f t="shared" ref="AB46" si="109" xml:space="preserve"> AA49</f>
        <v>26886.498306840884</v>
      </c>
      <c r="AC46" s="122">
        <f t="shared" ref="AC46" si="110" xml:space="preserve"> AB49</f>
        <v>27558.738609381504</v>
      </c>
      <c r="AD46" s="122">
        <f t="shared" ref="AD46" si="111" xml:space="preserve"> AC49</f>
        <v>28078.745413390228</v>
      </c>
      <c r="AE46" s="122">
        <f t="shared" ref="AE46" si="112" xml:space="preserve"> AD49</f>
        <v>28454.130393793654</v>
      </c>
      <c r="AF46" s="122">
        <f t="shared" ref="AF46" si="113" xml:space="preserve"> AE49</f>
        <v>28692.124641772047</v>
      </c>
      <c r="AG46" s="122">
        <f t="shared" ref="AG46" si="114" xml:space="preserve"> AF49</f>
        <v>28799.59769394666</v>
      </c>
      <c r="AH46" s="122">
        <f t="shared" ref="AH46" si="115" xml:space="preserve"> AG49</f>
        <v>28783.075610107677</v>
      </c>
      <c r="AI46" s="122">
        <f t="shared" ref="AI46" si="116" xml:space="preserve"> AH49</f>
        <v>28648.758147055782</v>
      </c>
      <c r="AJ46" s="122">
        <f t="shared" ref="AJ46" si="117" xml:space="preserve"> AI49</f>
        <v>28402.535073751616</v>
      </c>
      <c r="AK46" s="122">
        <f t="shared" ref="AK46" si="118" xml:space="preserve"> AJ49</f>
        <v>28050.001670707799</v>
      </c>
      <c r="AL46" s="122">
        <f t="shared" ref="AL46" si="119" xml:space="preserve"> AK49</f>
        <v>27596.473454411309</v>
      </c>
      <c r="AM46" s="122">
        <f t="shared" ref="AM46" si="120" xml:space="preserve"> AL49</f>
        <v>27047.000165524783</v>
      </c>
      <c r="AN46" s="122">
        <f t="shared" ref="AN46" si="121" xml:space="preserve"> AM49</f>
        <v>26406.379057677725</v>
      </c>
      <c r="AO46" s="122">
        <f t="shared" ref="AO46" si="122" xml:space="preserve"> AN49</f>
        <v>25679.167521818152</v>
      </c>
      <c r="AP46" s="122">
        <f t="shared" ref="AP46" si="123" xml:space="preserve"> AO49</f>
        <v>24869.695079346697</v>
      </c>
      <c r="AQ46" s="122">
        <f t="shared" ref="AQ46" si="124" xml:space="preserve"> AP49</f>
        <v>23982.074775593952</v>
      </c>
      <c r="AR46" s="122">
        <f t="shared" ref="AR46" si="125" xml:space="preserve"> AQ49</f>
        <v>23020.21400362398</v>
      </c>
      <c r="AS46" s="122">
        <f t="shared" ref="AS46" si="126" xml:space="preserve"> AR49</f>
        <v>21987.824786847646</v>
      </c>
      <c r="AT46" s="122">
        <f t="shared" ref="AT46" si="127" xml:space="preserve"> AS49</f>
        <v>20888.433547505265</v>
      </c>
      <c r="AU46" s="122">
        <f t="shared" ref="AU46" si="128" xml:space="preserve"> AT49</f>
        <v>19725.390386725139</v>
      </c>
      <c r="AV46" s="122">
        <f t="shared" ref="AV46" si="129" xml:space="preserve"> AU49</f>
        <v>18501.877900579158</v>
      </c>
      <c r="AW46" s="122">
        <f t="shared" ref="AW46" si="130" xml:space="preserve"> AV49</f>
        <v>17220.919555335611</v>
      </c>
      <c r="AX46" s="122">
        <f t="shared" ref="AX46" si="131" xml:space="preserve"> AW49</f>
        <v>15885.387643949383</v>
      </c>
      <c r="AY46" s="122">
        <f t="shared" ref="AY46" si="132" xml:space="preserve"> AX49</f>
        <v>14498.010844727602</v>
      </c>
      <c r="AZ46" s="122">
        <f t="shared" ref="AZ46" si="133" xml:space="preserve"> AY49</f>
        <v>13061.38140206205</v>
      </c>
      <c r="BA46" s="122">
        <f t="shared" ref="BA46" si="134" xml:space="preserve"> AZ49</f>
        <v>11577.961948124912</v>
      </c>
      <c r="BB46" s="122">
        <f t="shared" ref="BB46" si="135" xml:space="preserve"> BA49</f>
        <v>10050.091983479768</v>
      </c>
      <c r="BC46" s="122">
        <f t="shared" ref="BC46" si="136" xml:space="preserve"> BB49</f>
        <v>8479.9940336620202</v>
      </c>
      <c r="BD46" s="122">
        <f t="shared" ref="BD46" si="137" xml:space="preserve"> BC49</f>
        <v>6869.779497930298</v>
      </c>
      <c r="BE46" s="122">
        <f t="shared" ref="BE46" si="138" xml:space="preserve"> BD49</f>
        <v>5221.4542055802976</v>
      </c>
      <c r="BF46" s="122">
        <f t="shared" ref="BF46" si="139" xml:space="preserve"> BE49</f>
        <v>3536.9236944429376</v>
      </c>
      <c r="BG46" s="122">
        <f t="shared" ref="BG46" si="140" xml:space="preserve"> BF49</f>
        <v>1817.9982254575825</v>
      </c>
      <c r="BH46" s="122">
        <f t="shared" ref="BH46" si="141" xml:space="preserve"> BG49</f>
        <v>66.397546516631337</v>
      </c>
      <c r="BI46" s="122">
        <f t="shared" ref="BI46" si="142" xml:space="preserve"> BH49</f>
        <v>-1716.2445818821343</v>
      </c>
      <c r="BJ46" s="122">
        <f t="shared" ref="BJ46" si="143" xml:space="preserve"> BI49</f>
        <v>-3528.376087265824</v>
      </c>
      <c r="BK46" s="122">
        <f t="shared" ref="BK46" si="144" xml:space="preserve"> BJ49</f>
        <v>-5368.5225007851932</v>
      </c>
      <c r="BL46" s="122">
        <f t="shared" ref="BL46" si="145" xml:space="preserve"> BK49</f>
        <v>-7235.2830770334549</v>
      </c>
      <c r="BM46" s="122">
        <f t="shared" ref="BM46" si="146" xml:space="preserve"> BL49</f>
        <v>-9127.3271078741636</v>
      </c>
      <c r="BN46" s="122">
        <f t="shared" ref="BN46" si="147" xml:space="preserve"> BM49</f>
        <v>-8670.960752480456</v>
      </c>
      <c r="BO46" s="122">
        <f t="shared" ref="BO46" si="148" xml:space="preserve"> BN49</f>
        <v>-8237.4127148564312</v>
      </c>
      <c r="BP46" s="122">
        <f t="shared" ref="BP46" si="149" xml:space="preserve"> BO49</f>
        <v>-7825.5420791136075</v>
      </c>
      <c r="BQ46" s="122">
        <f t="shared" ref="BQ46" si="150" xml:space="preserve"> BP49</f>
        <v>-7434.2649751579265</v>
      </c>
      <c r="BR46" s="122">
        <f t="shared" ref="BR46" si="151" xml:space="preserve"> BQ49</f>
        <v>-7062.5517264000282</v>
      </c>
      <c r="BS46" s="122">
        <f t="shared" ref="BS46" si="152" xml:space="preserve"> BR49</f>
        <v>-6709.4241400800238</v>
      </c>
      <c r="BT46" s="122">
        <f t="shared" ref="BT46" si="153" xml:space="preserve"> BS49</f>
        <v>-6373.9529330760215</v>
      </c>
      <c r="BU46" s="122">
        <f t="shared" ref="BU46" si="154" xml:space="preserve"> BT49</f>
        <v>-6055.255286422218</v>
      </c>
      <c r="BV46" s="122">
        <f t="shared" ref="BV46" si="155" xml:space="preserve"> BU49</f>
        <v>-5752.4925221011054</v>
      </c>
      <c r="BW46" s="122">
        <f t="shared" ref="BW46" si="156" xml:space="preserve"> BV49</f>
        <v>3.637978807091713E-11</v>
      </c>
      <c r="BX46" s="122">
        <f t="shared" ref="BX46" si="157" xml:space="preserve"> BW49</f>
        <v>3.637978807091713E-11</v>
      </c>
      <c r="BY46" s="122">
        <f t="shared" ref="BY46" si="158" xml:space="preserve"> BX49</f>
        <v>3.637978807091713E-11</v>
      </c>
      <c r="BZ46" s="122">
        <f t="shared" ref="BZ46" si="159" xml:space="preserve"> BY49</f>
        <v>3.637978807091713E-11</v>
      </c>
      <c r="CA46" s="122">
        <f t="shared" ref="CA46" si="160" xml:space="preserve"> BZ49</f>
        <v>3.637978807091713E-11</v>
      </c>
    </row>
    <row r="47" spans="1:79" s="124" customFormat="1" x14ac:dyDescent="0.2">
      <c r="A47" s="166"/>
      <c r="B47" s="166"/>
      <c r="C47" s="167"/>
      <c r="D47" s="168" t="s">
        <v>23</v>
      </c>
      <c r="E47" s="124" t="str">
        <f xml:space="preserve"> E$40</f>
        <v>P&amp;L tax charge POS</v>
      </c>
      <c r="F47" s="124">
        <f t="shared" ref="F47:BQ47" si="161" xml:space="preserve"> F$40</f>
        <v>0</v>
      </c>
      <c r="G47" s="124" t="str">
        <f t="shared" si="161"/>
        <v>€ 000s</v>
      </c>
      <c r="H47" s="124">
        <f t="shared" si="161"/>
        <v>344315.96904956095</v>
      </c>
      <c r="I47" s="124">
        <f t="shared" si="161"/>
        <v>0</v>
      </c>
      <c r="J47" s="124">
        <f t="shared" si="161"/>
        <v>0</v>
      </c>
      <c r="K47" s="124">
        <f t="shared" si="161"/>
        <v>0</v>
      </c>
      <c r="L47" s="124">
        <f t="shared" si="161"/>
        <v>0</v>
      </c>
      <c r="M47" s="124">
        <f t="shared" si="161"/>
        <v>0</v>
      </c>
      <c r="N47" s="124">
        <f t="shared" si="161"/>
        <v>0</v>
      </c>
      <c r="O47" s="124">
        <f t="shared" si="161"/>
        <v>-480.42713443514981</v>
      </c>
      <c r="P47" s="124">
        <f t="shared" si="161"/>
        <v>-244.72932016218655</v>
      </c>
      <c r="Q47" s="124">
        <f t="shared" si="161"/>
        <v>63.889600687771235</v>
      </c>
      <c r="R47" s="124">
        <f t="shared" si="161"/>
        <v>-446.57936265040917</v>
      </c>
      <c r="S47" s="124">
        <f t="shared" si="161"/>
        <v>-218.89001616098759</v>
      </c>
      <c r="T47" s="124">
        <f t="shared" si="161"/>
        <v>-256.88697386055281</v>
      </c>
      <c r="U47" s="124">
        <f t="shared" si="161"/>
        <v>-59.970449442260723</v>
      </c>
      <c r="V47" s="124">
        <f t="shared" si="161"/>
        <v>18.22844068297454</v>
      </c>
      <c r="W47" s="124">
        <f t="shared" si="161"/>
        <v>206.07479519601839</v>
      </c>
      <c r="X47" s="124">
        <f t="shared" si="161"/>
        <v>470.17319994848799</v>
      </c>
      <c r="Y47" s="124">
        <f t="shared" si="161"/>
        <v>874.32771825119664</v>
      </c>
      <c r="Z47" s="124">
        <f t="shared" si="161"/>
        <v>919.10940245165216</v>
      </c>
      <c r="AA47" s="124">
        <f t="shared" si="161"/>
        <v>1114.8665261086214</v>
      </c>
      <c r="AB47" s="124">
        <f t="shared" si="161"/>
        <v>1215.9667909054936</v>
      </c>
      <c r="AC47" s="124">
        <f t="shared" si="161"/>
        <v>1420.2056455509082</v>
      </c>
      <c r="AD47" s="124">
        <f t="shared" si="161"/>
        <v>1731.1283016576783</v>
      </c>
      <c r="AE47" s="124">
        <f t="shared" si="161"/>
        <v>1962.7347953456133</v>
      </c>
      <c r="AF47" s="124">
        <f t="shared" si="161"/>
        <v>2074.2263914306009</v>
      </c>
      <c r="AG47" s="124">
        <f t="shared" si="161"/>
        <v>2316.8740486041866</v>
      </c>
      <c r="AH47" s="124">
        <f t="shared" si="161"/>
        <v>2436.7633695404656</v>
      </c>
      <c r="AI47" s="124">
        <f t="shared" si="161"/>
        <v>2871.7451349178004</v>
      </c>
      <c r="AJ47" s="124">
        <f t="shared" si="161"/>
        <v>3001.8060844566926</v>
      </c>
      <c r="AK47" s="124">
        <f t="shared" si="161"/>
        <v>3270.2041150570271</v>
      </c>
      <c r="AL47" s="124">
        <f t="shared" si="161"/>
        <v>3410.0569523620416</v>
      </c>
      <c r="AM47" s="124">
        <f t="shared" si="161"/>
        <v>3692.0437343333747</v>
      </c>
      <c r="AN47" s="124">
        <f t="shared" si="161"/>
        <v>3995.0747130204877</v>
      </c>
      <c r="AO47" s="124">
        <f t="shared" si="161"/>
        <v>4309.1966640145638</v>
      </c>
      <c r="AP47" s="124">
        <f t="shared" si="161"/>
        <v>4464.6899308138736</v>
      </c>
      <c r="AQ47" s="124">
        <f t="shared" si="161"/>
        <v>4795.1957954587469</v>
      </c>
      <c r="AR47" s="124">
        <f t="shared" si="161"/>
        <v>4963.4991868779971</v>
      </c>
      <c r="AS47" s="124">
        <f t="shared" si="161"/>
        <v>5311.539214493384</v>
      </c>
      <c r="AT47" s="124">
        <f t="shared" si="161"/>
        <v>5493.6992335699842</v>
      </c>
      <c r="AU47" s="124">
        <f t="shared" si="161"/>
        <v>5860.5090072520698</v>
      </c>
      <c r="AV47" s="124">
        <f t="shared" si="161"/>
        <v>6057.7371917515784</v>
      </c>
      <c r="AW47" s="124">
        <f t="shared" si="161"/>
        <v>6444.6377043522398</v>
      </c>
      <c r="AX47" s="124">
        <f t="shared" si="161"/>
        <v>6894.6088965474719</v>
      </c>
      <c r="AY47" s="124">
        <f t="shared" si="161"/>
        <v>7324.8938354629609</v>
      </c>
      <c r="AZ47" s="124">
        <f t="shared" si="161"/>
        <v>7550.5351709257811</v>
      </c>
      <c r="BA47" s="124">
        <f t="shared" si="161"/>
        <v>8004.6435598129292</v>
      </c>
      <c r="BB47" s="124">
        <f t="shared" si="161"/>
        <v>8249.4561910177254</v>
      </c>
      <c r="BC47" s="124">
        <f t="shared" si="161"/>
        <v>8728.9762948434545</v>
      </c>
      <c r="BD47" s="124">
        <f t="shared" si="161"/>
        <v>8751.3153924694252</v>
      </c>
      <c r="BE47" s="124">
        <f t="shared" si="161"/>
        <v>9006.5114439169683</v>
      </c>
      <c r="BF47" s="124">
        <f t="shared" si="161"/>
        <v>8975.5531139764553</v>
      </c>
      <c r="BG47" s="124">
        <f t="shared" si="161"/>
        <v>9236.4600236041788</v>
      </c>
      <c r="BH47" s="124">
        <f t="shared" si="161"/>
        <v>9259.2526835282952</v>
      </c>
      <c r="BI47" s="124">
        <f t="shared" si="161"/>
        <v>9033.2809993456503</v>
      </c>
      <c r="BJ47" s="124">
        <f t="shared" si="161"/>
        <v>9992.9930919676081</v>
      </c>
      <c r="BK47" s="124">
        <f t="shared" si="161"/>
        <v>9261.1384924203503</v>
      </c>
      <c r="BL47" s="124">
        <f t="shared" si="161"/>
        <v>10302.128660969231</v>
      </c>
      <c r="BM47" s="124">
        <f t="shared" si="161"/>
        <v>11924.407364530531</v>
      </c>
      <c r="BN47" s="124">
        <f t="shared" si="161"/>
        <v>12991.422287293135</v>
      </c>
      <c r="BO47" s="124">
        <f t="shared" si="161"/>
        <v>12222.517548643797</v>
      </c>
      <c r="BP47" s="124">
        <f t="shared" si="161"/>
        <v>13316.207844475459</v>
      </c>
      <c r="BQ47" s="124">
        <f t="shared" si="161"/>
        <v>12528.080487359886</v>
      </c>
      <c r="BR47" s="124">
        <f t="shared" ref="BR47:CA47" si="162" xml:space="preserve"> BR$40</f>
        <v>13097.724603795392</v>
      </c>
      <c r="BS47" s="124">
        <f t="shared" si="162"/>
        <v>13399.520744770387</v>
      </c>
      <c r="BT47" s="124">
        <f t="shared" si="162"/>
        <v>13565.98080104311</v>
      </c>
      <c r="BU47" s="124">
        <f t="shared" si="162"/>
        <v>13734.508763389644</v>
      </c>
      <c r="BV47" s="124">
        <f t="shared" si="162"/>
        <v>13905.130321069182</v>
      </c>
      <c r="BW47" s="124">
        <f t="shared" si="162"/>
        <v>0</v>
      </c>
      <c r="BX47" s="124">
        <f t="shared" si="162"/>
        <v>0</v>
      </c>
      <c r="BY47" s="124">
        <f t="shared" si="162"/>
        <v>0</v>
      </c>
      <c r="BZ47" s="124">
        <f t="shared" si="162"/>
        <v>0</v>
      </c>
      <c r="CA47" s="124">
        <f t="shared" si="162"/>
        <v>0</v>
      </c>
    </row>
    <row r="48" spans="1:79" s="124" customFormat="1" x14ac:dyDescent="0.2">
      <c r="A48" s="166"/>
      <c r="B48" s="166"/>
      <c r="C48" s="167"/>
      <c r="D48" s="168" t="s">
        <v>24</v>
      </c>
      <c r="E48" s="124" t="str">
        <f xml:space="preserve"> E$32</f>
        <v>[Tax payments POS]</v>
      </c>
      <c r="F48" s="124">
        <f t="shared" ref="F48:BQ48" si="163" xml:space="preserve"> F$32</f>
        <v>0</v>
      </c>
      <c r="G48" s="124" t="str">
        <f t="shared" si="163"/>
        <v>€ 000s</v>
      </c>
      <c r="H48" s="124">
        <f t="shared" si="163"/>
        <v>344315.96904956095</v>
      </c>
      <c r="I48" s="124">
        <f t="shared" si="163"/>
        <v>0</v>
      </c>
      <c r="J48" s="124">
        <f t="shared" si="163"/>
        <v>0</v>
      </c>
      <c r="K48" s="124">
        <f t="shared" si="163"/>
        <v>0</v>
      </c>
      <c r="L48" s="124">
        <f t="shared" si="163"/>
        <v>0</v>
      </c>
      <c r="M48" s="124">
        <f t="shared" si="163"/>
        <v>0</v>
      </c>
      <c r="N48" s="124">
        <f t="shared" si="163"/>
        <v>0</v>
      </c>
      <c r="O48" s="124">
        <f t="shared" si="163"/>
        <v>-4039.0716365810222</v>
      </c>
      <c r="P48" s="124">
        <f t="shared" si="163"/>
        <v>-3506.8201137959045</v>
      </c>
      <c r="Q48" s="124">
        <f t="shared" si="163"/>
        <v>-2916.4751698593959</v>
      </c>
      <c r="R48" s="124">
        <f t="shared" si="163"/>
        <v>-3159.3044112653574</v>
      </c>
      <c r="S48" s="124">
        <f t="shared" si="163"/>
        <v>-2677.3573289403262</v>
      </c>
      <c r="T48" s="124">
        <f t="shared" si="163"/>
        <v>-2473.8094375960636</v>
      </c>
      <c r="U48" s="124">
        <f t="shared" si="163"/>
        <v>-2047.425306586134</v>
      </c>
      <c r="V48" s="124">
        <f t="shared" si="163"/>
        <v>-1751.2321901988416</v>
      </c>
      <c r="W48" s="124">
        <f t="shared" si="163"/>
        <v>-1356.291320736844</v>
      </c>
      <c r="X48" s="124">
        <f t="shared" si="163"/>
        <v>-895.45312678286894</v>
      </c>
      <c r="Y48" s="124">
        <f t="shared" si="163"/>
        <v>-304.39580873873052</v>
      </c>
      <c r="Z48" s="124">
        <f t="shared" si="163"/>
        <v>-82.056464783917548</v>
      </c>
      <c r="AA48" s="124">
        <f t="shared" si="163"/>
        <v>282.38043563969404</v>
      </c>
      <c r="AB48" s="124">
        <f t="shared" si="163"/>
        <v>543.72648836487565</v>
      </c>
      <c r="AC48" s="124">
        <f t="shared" si="163"/>
        <v>900.19884154218346</v>
      </c>
      <c r="AD48" s="124">
        <f t="shared" si="163"/>
        <v>1355.7433212542528</v>
      </c>
      <c r="AE48" s="124">
        <f t="shared" si="163"/>
        <v>1724.7405473672202</v>
      </c>
      <c r="AF48" s="124">
        <f t="shared" si="163"/>
        <v>1966.753339255989</v>
      </c>
      <c r="AG48" s="124">
        <f t="shared" si="163"/>
        <v>2333.3961324431702</v>
      </c>
      <c r="AH48" s="124">
        <f t="shared" si="163"/>
        <v>2571.0808325923613</v>
      </c>
      <c r="AI48" s="124">
        <f t="shared" si="163"/>
        <v>3117.9682082219647</v>
      </c>
      <c r="AJ48" s="124">
        <f t="shared" si="163"/>
        <v>3354.339487500511</v>
      </c>
      <c r="AK48" s="124">
        <f t="shared" si="163"/>
        <v>3723.7323313535167</v>
      </c>
      <c r="AL48" s="124">
        <f t="shared" si="163"/>
        <v>3959.5302412485689</v>
      </c>
      <c r="AM48" s="124">
        <f t="shared" si="163"/>
        <v>4332.6648421804366</v>
      </c>
      <c r="AN48" s="124">
        <f t="shared" si="163"/>
        <v>4722.2862488800611</v>
      </c>
      <c r="AO48" s="124">
        <f t="shared" si="163"/>
        <v>5118.6691064860197</v>
      </c>
      <c r="AP48" s="124">
        <f t="shared" si="163"/>
        <v>5352.3102345666193</v>
      </c>
      <c r="AQ48" s="124">
        <f t="shared" si="163"/>
        <v>5757.0565674287191</v>
      </c>
      <c r="AR48" s="124">
        <f t="shared" si="163"/>
        <v>5995.8884036543323</v>
      </c>
      <c r="AS48" s="124">
        <f t="shared" si="163"/>
        <v>6410.9304538357646</v>
      </c>
      <c r="AT48" s="124">
        <f t="shared" si="163"/>
        <v>6656.742394350109</v>
      </c>
      <c r="AU48" s="124">
        <f t="shared" si="163"/>
        <v>7084.0214933980515</v>
      </c>
      <c r="AV48" s="124">
        <f t="shared" si="163"/>
        <v>7338.6955369951229</v>
      </c>
      <c r="AW48" s="124">
        <f t="shared" si="163"/>
        <v>7780.1696157384686</v>
      </c>
      <c r="AX48" s="124">
        <f t="shared" si="163"/>
        <v>8281.9856957692518</v>
      </c>
      <c r="AY48" s="124">
        <f t="shared" si="163"/>
        <v>8761.523278128514</v>
      </c>
      <c r="AZ48" s="124">
        <f t="shared" si="163"/>
        <v>9033.9546248629176</v>
      </c>
      <c r="BA48" s="124">
        <f t="shared" si="163"/>
        <v>9532.5135244580742</v>
      </c>
      <c r="BB48" s="124">
        <f t="shared" si="163"/>
        <v>9819.5541408354729</v>
      </c>
      <c r="BC48" s="124">
        <f t="shared" si="163"/>
        <v>10339.190830575177</v>
      </c>
      <c r="BD48" s="124">
        <f t="shared" si="163"/>
        <v>10399.640684819426</v>
      </c>
      <c r="BE48" s="124">
        <f t="shared" si="163"/>
        <v>10691.041955054328</v>
      </c>
      <c r="BF48" s="124">
        <f t="shared" si="163"/>
        <v>10694.47858296181</v>
      </c>
      <c r="BG48" s="124">
        <f t="shared" si="163"/>
        <v>10988.06070254513</v>
      </c>
      <c r="BH48" s="124">
        <f t="shared" si="163"/>
        <v>11041.894811927061</v>
      </c>
      <c r="BI48" s="124">
        <f t="shared" si="163"/>
        <v>10845.41250472934</v>
      </c>
      <c r="BJ48" s="124">
        <f t="shared" si="163"/>
        <v>11833.139505486977</v>
      </c>
      <c r="BK48" s="124">
        <f t="shared" si="163"/>
        <v>11127.899068668612</v>
      </c>
      <c r="BL48" s="124">
        <f t="shared" si="163"/>
        <v>12194.172691809939</v>
      </c>
      <c r="BM48" s="124">
        <f t="shared" si="163"/>
        <v>11468.041009136823</v>
      </c>
      <c r="BN48" s="124">
        <f t="shared" si="163"/>
        <v>12557.87424966911</v>
      </c>
      <c r="BO48" s="124">
        <f t="shared" si="163"/>
        <v>11810.646912900973</v>
      </c>
      <c r="BP48" s="124">
        <f t="shared" si="163"/>
        <v>12924.930740519778</v>
      </c>
      <c r="BQ48" s="124">
        <f t="shared" si="163"/>
        <v>12156.367238601988</v>
      </c>
      <c r="BR48" s="124">
        <f t="shared" ref="BR48:CA48" si="164" xml:space="preserve"> BR$32</f>
        <v>12744.597017475387</v>
      </c>
      <c r="BS48" s="124">
        <f t="shared" si="164"/>
        <v>13064.049537766385</v>
      </c>
      <c r="BT48" s="124">
        <f t="shared" si="164"/>
        <v>13247.283154389306</v>
      </c>
      <c r="BU48" s="124">
        <f t="shared" si="164"/>
        <v>13431.745999068531</v>
      </c>
      <c r="BV48" s="124">
        <f t="shared" si="164"/>
        <v>8152.6377989680404</v>
      </c>
      <c r="BW48" s="124">
        <f t="shared" si="164"/>
        <v>0</v>
      </c>
      <c r="BX48" s="124">
        <f t="shared" si="164"/>
        <v>0</v>
      </c>
      <c r="BY48" s="124">
        <f t="shared" si="164"/>
        <v>0</v>
      </c>
      <c r="BZ48" s="124">
        <f t="shared" si="164"/>
        <v>0</v>
      </c>
      <c r="CA48" s="124">
        <f t="shared" si="164"/>
        <v>0</v>
      </c>
    </row>
    <row r="49" spans="1:79" s="173" customFormat="1" ht="13.5" thickBot="1" x14ac:dyDescent="0.25">
      <c r="A49" s="169"/>
      <c r="B49" s="169"/>
      <c r="C49" s="170"/>
      <c r="D49" s="171"/>
      <c r="E49" s="172" t="s">
        <v>144</v>
      </c>
      <c r="G49" s="172" t="str">
        <f xml:space="preserve"> SMU</f>
        <v>€ 000s</v>
      </c>
      <c r="I49" s="174"/>
      <c r="J49" s="173">
        <f t="shared" ref="J49:BU49" si="165" xml:space="preserve"> IF( J44 = 1, $F43, J46 + J47 - J48)</f>
        <v>0</v>
      </c>
      <c r="K49" s="173">
        <f t="shared" si="165"/>
        <v>0</v>
      </c>
      <c r="L49" s="173">
        <f t="shared" si="165"/>
        <v>0</v>
      </c>
      <c r="M49" s="173">
        <f t="shared" si="165"/>
        <v>0</v>
      </c>
      <c r="N49" s="173">
        <f t="shared" si="165"/>
        <v>0</v>
      </c>
      <c r="O49" s="173">
        <f t="shared" si="165"/>
        <v>3558.6445021458721</v>
      </c>
      <c r="P49" s="173">
        <f t="shared" si="165"/>
        <v>6820.7352957795902</v>
      </c>
      <c r="Q49" s="173">
        <f t="shared" si="165"/>
        <v>9801.1000663267569</v>
      </c>
      <c r="R49" s="173">
        <f t="shared" si="165"/>
        <v>12513.825114941705</v>
      </c>
      <c r="S49" s="173">
        <f t="shared" si="165"/>
        <v>14972.292427721044</v>
      </c>
      <c r="T49" s="173">
        <f t="shared" si="165"/>
        <v>17189.214891456555</v>
      </c>
      <c r="U49" s="173">
        <f t="shared" si="165"/>
        <v>19176.669748600427</v>
      </c>
      <c r="V49" s="173">
        <f t="shared" si="165"/>
        <v>20946.130379482245</v>
      </c>
      <c r="W49" s="173">
        <f t="shared" si="165"/>
        <v>22508.496495415107</v>
      </c>
      <c r="X49" s="173">
        <f t="shared" si="165"/>
        <v>23874.122822146463</v>
      </c>
      <c r="Y49" s="173">
        <f t="shared" si="165"/>
        <v>25052.846349136387</v>
      </c>
      <c r="Z49" s="173">
        <f t="shared" si="165"/>
        <v>26054.012216371957</v>
      </c>
      <c r="AA49" s="173">
        <f t="shared" si="165"/>
        <v>26886.498306840884</v>
      </c>
      <c r="AB49" s="173">
        <f t="shared" si="165"/>
        <v>27558.738609381504</v>
      </c>
      <c r="AC49" s="173">
        <f t="shared" si="165"/>
        <v>28078.745413390228</v>
      </c>
      <c r="AD49" s="173">
        <f t="shared" si="165"/>
        <v>28454.130393793654</v>
      </c>
      <c r="AE49" s="173">
        <f t="shared" si="165"/>
        <v>28692.124641772047</v>
      </c>
      <c r="AF49" s="173">
        <f t="shared" si="165"/>
        <v>28799.59769394666</v>
      </c>
      <c r="AG49" s="173">
        <f t="shared" si="165"/>
        <v>28783.075610107677</v>
      </c>
      <c r="AH49" s="173">
        <f t="shared" si="165"/>
        <v>28648.758147055782</v>
      </c>
      <c r="AI49" s="173">
        <f t="shared" si="165"/>
        <v>28402.535073751616</v>
      </c>
      <c r="AJ49" s="173">
        <f t="shared" si="165"/>
        <v>28050.001670707799</v>
      </c>
      <c r="AK49" s="173">
        <f t="shared" si="165"/>
        <v>27596.473454411309</v>
      </c>
      <c r="AL49" s="173">
        <f t="shared" si="165"/>
        <v>27047.000165524783</v>
      </c>
      <c r="AM49" s="173">
        <f t="shared" si="165"/>
        <v>26406.379057677725</v>
      </c>
      <c r="AN49" s="173">
        <f t="shared" si="165"/>
        <v>25679.167521818152</v>
      </c>
      <c r="AO49" s="173">
        <f t="shared" si="165"/>
        <v>24869.695079346697</v>
      </c>
      <c r="AP49" s="173">
        <f t="shared" si="165"/>
        <v>23982.074775593952</v>
      </c>
      <c r="AQ49" s="173">
        <f t="shared" si="165"/>
        <v>23020.21400362398</v>
      </c>
      <c r="AR49" s="173">
        <f t="shared" si="165"/>
        <v>21987.824786847646</v>
      </c>
      <c r="AS49" s="173">
        <f t="shared" si="165"/>
        <v>20888.433547505265</v>
      </c>
      <c r="AT49" s="173">
        <f t="shared" si="165"/>
        <v>19725.390386725139</v>
      </c>
      <c r="AU49" s="173">
        <f t="shared" si="165"/>
        <v>18501.877900579158</v>
      </c>
      <c r="AV49" s="173">
        <f t="shared" si="165"/>
        <v>17220.919555335611</v>
      </c>
      <c r="AW49" s="173">
        <f t="shared" si="165"/>
        <v>15885.387643949383</v>
      </c>
      <c r="AX49" s="173">
        <f t="shared" si="165"/>
        <v>14498.010844727602</v>
      </c>
      <c r="AY49" s="173">
        <f t="shared" si="165"/>
        <v>13061.38140206205</v>
      </c>
      <c r="AZ49" s="173">
        <f t="shared" si="165"/>
        <v>11577.961948124912</v>
      </c>
      <c r="BA49" s="173">
        <f t="shared" si="165"/>
        <v>10050.091983479768</v>
      </c>
      <c r="BB49" s="173">
        <f t="shared" si="165"/>
        <v>8479.9940336620202</v>
      </c>
      <c r="BC49" s="173">
        <f t="shared" si="165"/>
        <v>6869.779497930298</v>
      </c>
      <c r="BD49" s="173">
        <f t="shared" si="165"/>
        <v>5221.4542055802976</v>
      </c>
      <c r="BE49" s="173">
        <f t="shared" si="165"/>
        <v>3536.9236944429376</v>
      </c>
      <c r="BF49" s="173">
        <f t="shared" si="165"/>
        <v>1817.9982254575825</v>
      </c>
      <c r="BG49" s="173">
        <f t="shared" si="165"/>
        <v>66.397546516631337</v>
      </c>
      <c r="BH49" s="173">
        <f t="shared" si="165"/>
        <v>-1716.2445818821343</v>
      </c>
      <c r="BI49" s="173">
        <f t="shared" si="165"/>
        <v>-3528.376087265824</v>
      </c>
      <c r="BJ49" s="173">
        <f t="shared" si="165"/>
        <v>-5368.5225007851932</v>
      </c>
      <c r="BK49" s="173">
        <f t="shared" si="165"/>
        <v>-7235.2830770334549</v>
      </c>
      <c r="BL49" s="173">
        <f t="shared" si="165"/>
        <v>-9127.3271078741636</v>
      </c>
      <c r="BM49" s="173">
        <f t="shared" si="165"/>
        <v>-8670.960752480456</v>
      </c>
      <c r="BN49" s="173">
        <f t="shared" si="165"/>
        <v>-8237.4127148564312</v>
      </c>
      <c r="BO49" s="173">
        <f t="shared" si="165"/>
        <v>-7825.5420791136075</v>
      </c>
      <c r="BP49" s="173">
        <f t="shared" si="165"/>
        <v>-7434.2649751579265</v>
      </c>
      <c r="BQ49" s="173">
        <f t="shared" si="165"/>
        <v>-7062.5517264000282</v>
      </c>
      <c r="BR49" s="173">
        <f t="shared" si="165"/>
        <v>-6709.4241400800238</v>
      </c>
      <c r="BS49" s="173">
        <f t="shared" si="165"/>
        <v>-6373.9529330760215</v>
      </c>
      <c r="BT49" s="173">
        <f t="shared" si="165"/>
        <v>-6055.255286422218</v>
      </c>
      <c r="BU49" s="173">
        <f t="shared" si="165"/>
        <v>-5752.4925221011054</v>
      </c>
      <c r="BV49" s="173">
        <f t="shared" ref="BV49:CA49" si="166" xml:space="preserve"> IF( BV44 = 1, $F43, BV46 + BV47 - BV48)</f>
        <v>3.637978807091713E-11</v>
      </c>
      <c r="BW49" s="173">
        <f t="shared" si="166"/>
        <v>3.637978807091713E-11</v>
      </c>
      <c r="BX49" s="173">
        <f t="shared" si="166"/>
        <v>3.637978807091713E-11</v>
      </c>
      <c r="BY49" s="173">
        <f t="shared" si="166"/>
        <v>3.637978807091713E-11</v>
      </c>
      <c r="BZ49" s="173">
        <f t="shared" si="166"/>
        <v>3.637978807091713E-11</v>
      </c>
      <c r="CA49" s="173">
        <f t="shared" si="166"/>
        <v>3.637978807091713E-11</v>
      </c>
    </row>
    <row r="50" spans="1:79" s="133" customFormat="1" ht="13.5" thickTop="1" x14ac:dyDescent="0.2">
      <c r="A50" s="129"/>
      <c r="B50" s="130"/>
      <c r="C50" s="131"/>
      <c r="D50" s="132"/>
    </row>
  </sheetData>
  <printOptions heading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&amp;L&amp;"Arial,Bold"&amp;14Financial Mechanics Training Model&amp;C&amp;"Arial,Bold"&amp;14Sheet: &amp;A&amp;R&amp;"Arial,Bold"&amp;14STRICTLY NOT CONFIDENTIAL</oddHeader>
    <oddFooter>&amp;L&amp;12&amp;F (Printed on &amp;D at &amp;T) &amp;C&amp;12Page &amp;P of &amp;N&amp;R&amp;12© 2008 Financial Mechanics Ltd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96"/>
  <sheetViews>
    <sheetView defaultGridColor="0" colorId="22" workbookViewId="0">
      <pane xSplit="6" ySplit="4" topLeftCell="G12" activePane="bottomRight" state="frozen"/>
      <selection activeCell="G5" sqref="G5"/>
      <selection pane="topRight" activeCell="G5" sqref="G5"/>
      <selection pane="bottomLeft" activeCell="G5" sqref="G5"/>
      <selection pane="bottomRight" activeCell="J16" sqref="J16"/>
    </sheetView>
  </sheetViews>
  <sheetFormatPr defaultColWidth="0" defaultRowHeight="12.75" x14ac:dyDescent="0.2"/>
  <cols>
    <col min="1" max="1" width="1.28515625" style="81" customWidth="1"/>
    <col min="2" max="2" width="1.28515625" style="82" customWidth="1"/>
    <col min="3" max="3" width="1.28515625" style="83" customWidth="1"/>
    <col min="4" max="4" width="1.28515625" style="84" customWidth="1"/>
    <col min="5" max="5" width="40.7109375" style="85" customWidth="1"/>
    <col min="6" max="6" width="12.7109375" style="85" customWidth="1"/>
    <col min="7" max="8" width="11.7109375" style="85" customWidth="1"/>
    <col min="9" max="9" width="2.7109375" style="85" customWidth="1"/>
    <col min="10" max="79" width="11.7109375" style="85" customWidth="1"/>
    <col min="80" max="16384" width="0" style="85" hidden="1"/>
  </cols>
  <sheetData>
    <row r="1" spans="1:79" s="72" customFormat="1" x14ac:dyDescent="0.2">
      <c r="A1" s="69" t="str">
        <f ca="1" xml:space="preserve"> RIGHT(CELL("filename", A1), LEN(CELL("filename", A1)) - SEARCH("]", CELL("filename", A1)))</f>
        <v>Equity</v>
      </c>
      <c r="B1" s="69"/>
      <c r="C1" s="70"/>
      <c r="D1" s="71"/>
      <c r="F1" s="73"/>
      <c r="G1" s="73"/>
      <c r="H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</row>
    <row r="2" spans="1:79" s="74" customFormat="1" x14ac:dyDescent="0.2">
      <c r="A2" s="75"/>
      <c r="B2" s="75"/>
      <c r="C2" s="107"/>
      <c r="D2" s="77"/>
      <c r="E2" s="74" t="str">
        <f xml:space="preserve"> 'T&amp;E'!E$24</f>
        <v>Operating period flag</v>
      </c>
      <c r="F2" s="74">
        <f xml:space="preserve"> 'T&amp;E'!F$24</f>
        <v>0</v>
      </c>
      <c r="G2" s="74" t="str">
        <f xml:space="preserve"> 'T&amp;E'!G$24</f>
        <v>flag</v>
      </c>
      <c r="H2" s="74">
        <f xml:space="preserve"> 'T&amp;E'!H$24</f>
        <v>60</v>
      </c>
      <c r="I2" s="74">
        <f xml:space="preserve"> 'T&amp;E'!I$24</f>
        <v>0</v>
      </c>
      <c r="J2" s="74">
        <f xml:space="preserve"> 'T&amp;E'!J$24</f>
        <v>0</v>
      </c>
      <c r="K2" s="74">
        <f xml:space="preserve"> 'T&amp;E'!K$24</f>
        <v>0</v>
      </c>
      <c r="L2" s="74">
        <f xml:space="preserve"> 'T&amp;E'!L$24</f>
        <v>0</v>
      </c>
      <c r="M2" s="74">
        <f xml:space="preserve"> 'T&amp;E'!M$24</f>
        <v>0</v>
      </c>
      <c r="N2" s="74">
        <f xml:space="preserve"> 'T&amp;E'!N$24</f>
        <v>0</v>
      </c>
      <c r="O2" s="74">
        <f xml:space="preserve"> 'T&amp;E'!O$24</f>
        <v>1</v>
      </c>
      <c r="P2" s="74">
        <f xml:space="preserve"> 'T&amp;E'!P$24</f>
        <v>1</v>
      </c>
      <c r="Q2" s="74">
        <f xml:space="preserve"> 'T&amp;E'!Q$24</f>
        <v>1</v>
      </c>
      <c r="R2" s="74">
        <f xml:space="preserve"> 'T&amp;E'!R$24</f>
        <v>1</v>
      </c>
      <c r="S2" s="74">
        <f xml:space="preserve"> 'T&amp;E'!S$24</f>
        <v>1</v>
      </c>
      <c r="T2" s="74">
        <f xml:space="preserve"> 'T&amp;E'!T$24</f>
        <v>1</v>
      </c>
      <c r="U2" s="74">
        <f xml:space="preserve"> 'T&amp;E'!U$24</f>
        <v>1</v>
      </c>
      <c r="V2" s="74">
        <f xml:space="preserve"> 'T&amp;E'!V$24</f>
        <v>1</v>
      </c>
      <c r="W2" s="74">
        <f xml:space="preserve"> 'T&amp;E'!W$24</f>
        <v>1</v>
      </c>
      <c r="X2" s="74">
        <f xml:space="preserve"> 'T&amp;E'!X$24</f>
        <v>1</v>
      </c>
      <c r="Y2" s="74">
        <f xml:space="preserve"> 'T&amp;E'!Y$24</f>
        <v>1</v>
      </c>
      <c r="Z2" s="74">
        <f xml:space="preserve"> 'T&amp;E'!Z$24</f>
        <v>1</v>
      </c>
      <c r="AA2" s="74">
        <f xml:space="preserve"> 'T&amp;E'!AA$24</f>
        <v>1</v>
      </c>
      <c r="AB2" s="74">
        <f xml:space="preserve"> 'T&amp;E'!AB$24</f>
        <v>1</v>
      </c>
      <c r="AC2" s="74">
        <f xml:space="preserve"> 'T&amp;E'!AC$24</f>
        <v>1</v>
      </c>
      <c r="AD2" s="74">
        <f xml:space="preserve"> 'T&amp;E'!AD$24</f>
        <v>1</v>
      </c>
      <c r="AE2" s="74">
        <f xml:space="preserve"> 'T&amp;E'!AE$24</f>
        <v>1</v>
      </c>
      <c r="AF2" s="74">
        <f xml:space="preserve"> 'T&amp;E'!AF$24</f>
        <v>1</v>
      </c>
      <c r="AG2" s="74">
        <f xml:space="preserve"> 'T&amp;E'!AG$24</f>
        <v>1</v>
      </c>
      <c r="AH2" s="74">
        <f xml:space="preserve"> 'T&amp;E'!AH$24</f>
        <v>1</v>
      </c>
      <c r="AI2" s="74">
        <f xml:space="preserve"> 'T&amp;E'!AI$24</f>
        <v>1</v>
      </c>
      <c r="AJ2" s="74">
        <f xml:space="preserve"> 'T&amp;E'!AJ$24</f>
        <v>1</v>
      </c>
      <c r="AK2" s="74">
        <f xml:space="preserve"> 'T&amp;E'!AK$24</f>
        <v>1</v>
      </c>
      <c r="AL2" s="74">
        <f xml:space="preserve"> 'T&amp;E'!AL$24</f>
        <v>1</v>
      </c>
      <c r="AM2" s="74">
        <f xml:space="preserve"> 'T&amp;E'!AM$24</f>
        <v>1</v>
      </c>
      <c r="AN2" s="74">
        <f xml:space="preserve"> 'T&amp;E'!AN$24</f>
        <v>1</v>
      </c>
      <c r="AO2" s="74">
        <f xml:space="preserve"> 'T&amp;E'!AO$24</f>
        <v>1</v>
      </c>
      <c r="AP2" s="74">
        <f xml:space="preserve"> 'T&amp;E'!AP$24</f>
        <v>1</v>
      </c>
      <c r="AQ2" s="74">
        <f xml:space="preserve"> 'T&amp;E'!AQ$24</f>
        <v>1</v>
      </c>
      <c r="AR2" s="74">
        <f xml:space="preserve"> 'T&amp;E'!AR$24</f>
        <v>1</v>
      </c>
      <c r="AS2" s="74">
        <f xml:space="preserve"> 'T&amp;E'!AS$24</f>
        <v>1</v>
      </c>
      <c r="AT2" s="74">
        <f xml:space="preserve"> 'T&amp;E'!AT$24</f>
        <v>1</v>
      </c>
      <c r="AU2" s="74">
        <f xml:space="preserve"> 'T&amp;E'!AU$24</f>
        <v>1</v>
      </c>
      <c r="AV2" s="74">
        <f xml:space="preserve"> 'T&amp;E'!AV$24</f>
        <v>1</v>
      </c>
      <c r="AW2" s="74">
        <f xml:space="preserve"> 'T&amp;E'!AW$24</f>
        <v>1</v>
      </c>
      <c r="AX2" s="74">
        <f xml:space="preserve"> 'T&amp;E'!AX$24</f>
        <v>1</v>
      </c>
      <c r="AY2" s="74">
        <f xml:space="preserve"> 'T&amp;E'!AY$24</f>
        <v>1</v>
      </c>
      <c r="AZ2" s="74">
        <f xml:space="preserve"> 'T&amp;E'!AZ$24</f>
        <v>1</v>
      </c>
      <c r="BA2" s="74">
        <f xml:space="preserve"> 'T&amp;E'!BA$24</f>
        <v>1</v>
      </c>
      <c r="BB2" s="74">
        <f xml:space="preserve"> 'T&amp;E'!BB$24</f>
        <v>1</v>
      </c>
      <c r="BC2" s="74">
        <f xml:space="preserve"> 'T&amp;E'!BC$24</f>
        <v>1</v>
      </c>
      <c r="BD2" s="74">
        <f xml:space="preserve"> 'T&amp;E'!BD$24</f>
        <v>1</v>
      </c>
      <c r="BE2" s="74">
        <f xml:space="preserve"> 'T&amp;E'!BE$24</f>
        <v>1</v>
      </c>
      <c r="BF2" s="74">
        <f xml:space="preserve"> 'T&amp;E'!BF$24</f>
        <v>1</v>
      </c>
      <c r="BG2" s="74">
        <f xml:space="preserve"> 'T&amp;E'!BG$24</f>
        <v>1</v>
      </c>
      <c r="BH2" s="74">
        <f xml:space="preserve"> 'T&amp;E'!BH$24</f>
        <v>1</v>
      </c>
      <c r="BI2" s="74">
        <f xml:space="preserve"> 'T&amp;E'!BI$24</f>
        <v>1</v>
      </c>
      <c r="BJ2" s="74">
        <f xml:space="preserve"> 'T&amp;E'!BJ$24</f>
        <v>1</v>
      </c>
      <c r="BK2" s="74">
        <f xml:space="preserve"> 'T&amp;E'!BK$24</f>
        <v>1</v>
      </c>
      <c r="BL2" s="74">
        <f xml:space="preserve"> 'T&amp;E'!BL$24</f>
        <v>1</v>
      </c>
      <c r="BM2" s="74">
        <f xml:space="preserve"> 'T&amp;E'!BM$24</f>
        <v>1</v>
      </c>
      <c r="BN2" s="74">
        <f xml:space="preserve"> 'T&amp;E'!BN$24</f>
        <v>1</v>
      </c>
      <c r="BO2" s="74">
        <f xml:space="preserve"> 'T&amp;E'!BO$24</f>
        <v>1</v>
      </c>
      <c r="BP2" s="74">
        <f xml:space="preserve"> 'T&amp;E'!BP$24</f>
        <v>1</v>
      </c>
      <c r="BQ2" s="74">
        <f xml:space="preserve"> 'T&amp;E'!BQ$24</f>
        <v>1</v>
      </c>
      <c r="BR2" s="74">
        <f xml:space="preserve"> 'T&amp;E'!BR$24</f>
        <v>1</v>
      </c>
      <c r="BS2" s="74">
        <f xml:space="preserve"> 'T&amp;E'!BS$24</f>
        <v>1</v>
      </c>
      <c r="BT2" s="74">
        <f xml:space="preserve"> 'T&amp;E'!BT$24</f>
        <v>1</v>
      </c>
      <c r="BU2" s="74">
        <f xml:space="preserve"> 'T&amp;E'!BU$24</f>
        <v>1</v>
      </c>
      <c r="BV2" s="74">
        <f xml:space="preserve"> 'T&amp;E'!BV$24</f>
        <v>1</v>
      </c>
      <c r="BW2" s="74">
        <f xml:space="preserve"> 'T&amp;E'!BW$24</f>
        <v>0</v>
      </c>
      <c r="BX2" s="74">
        <f xml:space="preserve"> 'T&amp;E'!BX$24</f>
        <v>0</v>
      </c>
      <c r="BY2" s="74">
        <f xml:space="preserve"> 'T&amp;E'!BY$24</f>
        <v>0</v>
      </c>
      <c r="BZ2" s="74">
        <f xml:space="preserve"> 'T&amp;E'!BZ$24</f>
        <v>0</v>
      </c>
      <c r="CA2" s="74">
        <f xml:space="preserve"> 'T&amp;E'!CA$24</f>
        <v>0</v>
      </c>
    </row>
    <row r="3" spans="1:79" s="74" customFormat="1" x14ac:dyDescent="0.2">
      <c r="A3" s="75"/>
      <c r="B3" s="75"/>
      <c r="C3" s="107"/>
      <c r="D3" s="77"/>
      <c r="E3" s="74" t="str">
        <f>'T&amp;E'!E$8</f>
        <v>Model column counter</v>
      </c>
      <c r="F3" s="74">
        <f>'T&amp;E'!F$8</f>
        <v>0</v>
      </c>
      <c r="G3" s="74">
        <f>'T&amp;E'!G$8</f>
        <v>0</v>
      </c>
      <c r="H3" s="74">
        <f>'T&amp;E'!H$8</f>
        <v>0</v>
      </c>
      <c r="I3" s="74">
        <f>'T&amp;E'!I$8</f>
        <v>0</v>
      </c>
      <c r="J3" s="74">
        <f>'T&amp;E'!J$8</f>
        <v>1</v>
      </c>
      <c r="K3" s="74">
        <f>'T&amp;E'!K$8</f>
        <v>2</v>
      </c>
      <c r="L3" s="74">
        <f>'T&amp;E'!L$8</f>
        <v>3</v>
      </c>
      <c r="M3" s="74">
        <f>'T&amp;E'!M$8</f>
        <v>4</v>
      </c>
      <c r="N3" s="74">
        <f>'T&amp;E'!N$8</f>
        <v>5</v>
      </c>
      <c r="O3" s="74">
        <f>'T&amp;E'!O$8</f>
        <v>6</v>
      </c>
      <c r="P3" s="74">
        <f>'T&amp;E'!P$8</f>
        <v>7</v>
      </c>
      <c r="Q3" s="74">
        <f>'T&amp;E'!Q$8</f>
        <v>8</v>
      </c>
      <c r="R3" s="74">
        <f>'T&amp;E'!R$8</f>
        <v>9</v>
      </c>
      <c r="S3" s="74">
        <f>'T&amp;E'!S$8</f>
        <v>10</v>
      </c>
      <c r="T3" s="74">
        <f>'T&amp;E'!T$8</f>
        <v>11</v>
      </c>
      <c r="U3" s="74">
        <f>'T&amp;E'!U$8</f>
        <v>12</v>
      </c>
      <c r="V3" s="74">
        <f>'T&amp;E'!V$8</f>
        <v>13</v>
      </c>
      <c r="W3" s="74">
        <f>'T&amp;E'!W$8</f>
        <v>14</v>
      </c>
      <c r="X3" s="74">
        <f>'T&amp;E'!X$8</f>
        <v>15</v>
      </c>
      <c r="Y3" s="74">
        <f>'T&amp;E'!Y$8</f>
        <v>16</v>
      </c>
      <c r="Z3" s="74">
        <f>'T&amp;E'!Z$8</f>
        <v>17</v>
      </c>
      <c r="AA3" s="74">
        <f>'T&amp;E'!AA$8</f>
        <v>18</v>
      </c>
      <c r="AB3" s="74">
        <f>'T&amp;E'!AB$8</f>
        <v>19</v>
      </c>
      <c r="AC3" s="74">
        <f>'T&amp;E'!AC$8</f>
        <v>20</v>
      </c>
      <c r="AD3" s="74">
        <f>'T&amp;E'!AD$8</f>
        <v>21</v>
      </c>
      <c r="AE3" s="74">
        <f>'T&amp;E'!AE$8</f>
        <v>22</v>
      </c>
      <c r="AF3" s="74">
        <f>'T&amp;E'!AF$8</f>
        <v>23</v>
      </c>
      <c r="AG3" s="74">
        <f>'T&amp;E'!AG$8</f>
        <v>24</v>
      </c>
      <c r="AH3" s="74">
        <f>'T&amp;E'!AH$8</f>
        <v>25</v>
      </c>
      <c r="AI3" s="74">
        <f>'T&amp;E'!AI$8</f>
        <v>26</v>
      </c>
      <c r="AJ3" s="74">
        <f>'T&amp;E'!AJ$8</f>
        <v>27</v>
      </c>
      <c r="AK3" s="74">
        <f>'T&amp;E'!AK$8</f>
        <v>28</v>
      </c>
      <c r="AL3" s="74">
        <f>'T&amp;E'!AL$8</f>
        <v>29</v>
      </c>
      <c r="AM3" s="74">
        <f>'T&amp;E'!AM$8</f>
        <v>30</v>
      </c>
      <c r="AN3" s="74">
        <f>'T&amp;E'!AN$8</f>
        <v>31</v>
      </c>
      <c r="AO3" s="74">
        <f>'T&amp;E'!AO$8</f>
        <v>32</v>
      </c>
      <c r="AP3" s="74">
        <f>'T&amp;E'!AP$8</f>
        <v>33</v>
      </c>
      <c r="AQ3" s="74">
        <f>'T&amp;E'!AQ$8</f>
        <v>34</v>
      </c>
      <c r="AR3" s="74">
        <f>'T&amp;E'!AR$8</f>
        <v>35</v>
      </c>
      <c r="AS3" s="74">
        <f>'T&amp;E'!AS$8</f>
        <v>36</v>
      </c>
      <c r="AT3" s="74">
        <f>'T&amp;E'!AT$8</f>
        <v>37</v>
      </c>
      <c r="AU3" s="74">
        <f>'T&amp;E'!AU$8</f>
        <v>38</v>
      </c>
      <c r="AV3" s="74">
        <f>'T&amp;E'!AV$8</f>
        <v>39</v>
      </c>
      <c r="AW3" s="74">
        <f>'T&amp;E'!AW$8</f>
        <v>40</v>
      </c>
      <c r="AX3" s="74">
        <f>'T&amp;E'!AX$8</f>
        <v>41</v>
      </c>
      <c r="AY3" s="74">
        <f>'T&amp;E'!AY$8</f>
        <v>42</v>
      </c>
      <c r="AZ3" s="74">
        <f>'T&amp;E'!AZ$8</f>
        <v>43</v>
      </c>
      <c r="BA3" s="74">
        <f>'T&amp;E'!BA$8</f>
        <v>44</v>
      </c>
      <c r="BB3" s="74">
        <f>'T&amp;E'!BB$8</f>
        <v>45</v>
      </c>
      <c r="BC3" s="74">
        <f>'T&amp;E'!BC$8</f>
        <v>46</v>
      </c>
      <c r="BD3" s="74">
        <f>'T&amp;E'!BD$8</f>
        <v>47</v>
      </c>
      <c r="BE3" s="74">
        <f>'T&amp;E'!BE$8</f>
        <v>48</v>
      </c>
      <c r="BF3" s="74">
        <f>'T&amp;E'!BF$8</f>
        <v>49</v>
      </c>
      <c r="BG3" s="74">
        <f>'T&amp;E'!BG$8</f>
        <v>50</v>
      </c>
      <c r="BH3" s="74">
        <f>'T&amp;E'!BH$8</f>
        <v>51</v>
      </c>
      <c r="BI3" s="74">
        <f>'T&amp;E'!BI$8</f>
        <v>52</v>
      </c>
      <c r="BJ3" s="74">
        <f>'T&amp;E'!BJ$8</f>
        <v>53</v>
      </c>
      <c r="BK3" s="74">
        <f>'T&amp;E'!BK$8</f>
        <v>54</v>
      </c>
      <c r="BL3" s="74">
        <f>'T&amp;E'!BL$8</f>
        <v>55</v>
      </c>
      <c r="BM3" s="74">
        <f>'T&amp;E'!BM$8</f>
        <v>56</v>
      </c>
      <c r="BN3" s="74">
        <f>'T&amp;E'!BN$8</f>
        <v>57</v>
      </c>
      <c r="BO3" s="74">
        <f>'T&amp;E'!BO$8</f>
        <v>58</v>
      </c>
      <c r="BP3" s="74">
        <f>'T&amp;E'!BP$8</f>
        <v>59</v>
      </c>
      <c r="BQ3" s="74">
        <f>'T&amp;E'!BQ$8</f>
        <v>60</v>
      </c>
      <c r="BR3" s="74">
        <f>'T&amp;E'!BR$8</f>
        <v>61</v>
      </c>
      <c r="BS3" s="74">
        <f>'T&amp;E'!BS$8</f>
        <v>62</v>
      </c>
      <c r="BT3" s="74">
        <f>'T&amp;E'!BT$8</f>
        <v>63</v>
      </c>
      <c r="BU3" s="74">
        <f>'T&amp;E'!BU$8</f>
        <v>64</v>
      </c>
      <c r="BV3" s="74">
        <f>'T&amp;E'!BV$8</f>
        <v>65</v>
      </c>
      <c r="BW3" s="74">
        <f>'T&amp;E'!BW$8</f>
        <v>66</v>
      </c>
      <c r="BX3" s="74">
        <f>'T&amp;E'!BX$8</f>
        <v>67</v>
      </c>
      <c r="BY3" s="74">
        <f>'T&amp;E'!BY$8</f>
        <v>68</v>
      </c>
      <c r="BZ3" s="74">
        <f>'T&amp;E'!BZ$8</f>
        <v>69</v>
      </c>
      <c r="CA3" s="74">
        <f>'T&amp;E'!CA$8</f>
        <v>70</v>
      </c>
    </row>
    <row r="4" spans="1:79" s="78" customFormat="1" x14ac:dyDescent="0.2">
      <c r="C4" s="79"/>
      <c r="D4" s="80"/>
      <c r="E4" s="78" t="str">
        <f xml:space="preserve"> 'T&amp;E'!E$12</f>
        <v>Model period ending</v>
      </c>
      <c r="F4" s="80" t="str">
        <f xml:space="preserve"> 'T&amp;E'!F$12</f>
        <v>constant</v>
      </c>
      <c r="G4" s="78" t="str">
        <f xml:space="preserve"> 'T&amp;E'!G$12</f>
        <v>unit</v>
      </c>
      <c r="H4" s="80" t="str">
        <f xml:space="preserve"> 'T&amp;E'!H$12</f>
        <v>total</v>
      </c>
      <c r="I4" s="78">
        <f xml:space="preserve"> 'T&amp;E'!I$12</f>
        <v>0</v>
      </c>
      <c r="J4" s="78">
        <f xml:space="preserve"> 'T&amp;E'!J$12</f>
        <v>41639</v>
      </c>
      <c r="K4" s="78">
        <f xml:space="preserve"> 'T&amp;E'!K$12</f>
        <v>41820</v>
      </c>
      <c r="L4" s="78">
        <f xml:space="preserve"> 'T&amp;E'!L$12</f>
        <v>42004</v>
      </c>
      <c r="M4" s="78">
        <f xml:space="preserve"> 'T&amp;E'!M$12</f>
        <v>42185</v>
      </c>
      <c r="N4" s="78">
        <f xml:space="preserve"> 'T&amp;E'!N$12</f>
        <v>42369</v>
      </c>
      <c r="O4" s="78">
        <f xml:space="preserve"> 'T&amp;E'!O$12</f>
        <v>42551</v>
      </c>
      <c r="P4" s="78">
        <f xml:space="preserve"> 'T&amp;E'!P$12</f>
        <v>42735</v>
      </c>
      <c r="Q4" s="78">
        <f xml:space="preserve"> 'T&amp;E'!Q$12</f>
        <v>42916</v>
      </c>
      <c r="R4" s="78">
        <f xml:space="preserve"> 'T&amp;E'!R$12</f>
        <v>43100</v>
      </c>
      <c r="S4" s="78">
        <f xml:space="preserve"> 'T&amp;E'!S$12</f>
        <v>43281</v>
      </c>
      <c r="T4" s="78">
        <f xml:space="preserve"> 'T&amp;E'!T$12</f>
        <v>43465</v>
      </c>
      <c r="U4" s="78">
        <f xml:space="preserve"> 'T&amp;E'!U$12</f>
        <v>43646</v>
      </c>
      <c r="V4" s="78">
        <f xml:space="preserve"> 'T&amp;E'!V$12</f>
        <v>43830</v>
      </c>
      <c r="W4" s="78">
        <f xml:space="preserve"> 'T&amp;E'!W$12</f>
        <v>44012</v>
      </c>
      <c r="X4" s="78">
        <f xml:space="preserve"> 'T&amp;E'!X$12</f>
        <v>44196</v>
      </c>
      <c r="Y4" s="78">
        <f xml:space="preserve"> 'T&amp;E'!Y$12</f>
        <v>44377</v>
      </c>
      <c r="Z4" s="78">
        <f xml:space="preserve"> 'T&amp;E'!Z$12</f>
        <v>44561</v>
      </c>
      <c r="AA4" s="78">
        <f xml:space="preserve"> 'T&amp;E'!AA$12</f>
        <v>44742</v>
      </c>
      <c r="AB4" s="78">
        <f xml:space="preserve"> 'T&amp;E'!AB$12</f>
        <v>44926</v>
      </c>
      <c r="AC4" s="78">
        <f xml:space="preserve"> 'T&amp;E'!AC$12</f>
        <v>45107</v>
      </c>
      <c r="AD4" s="78">
        <f xml:space="preserve"> 'T&amp;E'!AD$12</f>
        <v>45291</v>
      </c>
      <c r="AE4" s="78">
        <f xml:space="preserve"> 'T&amp;E'!AE$12</f>
        <v>45473</v>
      </c>
      <c r="AF4" s="78">
        <f xml:space="preserve"> 'T&amp;E'!AF$12</f>
        <v>45657</v>
      </c>
      <c r="AG4" s="78">
        <f xml:space="preserve"> 'T&amp;E'!AG$12</f>
        <v>45838</v>
      </c>
      <c r="AH4" s="78">
        <f xml:space="preserve"> 'T&amp;E'!AH$12</f>
        <v>46022</v>
      </c>
      <c r="AI4" s="78">
        <f xml:space="preserve"> 'T&amp;E'!AI$12</f>
        <v>46203</v>
      </c>
      <c r="AJ4" s="78">
        <f xml:space="preserve"> 'T&amp;E'!AJ$12</f>
        <v>46387</v>
      </c>
      <c r="AK4" s="78">
        <f xml:space="preserve"> 'T&amp;E'!AK$12</f>
        <v>46568</v>
      </c>
      <c r="AL4" s="78">
        <f xml:space="preserve"> 'T&amp;E'!AL$12</f>
        <v>46752</v>
      </c>
      <c r="AM4" s="78">
        <f xml:space="preserve"> 'T&amp;E'!AM$12</f>
        <v>46934</v>
      </c>
      <c r="AN4" s="78">
        <f xml:space="preserve"> 'T&amp;E'!AN$12</f>
        <v>47118</v>
      </c>
      <c r="AO4" s="78">
        <f xml:space="preserve"> 'T&amp;E'!AO$12</f>
        <v>47299</v>
      </c>
      <c r="AP4" s="78">
        <f xml:space="preserve"> 'T&amp;E'!AP$12</f>
        <v>47483</v>
      </c>
      <c r="AQ4" s="78">
        <f xml:space="preserve"> 'T&amp;E'!AQ$12</f>
        <v>47664</v>
      </c>
      <c r="AR4" s="78">
        <f xml:space="preserve"> 'T&amp;E'!AR$12</f>
        <v>47848</v>
      </c>
      <c r="AS4" s="78">
        <f xml:space="preserve"> 'T&amp;E'!AS$12</f>
        <v>48029</v>
      </c>
      <c r="AT4" s="78">
        <f xml:space="preserve"> 'T&amp;E'!AT$12</f>
        <v>48213</v>
      </c>
      <c r="AU4" s="78">
        <f xml:space="preserve"> 'T&amp;E'!AU$12</f>
        <v>48395</v>
      </c>
      <c r="AV4" s="78">
        <f xml:space="preserve"> 'T&amp;E'!AV$12</f>
        <v>48579</v>
      </c>
      <c r="AW4" s="78">
        <f xml:space="preserve"> 'T&amp;E'!AW$12</f>
        <v>48760</v>
      </c>
      <c r="AX4" s="78">
        <f xml:space="preserve"> 'T&amp;E'!AX$12</f>
        <v>48944</v>
      </c>
      <c r="AY4" s="78">
        <f xml:space="preserve"> 'T&amp;E'!AY$12</f>
        <v>49125</v>
      </c>
      <c r="AZ4" s="78">
        <f xml:space="preserve"> 'T&amp;E'!AZ$12</f>
        <v>49309</v>
      </c>
      <c r="BA4" s="78">
        <f xml:space="preserve"> 'T&amp;E'!BA$12</f>
        <v>49490</v>
      </c>
      <c r="BB4" s="78">
        <f xml:space="preserve"> 'T&amp;E'!BB$12</f>
        <v>49674</v>
      </c>
      <c r="BC4" s="78">
        <f xml:space="preserve"> 'T&amp;E'!BC$12</f>
        <v>49856</v>
      </c>
      <c r="BD4" s="78">
        <f xml:space="preserve"> 'T&amp;E'!BD$12</f>
        <v>50040</v>
      </c>
      <c r="BE4" s="78">
        <f xml:space="preserve"> 'T&amp;E'!BE$12</f>
        <v>50221</v>
      </c>
      <c r="BF4" s="78">
        <f xml:space="preserve"> 'T&amp;E'!BF$12</f>
        <v>50405</v>
      </c>
      <c r="BG4" s="78">
        <f xml:space="preserve"> 'T&amp;E'!BG$12</f>
        <v>50586</v>
      </c>
      <c r="BH4" s="78">
        <f xml:space="preserve"> 'T&amp;E'!BH$12</f>
        <v>50770</v>
      </c>
      <c r="BI4" s="78">
        <f xml:space="preserve"> 'T&amp;E'!BI$12</f>
        <v>50951</v>
      </c>
      <c r="BJ4" s="78">
        <f xml:space="preserve"> 'T&amp;E'!BJ$12</f>
        <v>51135</v>
      </c>
      <c r="BK4" s="78">
        <f xml:space="preserve"> 'T&amp;E'!BK$12</f>
        <v>51317</v>
      </c>
      <c r="BL4" s="78">
        <f xml:space="preserve"> 'T&amp;E'!BL$12</f>
        <v>51501</v>
      </c>
      <c r="BM4" s="78">
        <f xml:space="preserve"> 'T&amp;E'!BM$12</f>
        <v>51682</v>
      </c>
      <c r="BN4" s="78">
        <f xml:space="preserve"> 'T&amp;E'!BN$12</f>
        <v>51866</v>
      </c>
      <c r="BO4" s="78">
        <f xml:space="preserve"> 'T&amp;E'!BO$12</f>
        <v>52047</v>
      </c>
      <c r="BP4" s="78">
        <f xml:space="preserve"> 'T&amp;E'!BP$12</f>
        <v>52231</v>
      </c>
      <c r="BQ4" s="78">
        <f xml:space="preserve"> 'T&amp;E'!BQ$12</f>
        <v>52412</v>
      </c>
      <c r="BR4" s="78">
        <f xml:space="preserve"> 'T&amp;E'!BR$12</f>
        <v>52596</v>
      </c>
      <c r="BS4" s="78">
        <f xml:space="preserve"> 'T&amp;E'!BS$12</f>
        <v>52778</v>
      </c>
      <c r="BT4" s="78">
        <f xml:space="preserve"> 'T&amp;E'!BT$12</f>
        <v>52962</v>
      </c>
      <c r="BU4" s="78">
        <f xml:space="preserve"> 'T&amp;E'!BU$12</f>
        <v>53143</v>
      </c>
      <c r="BV4" s="78">
        <f xml:space="preserve"> 'T&amp;E'!BV$12</f>
        <v>53327</v>
      </c>
      <c r="BW4" s="78">
        <f xml:space="preserve"> 'T&amp;E'!BW$12</f>
        <v>53508</v>
      </c>
      <c r="BX4" s="78">
        <f xml:space="preserve"> 'T&amp;E'!BX$12</f>
        <v>53692</v>
      </c>
      <c r="BY4" s="78">
        <f xml:space="preserve"> 'T&amp;E'!BY$12</f>
        <v>53873</v>
      </c>
      <c r="BZ4" s="78">
        <f xml:space="preserve"> 'T&amp;E'!BZ$12</f>
        <v>54057</v>
      </c>
      <c r="CA4" s="78">
        <f xml:space="preserve"> 'T&amp;E'!CA$12</f>
        <v>54239</v>
      </c>
    </row>
    <row r="6" spans="1:79" x14ac:dyDescent="0.2">
      <c r="A6" s="81" t="s">
        <v>337</v>
      </c>
    </row>
    <row r="8" spans="1:79" s="268" customFormat="1" x14ac:dyDescent="0.2">
      <c r="A8" s="148"/>
      <c r="B8" s="148" t="s">
        <v>340</v>
      </c>
      <c r="C8" s="149"/>
      <c r="D8" s="267"/>
    </row>
    <row r="9" spans="1:79" s="268" customFormat="1" x14ac:dyDescent="0.2">
      <c r="A9" s="148"/>
      <c r="B9" s="148"/>
      <c r="C9" s="149"/>
      <c r="D9" s="267"/>
    </row>
    <row r="12" spans="1:79" x14ac:dyDescent="0.2">
      <c r="B12" s="82" t="s">
        <v>341</v>
      </c>
    </row>
    <row r="14" spans="1:79" s="160" customFormat="1" x14ac:dyDescent="0.2">
      <c r="A14" s="157"/>
      <c r="B14" s="157"/>
      <c r="C14" s="158"/>
      <c r="D14" s="159"/>
      <c r="E14" s="160" t="str">
        <f xml:space="preserve"> E$83</f>
        <v>Retained cash / (overdraft) balance BEG</v>
      </c>
      <c r="F14" s="160">
        <f t="shared" ref="F14:BQ14" si="0" xml:space="preserve"> F$83</f>
        <v>0</v>
      </c>
      <c r="G14" s="160" t="str">
        <f t="shared" si="0"/>
        <v>€ 000s</v>
      </c>
      <c r="H14" s="160">
        <f t="shared" si="0"/>
        <v>0</v>
      </c>
      <c r="I14" s="160">
        <f t="shared" si="0"/>
        <v>0</v>
      </c>
      <c r="J14" s="160">
        <f t="shared" si="0"/>
        <v>0</v>
      </c>
      <c r="K14" s="160">
        <f t="shared" si="0"/>
        <v>0</v>
      </c>
      <c r="L14" s="160">
        <f t="shared" si="0"/>
        <v>0</v>
      </c>
      <c r="M14" s="160">
        <f t="shared" si="0"/>
        <v>0</v>
      </c>
      <c r="N14" s="160">
        <f t="shared" si="0"/>
        <v>0</v>
      </c>
      <c r="O14" s="160">
        <f t="shared" si="0"/>
        <v>0</v>
      </c>
      <c r="P14" s="160">
        <f t="shared" si="0"/>
        <v>0</v>
      </c>
      <c r="Q14" s="160">
        <f t="shared" si="0"/>
        <v>0</v>
      </c>
      <c r="R14" s="160">
        <f t="shared" si="0"/>
        <v>0</v>
      </c>
      <c r="S14" s="160">
        <f t="shared" si="0"/>
        <v>0</v>
      </c>
      <c r="T14" s="160">
        <f t="shared" si="0"/>
        <v>0</v>
      </c>
      <c r="U14" s="160">
        <f t="shared" si="0"/>
        <v>0</v>
      </c>
      <c r="V14" s="160">
        <f t="shared" si="0"/>
        <v>0</v>
      </c>
      <c r="W14" s="160">
        <f t="shared" si="0"/>
        <v>0</v>
      </c>
      <c r="X14" s="160">
        <f t="shared" si="0"/>
        <v>0</v>
      </c>
      <c r="Y14" s="160">
        <f t="shared" si="0"/>
        <v>0</v>
      </c>
      <c r="Z14" s="160">
        <f t="shared" si="0"/>
        <v>0</v>
      </c>
      <c r="AA14" s="160">
        <f t="shared" si="0"/>
        <v>0</v>
      </c>
      <c r="AB14" s="160">
        <f t="shared" si="0"/>
        <v>0</v>
      </c>
      <c r="AC14" s="160">
        <f t="shared" si="0"/>
        <v>1593.8033678062739</v>
      </c>
      <c r="AD14" s="160">
        <f t="shared" si="0"/>
        <v>4887.3547933510781</v>
      </c>
      <c r="AE14" s="160">
        <f t="shared" si="0"/>
        <v>7702.7814594223564</v>
      </c>
      <c r="AF14" s="160">
        <f t="shared" si="0"/>
        <v>10228.975771889969</v>
      </c>
      <c r="AG14" s="160">
        <f t="shared" si="0"/>
        <v>12241.704642665243</v>
      </c>
      <c r="AH14" s="160">
        <f t="shared" si="0"/>
        <v>13951.149083812066</v>
      </c>
      <c r="AI14" s="160">
        <f t="shared" si="0"/>
        <v>15252.330449376517</v>
      </c>
      <c r="AJ14" s="160">
        <f t="shared" si="0"/>
        <v>15633.505419499961</v>
      </c>
      <c r="AK14" s="160">
        <f t="shared" si="0"/>
        <v>15450.158519416265</v>
      </c>
      <c r="AL14" s="160">
        <f t="shared" si="0"/>
        <v>14924.298265698259</v>
      </c>
      <c r="AM14" s="160">
        <f t="shared" si="0"/>
        <v>13806.926101045088</v>
      </c>
      <c r="AN14" s="160">
        <f t="shared" si="0"/>
        <v>12068.081909052382</v>
      </c>
      <c r="AO14" s="160">
        <f t="shared" si="0"/>
        <v>9688.4253717451538</v>
      </c>
      <c r="AP14" s="160">
        <f t="shared" si="0"/>
        <v>6925.1079574556734</v>
      </c>
      <c r="AQ14" s="160">
        <f t="shared" si="0"/>
        <v>3474.6383730949583</v>
      </c>
      <c r="AR14" s="160">
        <f t="shared" si="0"/>
        <v>0</v>
      </c>
      <c r="AS14" s="160">
        <f t="shared" si="0"/>
        <v>0</v>
      </c>
      <c r="AT14" s="160">
        <f t="shared" si="0"/>
        <v>0</v>
      </c>
      <c r="AU14" s="160">
        <f t="shared" si="0"/>
        <v>0</v>
      </c>
      <c r="AV14" s="160">
        <f t="shared" si="0"/>
        <v>0</v>
      </c>
      <c r="AW14" s="160">
        <f t="shared" si="0"/>
        <v>0</v>
      </c>
      <c r="AX14" s="160">
        <f t="shared" si="0"/>
        <v>0</v>
      </c>
      <c r="AY14" s="160">
        <f t="shared" si="0"/>
        <v>0</v>
      </c>
      <c r="AZ14" s="160">
        <f t="shared" si="0"/>
        <v>0</v>
      </c>
      <c r="BA14" s="160">
        <f t="shared" si="0"/>
        <v>0</v>
      </c>
      <c r="BB14" s="160">
        <f t="shared" si="0"/>
        <v>0</v>
      </c>
      <c r="BC14" s="160">
        <f t="shared" si="0"/>
        <v>0</v>
      </c>
      <c r="BD14" s="160">
        <f t="shared" si="0"/>
        <v>0</v>
      </c>
      <c r="BE14" s="160">
        <f t="shared" si="0"/>
        <v>0</v>
      </c>
      <c r="BF14" s="160">
        <f t="shared" si="0"/>
        <v>0</v>
      </c>
      <c r="BG14" s="160">
        <f t="shared" si="0"/>
        <v>0</v>
      </c>
      <c r="BH14" s="160">
        <f t="shared" si="0"/>
        <v>0</v>
      </c>
      <c r="BI14" s="160">
        <f t="shared" si="0"/>
        <v>0</v>
      </c>
      <c r="BJ14" s="160">
        <f t="shared" si="0"/>
        <v>0</v>
      </c>
      <c r="BK14" s="160">
        <f t="shared" si="0"/>
        <v>0</v>
      </c>
      <c r="BL14" s="160">
        <f t="shared" si="0"/>
        <v>0</v>
      </c>
      <c r="BM14" s="160">
        <f t="shared" si="0"/>
        <v>0</v>
      </c>
      <c r="BN14" s="160">
        <f t="shared" si="0"/>
        <v>0</v>
      </c>
      <c r="BO14" s="160">
        <f t="shared" si="0"/>
        <v>0</v>
      </c>
      <c r="BP14" s="160">
        <f t="shared" si="0"/>
        <v>0</v>
      </c>
      <c r="BQ14" s="160">
        <f t="shared" si="0"/>
        <v>0</v>
      </c>
      <c r="BR14" s="160">
        <f t="shared" ref="BR14:CA14" si="1" xml:space="preserve"> BR$83</f>
        <v>0</v>
      </c>
      <c r="BS14" s="160">
        <f t="shared" si="1"/>
        <v>0</v>
      </c>
      <c r="BT14" s="160">
        <f t="shared" si="1"/>
        <v>0</v>
      </c>
      <c r="BU14" s="160">
        <f t="shared" si="1"/>
        <v>0</v>
      </c>
      <c r="BV14" s="160">
        <f t="shared" si="1"/>
        <v>0</v>
      </c>
      <c r="BW14" s="160">
        <f t="shared" si="1"/>
        <v>5.0931703299283981E-11</v>
      </c>
      <c r="BX14" s="160">
        <f t="shared" si="1"/>
        <v>5.0931703299283981E-11</v>
      </c>
      <c r="BY14" s="160">
        <f t="shared" si="1"/>
        <v>5.0931703299283981E-11</v>
      </c>
      <c r="BZ14" s="160">
        <f t="shared" si="1"/>
        <v>5.0931703299283981E-11</v>
      </c>
      <c r="CA14" s="160">
        <f t="shared" si="1"/>
        <v>5.0931703299283981E-11</v>
      </c>
    </row>
    <row r="15" spans="1:79" s="196" customFormat="1" x14ac:dyDescent="0.2">
      <c r="A15" s="193"/>
      <c r="B15" s="193"/>
      <c r="C15" s="194"/>
      <c r="D15" s="195" t="s">
        <v>23</v>
      </c>
      <c r="E15" s="196" t="str">
        <f xml:space="preserve"> Finstat!E$52</f>
        <v>Cash flow available for shareholder loan</v>
      </c>
      <c r="F15" s="196">
        <f xml:space="preserve"> Finstat!F$52</f>
        <v>0</v>
      </c>
      <c r="G15" s="196">
        <f xml:space="preserve"> Finstat!G$52</f>
        <v>0</v>
      </c>
      <c r="H15" s="196">
        <f xml:space="preserve"> Finstat!H$52</f>
        <v>884084.91671888414</v>
      </c>
      <c r="I15" s="196">
        <f xml:space="preserve"> Finstat!I$52</f>
        <v>0</v>
      </c>
      <c r="J15" s="196">
        <f xml:space="preserve"> Finstat!J$52</f>
        <v>0</v>
      </c>
      <c r="K15" s="196">
        <f xml:space="preserve"> Finstat!K$52</f>
        <v>0</v>
      </c>
      <c r="L15" s="196">
        <f xml:space="preserve"> Finstat!L$52</f>
        <v>0</v>
      </c>
      <c r="M15" s="196">
        <f xml:space="preserve"> Finstat!M$52</f>
        <v>0</v>
      </c>
      <c r="N15" s="196">
        <f xml:space="preserve"> Finstat!N$52</f>
        <v>0</v>
      </c>
      <c r="O15" s="196">
        <f xml:space="preserve"> Finstat!O$52</f>
        <v>0</v>
      </c>
      <c r="P15" s="196">
        <f xml:space="preserve"> Finstat!P$52</f>
        <v>4006.8110803501586</v>
      </c>
      <c r="Q15" s="196">
        <f xml:space="preserve"> Finstat!Q$52</f>
        <v>8588.7100229398784</v>
      </c>
      <c r="R15" s="196">
        <f xml:space="preserve"> Finstat!R$52</f>
        <v>6847.1730507980828</v>
      </c>
      <c r="S15" s="196">
        <f xml:space="preserve"> Finstat!S$52</f>
        <v>7335.4697624993314</v>
      </c>
      <c r="T15" s="196">
        <f xml:space="preserve"> Finstat!T$52</f>
        <v>6795.67227243042</v>
      </c>
      <c r="U15" s="196">
        <f xml:space="preserve"> Finstat!U$52</f>
        <v>7019.0445788575416</v>
      </c>
      <c r="V15" s="196">
        <f xml:space="preserve"> Finstat!V$52</f>
        <v>6780.964806829099</v>
      </c>
      <c r="W15" s="196">
        <f xml:space="preserve"> Finstat!W$52</f>
        <v>6679.7485736952076</v>
      </c>
      <c r="X15" s="196">
        <f xml:space="preserve"> Finstat!X$52</f>
        <v>7052.741941658649</v>
      </c>
      <c r="Y15" s="196">
        <f xml:space="preserve"> Finstat!Y$52</f>
        <v>7101.6652108655544</v>
      </c>
      <c r="Z15" s="196">
        <f xml:space="preserve"> Finstat!Z$52</f>
        <v>6770.5642087619708</v>
      </c>
      <c r="AA15" s="196">
        <f xml:space="preserve"> Finstat!AA$52</f>
        <v>6957.315731757255</v>
      </c>
      <c r="AB15" s="196">
        <f xml:space="preserve"> Finstat!AB$52</f>
        <v>6747.6019038196464</v>
      </c>
      <c r="AC15" s="196">
        <f xml:space="preserve"> Finstat!AC$52</f>
        <v>6607.3645984969226</v>
      </c>
      <c r="AD15" s="196">
        <f xml:space="preserve"> Finstat!AD$52</f>
        <v>6854.7260366058617</v>
      </c>
      <c r="AE15" s="196">
        <f xml:space="preserve"> Finstat!AE$52</f>
        <v>7105.9088349407102</v>
      </c>
      <c r="AF15" s="196">
        <f xml:space="preserve"> Finstat!AF$52</f>
        <v>6852.5904507800078</v>
      </c>
      <c r="AG15" s="196">
        <f xml:space="preserve"> Finstat!AG$52</f>
        <v>7115.4838878899245</v>
      </c>
      <c r="AH15" s="196">
        <f xml:space="preserve"> Finstat!AH$52</f>
        <v>6986.9625611588708</v>
      </c>
      <c r="AI15" s="196">
        <f xml:space="preserve"> Finstat!AI$52</f>
        <v>7081.9136182649781</v>
      </c>
      <c r="AJ15" s="196">
        <f xml:space="preserve"> Finstat!AJ$52</f>
        <v>6820.8672969819199</v>
      </c>
      <c r="AK15" s="196">
        <f xml:space="preserve"> Finstat!AK$52</f>
        <v>7104.6160147483897</v>
      </c>
      <c r="AL15" s="196">
        <f xml:space="preserve"> Finstat!AL$52</f>
        <v>6839.4273908582618</v>
      </c>
      <c r="AM15" s="196">
        <f xml:space="preserve"> Finstat!AM$52</f>
        <v>6875.9245214518378</v>
      </c>
      <c r="AN15" s="196">
        <f xml:space="preserve"> Finstat!AN$52</f>
        <v>6942.1844597405761</v>
      </c>
      <c r="AO15" s="196">
        <f xml:space="preserve"> Finstat!AO$52</f>
        <v>7291.4748017445017</v>
      </c>
      <c r="AP15" s="196">
        <f xml:space="preserve"> Finstat!AP$52</f>
        <v>6967.1402542049909</v>
      </c>
      <c r="AQ15" s="196">
        <f xml:space="preserve"> Finstat!AQ$52</f>
        <v>7329.100738860041</v>
      </c>
      <c r="AR15" s="196">
        <f xml:space="preserve"> Finstat!AR$52</f>
        <v>6998.6032792639417</v>
      </c>
      <c r="AS15" s="196">
        <f xml:space="preserve"> Finstat!AS$52</f>
        <v>7368.6813497910334</v>
      </c>
      <c r="AT15" s="196">
        <f xml:space="preserve"> Finstat!AT$52</f>
        <v>7027.5397617001363</v>
      </c>
      <c r="AU15" s="196">
        <f xml:space="preserve"> Finstat!AU$52</f>
        <v>7408.1870122351065</v>
      </c>
      <c r="AV15" s="196">
        <f xml:space="preserve"> Finstat!AV$52</f>
        <v>7058.5577560739257</v>
      </c>
      <c r="AW15" s="196">
        <f xml:space="preserve"> Finstat!AW$52</f>
        <v>7055.2690997261852</v>
      </c>
      <c r="AX15" s="196">
        <f xml:space="preserve"> Finstat!AX$52</f>
        <v>7222.8107573686211</v>
      </c>
      <c r="AY15" s="196">
        <f xml:space="preserve"> Finstat!AY$52</f>
        <v>7678.729954429491</v>
      </c>
      <c r="AZ15" s="196">
        <f xml:space="preserve"> Finstat!AZ$52</f>
        <v>7254.9868146571789</v>
      </c>
      <c r="BA15" s="196">
        <f xml:space="preserve"> Finstat!BA$52</f>
        <v>7718.9019601722684</v>
      </c>
      <c r="BB15" s="196">
        <f xml:space="preserve"> Finstat!BB$52</f>
        <v>26355.226543934212</v>
      </c>
      <c r="BC15" s="196">
        <f xml:space="preserve"> Finstat!BC$52</f>
        <v>26665.4957125605</v>
      </c>
      <c r="BD15" s="196">
        <f xml:space="preserve"> Finstat!BD$52</f>
        <v>26679.509517069491</v>
      </c>
      <c r="BE15" s="196">
        <f xml:space="preserve"> Finstat!BE$52</f>
        <v>27238.761751659724</v>
      </c>
      <c r="BF15" s="196">
        <f xml:space="preserve"> Finstat!BF$52</f>
        <v>27132.130690617203</v>
      </c>
      <c r="BG15" s="196">
        <f xml:space="preserve"> Finstat!BG$52</f>
        <v>27708.238269792957</v>
      </c>
      <c r="BH15" s="196">
        <f xml:space="preserve"> Finstat!BH$52</f>
        <v>27730.379693491417</v>
      </c>
      <c r="BI15" s="196">
        <f xml:space="preserve"> Finstat!BI$52</f>
        <v>27173.623053413656</v>
      </c>
      <c r="BJ15" s="196">
        <f xml:space="preserve"> Finstat!BJ$52</f>
        <v>29384.936361395878</v>
      </c>
      <c r="BK15" s="196">
        <f xml:space="preserve"> Finstat!BK$52</f>
        <v>27650.661466390051</v>
      </c>
      <c r="BL15" s="196">
        <f xml:space="preserve"> Finstat!BL$52</f>
        <v>30054.355071744991</v>
      </c>
      <c r="BM15" s="196">
        <f xml:space="preserve"> Finstat!BM$52</f>
        <v>28279.983539298279</v>
      </c>
      <c r="BN15" s="196">
        <f xml:space="preserve"> Finstat!BN$52</f>
        <v>30746.866707974674</v>
      </c>
      <c r="BO15" s="196">
        <f xml:space="preserve"> Finstat!BO$52</f>
        <v>28931.078249245016</v>
      </c>
      <c r="BP15" s="196">
        <f xml:space="preserve"> Finstat!BP$52</f>
        <v>31462.428741065087</v>
      </c>
      <c r="BQ15" s="196">
        <f xml:space="preserve"> Finstat!BQ$52</f>
        <v>29603.901052597634</v>
      </c>
      <c r="BR15" s="196">
        <f xml:space="preserve"> Finstat!BR$52</f>
        <v>30914.484995175917</v>
      </c>
      <c r="BS15" s="196">
        <f xml:space="preserve"> Finstat!BS$52</f>
        <v>31601.01961146824</v>
      </c>
      <c r="BT15" s="196">
        <f xml:space="preserve"> Finstat!BT$52</f>
        <v>31972.652849087732</v>
      </c>
      <c r="BU15" s="196">
        <f xml:space="preserve"> Finstat!BU$52</f>
        <v>32349.94987889695</v>
      </c>
      <c r="BV15" s="196">
        <f xml:space="preserve"> Finstat!BV$52</f>
        <v>38197.796604595904</v>
      </c>
      <c r="BW15" s="196">
        <f xml:space="preserve"> Finstat!BW$52</f>
        <v>0</v>
      </c>
      <c r="BX15" s="196">
        <f xml:space="preserve"> Finstat!BX$52</f>
        <v>0</v>
      </c>
      <c r="BY15" s="196">
        <f xml:space="preserve"> Finstat!BY$52</f>
        <v>0</v>
      </c>
      <c r="BZ15" s="196">
        <f xml:space="preserve"> Finstat!BZ$52</f>
        <v>0</v>
      </c>
      <c r="CA15" s="196">
        <f xml:space="preserve"> Finstat!CA$52</f>
        <v>0</v>
      </c>
    </row>
    <row r="16" spans="1:79" x14ac:dyDescent="0.2">
      <c r="E16" s="85" t="s">
        <v>349</v>
      </c>
      <c r="J16" s="85">
        <f xml:space="preserve"> SUM(J14:J15)</f>
        <v>0</v>
      </c>
      <c r="K16" s="85">
        <f t="shared" ref="K16:BV16" si="2" xml:space="preserve"> SUM(K14:K15)</f>
        <v>0</v>
      </c>
      <c r="L16" s="85">
        <f t="shared" si="2"/>
        <v>0</v>
      </c>
      <c r="M16" s="85">
        <f t="shared" si="2"/>
        <v>0</v>
      </c>
      <c r="N16" s="85">
        <f t="shared" si="2"/>
        <v>0</v>
      </c>
      <c r="O16" s="85">
        <f t="shared" si="2"/>
        <v>0</v>
      </c>
      <c r="P16" s="85">
        <f t="shared" si="2"/>
        <v>4006.8110803501586</v>
      </c>
      <c r="Q16" s="85">
        <f t="shared" si="2"/>
        <v>8588.7100229398784</v>
      </c>
      <c r="R16" s="85">
        <f t="shared" si="2"/>
        <v>6847.1730507980828</v>
      </c>
      <c r="S16" s="85">
        <f t="shared" si="2"/>
        <v>7335.4697624993314</v>
      </c>
      <c r="T16" s="85">
        <f t="shared" si="2"/>
        <v>6795.67227243042</v>
      </c>
      <c r="U16" s="85">
        <f t="shared" si="2"/>
        <v>7019.0445788575416</v>
      </c>
      <c r="V16" s="85">
        <f t="shared" si="2"/>
        <v>6780.964806829099</v>
      </c>
      <c r="W16" s="85">
        <f t="shared" si="2"/>
        <v>6679.7485736952076</v>
      </c>
      <c r="X16" s="85">
        <f t="shared" si="2"/>
        <v>7052.741941658649</v>
      </c>
      <c r="Y16" s="85">
        <f t="shared" si="2"/>
        <v>7101.6652108655544</v>
      </c>
      <c r="Z16" s="85">
        <f t="shared" si="2"/>
        <v>6770.5642087619708</v>
      </c>
      <c r="AA16" s="85">
        <f t="shared" si="2"/>
        <v>6957.315731757255</v>
      </c>
      <c r="AB16" s="85">
        <f t="shared" si="2"/>
        <v>6747.6019038196464</v>
      </c>
      <c r="AC16" s="85">
        <f t="shared" si="2"/>
        <v>8201.1679663031973</v>
      </c>
      <c r="AD16" s="85">
        <f t="shared" si="2"/>
        <v>11742.08082995694</v>
      </c>
      <c r="AE16" s="85">
        <f t="shared" si="2"/>
        <v>14808.690294363067</v>
      </c>
      <c r="AF16" s="85">
        <f t="shared" si="2"/>
        <v>17081.566222669979</v>
      </c>
      <c r="AG16" s="85">
        <f t="shared" si="2"/>
        <v>19357.18853055517</v>
      </c>
      <c r="AH16" s="85">
        <f t="shared" si="2"/>
        <v>20938.111644970937</v>
      </c>
      <c r="AI16" s="85">
        <f t="shared" si="2"/>
        <v>22334.244067641495</v>
      </c>
      <c r="AJ16" s="85">
        <f t="shared" si="2"/>
        <v>22454.372716481881</v>
      </c>
      <c r="AK16" s="85">
        <f t="shared" si="2"/>
        <v>22554.774534164655</v>
      </c>
      <c r="AL16" s="85">
        <f t="shared" si="2"/>
        <v>21763.725656556519</v>
      </c>
      <c r="AM16" s="85">
        <f t="shared" si="2"/>
        <v>20682.850622496924</v>
      </c>
      <c r="AN16" s="85">
        <f t="shared" si="2"/>
        <v>19010.26636879296</v>
      </c>
      <c r="AO16" s="85">
        <f t="shared" si="2"/>
        <v>16979.900173489656</v>
      </c>
      <c r="AP16" s="85">
        <f t="shared" si="2"/>
        <v>13892.248211660664</v>
      </c>
      <c r="AQ16" s="85">
        <f t="shared" si="2"/>
        <v>10803.739111954999</v>
      </c>
      <c r="AR16" s="85">
        <f t="shared" si="2"/>
        <v>6998.6032792639417</v>
      </c>
      <c r="AS16" s="85">
        <f t="shared" si="2"/>
        <v>7368.6813497910334</v>
      </c>
      <c r="AT16" s="85">
        <f t="shared" si="2"/>
        <v>7027.5397617001363</v>
      </c>
      <c r="AU16" s="85">
        <f t="shared" si="2"/>
        <v>7408.1870122351065</v>
      </c>
      <c r="AV16" s="85">
        <f t="shared" si="2"/>
        <v>7058.5577560739257</v>
      </c>
      <c r="AW16" s="85">
        <f t="shared" si="2"/>
        <v>7055.2690997261852</v>
      </c>
      <c r="AX16" s="85">
        <f t="shared" si="2"/>
        <v>7222.8107573686211</v>
      </c>
      <c r="AY16" s="85">
        <f t="shared" si="2"/>
        <v>7678.729954429491</v>
      </c>
      <c r="AZ16" s="85">
        <f t="shared" si="2"/>
        <v>7254.9868146571789</v>
      </c>
      <c r="BA16" s="85">
        <f t="shared" si="2"/>
        <v>7718.9019601722684</v>
      </c>
      <c r="BB16" s="85">
        <f t="shared" si="2"/>
        <v>26355.226543934212</v>
      </c>
      <c r="BC16" s="85">
        <f t="shared" si="2"/>
        <v>26665.4957125605</v>
      </c>
      <c r="BD16" s="85">
        <f t="shared" si="2"/>
        <v>26679.509517069491</v>
      </c>
      <c r="BE16" s="85">
        <f t="shared" si="2"/>
        <v>27238.761751659724</v>
      </c>
      <c r="BF16" s="85">
        <f t="shared" si="2"/>
        <v>27132.130690617203</v>
      </c>
      <c r="BG16" s="85">
        <f t="shared" si="2"/>
        <v>27708.238269792957</v>
      </c>
      <c r="BH16" s="85">
        <f t="shared" si="2"/>
        <v>27730.379693491417</v>
      </c>
      <c r="BI16" s="85">
        <f t="shared" si="2"/>
        <v>27173.623053413656</v>
      </c>
      <c r="BJ16" s="85">
        <f t="shared" si="2"/>
        <v>29384.936361395878</v>
      </c>
      <c r="BK16" s="85">
        <f t="shared" si="2"/>
        <v>27650.661466390051</v>
      </c>
      <c r="BL16" s="85">
        <f t="shared" si="2"/>
        <v>30054.355071744991</v>
      </c>
      <c r="BM16" s="85">
        <f t="shared" si="2"/>
        <v>28279.983539298279</v>
      </c>
      <c r="BN16" s="85">
        <f t="shared" si="2"/>
        <v>30746.866707974674</v>
      </c>
      <c r="BO16" s="85">
        <f t="shared" si="2"/>
        <v>28931.078249245016</v>
      </c>
      <c r="BP16" s="85">
        <f t="shared" si="2"/>
        <v>31462.428741065087</v>
      </c>
      <c r="BQ16" s="85">
        <f t="shared" si="2"/>
        <v>29603.901052597634</v>
      </c>
      <c r="BR16" s="85">
        <f t="shared" si="2"/>
        <v>30914.484995175917</v>
      </c>
      <c r="BS16" s="85">
        <f t="shared" si="2"/>
        <v>31601.01961146824</v>
      </c>
      <c r="BT16" s="85">
        <f t="shared" si="2"/>
        <v>31972.652849087732</v>
      </c>
      <c r="BU16" s="85">
        <f t="shared" si="2"/>
        <v>32349.94987889695</v>
      </c>
      <c r="BV16" s="85">
        <f t="shared" si="2"/>
        <v>38197.796604595904</v>
      </c>
      <c r="BW16" s="85">
        <f t="shared" ref="BW16:CA16" si="3" xml:space="preserve"> SUM(BW14:BW15)</f>
        <v>5.0931703299283981E-11</v>
      </c>
      <c r="BX16" s="85">
        <f t="shared" si="3"/>
        <v>5.0931703299283981E-11</v>
      </c>
      <c r="BY16" s="85">
        <f t="shared" si="3"/>
        <v>5.0931703299283981E-11</v>
      </c>
      <c r="BZ16" s="85">
        <f t="shared" si="3"/>
        <v>5.0931703299283981E-11</v>
      </c>
      <c r="CA16" s="85">
        <f t="shared" si="3"/>
        <v>5.0931703299283981E-11</v>
      </c>
    </row>
    <row r="18" spans="1:79" x14ac:dyDescent="0.2">
      <c r="E18" s="85" t="str">
        <f xml:space="preserve"> E$16</f>
        <v>Total cash balance available for shareholder loan</v>
      </c>
      <c r="G18" s="85">
        <f t="shared" ref="F18:BQ18" si="4" xml:space="preserve"> G$16</f>
        <v>0</v>
      </c>
      <c r="H18" s="85">
        <f t="shared" si="4"/>
        <v>0</v>
      </c>
      <c r="I18" s="85">
        <f t="shared" si="4"/>
        <v>0</v>
      </c>
      <c r="J18" s="85">
        <f t="shared" si="4"/>
        <v>0</v>
      </c>
      <c r="K18" s="85">
        <f t="shared" si="4"/>
        <v>0</v>
      </c>
      <c r="L18" s="85">
        <f t="shared" si="4"/>
        <v>0</v>
      </c>
      <c r="M18" s="85">
        <f t="shared" si="4"/>
        <v>0</v>
      </c>
      <c r="N18" s="85">
        <f t="shared" si="4"/>
        <v>0</v>
      </c>
      <c r="O18" s="85">
        <f t="shared" si="4"/>
        <v>0</v>
      </c>
      <c r="P18" s="85">
        <f t="shared" si="4"/>
        <v>4006.8110803501586</v>
      </c>
      <c r="Q18" s="85">
        <f t="shared" si="4"/>
        <v>8588.7100229398784</v>
      </c>
      <c r="R18" s="85">
        <f t="shared" si="4"/>
        <v>6847.1730507980828</v>
      </c>
      <c r="S18" s="85">
        <f t="shared" si="4"/>
        <v>7335.4697624993314</v>
      </c>
      <c r="T18" s="85">
        <f t="shared" si="4"/>
        <v>6795.67227243042</v>
      </c>
      <c r="U18" s="85">
        <f t="shared" si="4"/>
        <v>7019.0445788575416</v>
      </c>
      <c r="V18" s="85">
        <f t="shared" si="4"/>
        <v>6780.964806829099</v>
      </c>
      <c r="W18" s="85">
        <f t="shared" si="4"/>
        <v>6679.7485736952076</v>
      </c>
      <c r="X18" s="85">
        <f t="shared" si="4"/>
        <v>7052.741941658649</v>
      </c>
      <c r="Y18" s="85">
        <f t="shared" si="4"/>
        <v>7101.6652108655544</v>
      </c>
      <c r="Z18" s="85">
        <f t="shared" si="4"/>
        <v>6770.5642087619708</v>
      </c>
      <c r="AA18" s="85">
        <f t="shared" si="4"/>
        <v>6957.315731757255</v>
      </c>
      <c r="AB18" s="85">
        <f t="shared" si="4"/>
        <v>6747.6019038196464</v>
      </c>
      <c r="AC18" s="85">
        <f t="shared" si="4"/>
        <v>8201.1679663031973</v>
      </c>
      <c r="AD18" s="85">
        <f t="shared" si="4"/>
        <v>11742.08082995694</v>
      </c>
      <c r="AE18" s="85">
        <f t="shared" si="4"/>
        <v>14808.690294363067</v>
      </c>
      <c r="AF18" s="85">
        <f t="shared" si="4"/>
        <v>17081.566222669979</v>
      </c>
      <c r="AG18" s="85">
        <f t="shared" si="4"/>
        <v>19357.18853055517</v>
      </c>
      <c r="AH18" s="85">
        <f t="shared" si="4"/>
        <v>20938.111644970937</v>
      </c>
      <c r="AI18" s="85">
        <f t="shared" si="4"/>
        <v>22334.244067641495</v>
      </c>
      <c r="AJ18" s="85">
        <f t="shared" si="4"/>
        <v>22454.372716481881</v>
      </c>
      <c r="AK18" s="85">
        <f t="shared" si="4"/>
        <v>22554.774534164655</v>
      </c>
      <c r="AL18" s="85">
        <f t="shared" si="4"/>
        <v>21763.725656556519</v>
      </c>
      <c r="AM18" s="85">
        <f t="shared" si="4"/>
        <v>20682.850622496924</v>
      </c>
      <c r="AN18" s="85">
        <f t="shared" si="4"/>
        <v>19010.26636879296</v>
      </c>
      <c r="AO18" s="85">
        <f t="shared" si="4"/>
        <v>16979.900173489656</v>
      </c>
      <c r="AP18" s="85">
        <f t="shared" si="4"/>
        <v>13892.248211660664</v>
      </c>
      <c r="AQ18" s="85">
        <f t="shared" si="4"/>
        <v>10803.739111954999</v>
      </c>
      <c r="AR18" s="85">
        <f t="shared" si="4"/>
        <v>6998.6032792639417</v>
      </c>
      <c r="AS18" s="85">
        <f t="shared" si="4"/>
        <v>7368.6813497910334</v>
      </c>
      <c r="AT18" s="85">
        <f t="shared" si="4"/>
        <v>7027.5397617001363</v>
      </c>
      <c r="AU18" s="85">
        <f t="shared" si="4"/>
        <v>7408.1870122351065</v>
      </c>
      <c r="AV18" s="85">
        <f t="shared" si="4"/>
        <v>7058.5577560739257</v>
      </c>
      <c r="AW18" s="85">
        <f t="shared" si="4"/>
        <v>7055.2690997261852</v>
      </c>
      <c r="AX18" s="85">
        <f t="shared" si="4"/>
        <v>7222.8107573686211</v>
      </c>
      <c r="AY18" s="85">
        <f t="shared" si="4"/>
        <v>7678.729954429491</v>
      </c>
      <c r="AZ18" s="85">
        <f t="shared" si="4"/>
        <v>7254.9868146571789</v>
      </c>
      <c r="BA18" s="85">
        <f t="shared" si="4"/>
        <v>7718.9019601722684</v>
      </c>
      <c r="BB18" s="85">
        <f t="shared" si="4"/>
        <v>26355.226543934212</v>
      </c>
      <c r="BC18" s="85">
        <f t="shared" si="4"/>
        <v>26665.4957125605</v>
      </c>
      <c r="BD18" s="85">
        <f t="shared" si="4"/>
        <v>26679.509517069491</v>
      </c>
      <c r="BE18" s="85">
        <f t="shared" si="4"/>
        <v>27238.761751659724</v>
      </c>
      <c r="BF18" s="85">
        <f t="shared" si="4"/>
        <v>27132.130690617203</v>
      </c>
      <c r="BG18" s="85">
        <f t="shared" si="4"/>
        <v>27708.238269792957</v>
      </c>
      <c r="BH18" s="85">
        <f t="shared" si="4"/>
        <v>27730.379693491417</v>
      </c>
      <c r="BI18" s="85">
        <f t="shared" si="4"/>
        <v>27173.623053413656</v>
      </c>
      <c r="BJ18" s="85">
        <f t="shared" si="4"/>
        <v>29384.936361395878</v>
      </c>
      <c r="BK18" s="85">
        <f t="shared" si="4"/>
        <v>27650.661466390051</v>
      </c>
      <c r="BL18" s="85">
        <f t="shared" si="4"/>
        <v>30054.355071744991</v>
      </c>
      <c r="BM18" s="85">
        <f t="shared" si="4"/>
        <v>28279.983539298279</v>
      </c>
      <c r="BN18" s="85">
        <f t="shared" si="4"/>
        <v>30746.866707974674</v>
      </c>
      <c r="BO18" s="85">
        <f t="shared" si="4"/>
        <v>28931.078249245016</v>
      </c>
      <c r="BP18" s="85">
        <f t="shared" si="4"/>
        <v>31462.428741065087</v>
      </c>
      <c r="BQ18" s="85">
        <f t="shared" si="4"/>
        <v>29603.901052597634</v>
      </c>
      <c r="BR18" s="85">
        <f t="shared" ref="BR18:CA18" si="5" xml:space="preserve"> BR$16</f>
        <v>30914.484995175917</v>
      </c>
      <c r="BS18" s="85">
        <f t="shared" si="5"/>
        <v>31601.01961146824</v>
      </c>
      <c r="BT18" s="85">
        <f t="shared" si="5"/>
        <v>31972.652849087732</v>
      </c>
      <c r="BU18" s="85">
        <f t="shared" si="5"/>
        <v>32349.94987889695</v>
      </c>
      <c r="BV18" s="85">
        <f t="shared" si="5"/>
        <v>38197.796604595904</v>
      </c>
      <c r="BW18" s="85">
        <f t="shared" si="5"/>
        <v>5.0931703299283981E-11</v>
      </c>
      <c r="BX18" s="85">
        <f t="shared" si="5"/>
        <v>5.0931703299283981E-11</v>
      </c>
      <c r="BY18" s="85">
        <f t="shared" si="5"/>
        <v>5.0931703299283981E-11</v>
      </c>
      <c r="BZ18" s="85">
        <f t="shared" si="5"/>
        <v>5.0931703299283981E-11</v>
      </c>
      <c r="CA18" s="85">
        <f t="shared" si="5"/>
        <v>5.0931703299283981E-11</v>
      </c>
    </row>
    <row r="19" spans="1:79" s="160" customFormat="1" x14ac:dyDescent="0.2">
      <c r="A19" s="157"/>
      <c r="B19" s="157"/>
      <c r="C19" s="158"/>
      <c r="D19" s="159"/>
      <c r="E19" s="160" t="str">
        <f xml:space="preserve"> E$33</f>
        <v>Shareholder loan balance BEG</v>
      </c>
      <c r="F19" s="160">
        <f t="shared" ref="F19:BQ19" si="6" xml:space="preserve"> F$33</f>
        <v>0</v>
      </c>
      <c r="G19" s="160" t="str">
        <f t="shared" si="6"/>
        <v>€ 000s</v>
      </c>
      <c r="H19" s="160">
        <f t="shared" si="6"/>
        <v>0</v>
      </c>
      <c r="I19" s="160">
        <f t="shared" si="6"/>
        <v>0</v>
      </c>
      <c r="J19" s="160">
        <f t="shared" si="6"/>
        <v>0</v>
      </c>
      <c r="K19" s="160">
        <f t="shared" si="6"/>
        <v>0</v>
      </c>
      <c r="L19" s="160">
        <f t="shared" si="6"/>
        <v>0</v>
      </c>
      <c r="M19" s="160">
        <f t="shared" si="6"/>
        <v>0</v>
      </c>
      <c r="N19" s="160">
        <f t="shared" si="6"/>
        <v>0</v>
      </c>
      <c r="O19" s="160">
        <f t="shared" si="6"/>
        <v>79680.988936574955</v>
      </c>
      <c r="P19" s="160">
        <f t="shared" si="6"/>
        <v>79680.988936574955</v>
      </c>
      <c r="Q19" s="160">
        <f t="shared" si="6"/>
        <v>75674.177856224793</v>
      </c>
      <c r="R19" s="160">
        <f t="shared" si="6"/>
        <v>67085.467833284914</v>
      </c>
      <c r="S19" s="160">
        <f t="shared" si="6"/>
        <v>60238.294782486832</v>
      </c>
      <c r="T19" s="160">
        <f t="shared" si="6"/>
        <v>52902.825019987504</v>
      </c>
      <c r="U19" s="160">
        <f t="shared" si="6"/>
        <v>46107.152747557084</v>
      </c>
      <c r="V19" s="160">
        <f t="shared" si="6"/>
        <v>39088.108168699546</v>
      </c>
      <c r="W19" s="160">
        <f t="shared" si="6"/>
        <v>32307.143361870447</v>
      </c>
      <c r="X19" s="160">
        <f t="shared" si="6"/>
        <v>25627.394788175239</v>
      </c>
      <c r="Y19" s="160">
        <f t="shared" si="6"/>
        <v>18574.65284651659</v>
      </c>
      <c r="Z19" s="160">
        <f t="shared" si="6"/>
        <v>11472.987635651036</v>
      </c>
      <c r="AA19" s="160">
        <f t="shared" si="6"/>
        <v>4702.423426889065</v>
      </c>
      <c r="AB19" s="160">
        <f t="shared" si="6"/>
        <v>0</v>
      </c>
      <c r="AC19" s="160">
        <f t="shared" si="6"/>
        <v>0</v>
      </c>
      <c r="AD19" s="160">
        <f t="shared" si="6"/>
        <v>0</v>
      </c>
      <c r="AE19" s="160">
        <f t="shared" si="6"/>
        <v>0</v>
      </c>
      <c r="AF19" s="160">
        <f t="shared" si="6"/>
        <v>0</v>
      </c>
      <c r="AG19" s="160">
        <f t="shared" si="6"/>
        <v>0</v>
      </c>
      <c r="AH19" s="160">
        <f t="shared" si="6"/>
        <v>0</v>
      </c>
      <c r="AI19" s="160">
        <f t="shared" si="6"/>
        <v>0</v>
      </c>
      <c r="AJ19" s="160">
        <f t="shared" si="6"/>
        <v>0</v>
      </c>
      <c r="AK19" s="160">
        <f t="shared" si="6"/>
        <v>0</v>
      </c>
      <c r="AL19" s="160">
        <f t="shared" si="6"/>
        <v>0</v>
      </c>
      <c r="AM19" s="160">
        <f t="shared" si="6"/>
        <v>0</v>
      </c>
      <c r="AN19" s="160">
        <f t="shared" si="6"/>
        <v>0</v>
      </c>
      <c r="AO19" s="160">
        <f t="shared" si="6"/>
        <v>0</v>
      </c>
      <c r="AP19" s="160">
        <f t="shared" si="6"/>
        <v>0</v>
      </c>
      <c r="AQ19" s="160">
        <f t="shared" si="6"/>
        <v>0</v>
      </c>
      <c r="AR19" s="160">
        <f t="shared" si="6"/>
        <v>0</v>
      </c>
      <c r="AS19" s="160">
        <f t="shared" si="6"/>
        <v>0</v>
      </c>
      <c r="AT19" s="160">
        <f t="shared" si="6"/>
        <v>0</v>
      </c>
      <c r="AU19" s="160">
        <f t="shared" si="6"/>
        <v>0</v>
      </c>
      <c r="AV19" s="160">
        <f t="shared" si="6"/>
        <v>0</v>
      </c>
      <c r="AW19" s="160">
        <f t="shared" si="6"/>
        <v>0</v>
      </c>
      <c r="AX19" s="160">
        <f t="shared" si="6"/>
        <v>0</v>
      </c>
      <c r="AY19" s="160">
        <f t="shared" si="6"/>
        <v>0</v>
      </c>
      <c r="AZ19" s="160">
        <f t="shared" si="6"/>
        <v>0</v>
      </c>
      <c r="BA19" s="160">
        <f t="shared" si="6"/>
        <v>0</v>
      </c>
      <c r="BB19" s="160">
        <f t="shared" si="6"/>
        <v>0</v>
      </c>
      <c r="BC19" s="160">
        <f t="shared" si="6"/>
        <v>0</v>
      </c>
      <c r="BD19" s="160">
        <f t="shared" si="6"/>
        <v>0</v>
      </c>
      <c r="BE19" s="160">
        <f t="shared" si="6"/>
        <v>0</v>
      </c>
      <c r="BF19" s="160">
        <f t="shared" si="6"/>
        <v>0</v>
      </c>
      <c r="BG19" s="160">
        <f t="shared" si="6"/>
        <v>0</v>
      </c>
      <c r="BH19" s="160">
        <f t="shared" si="6"/>
        <v>0</v>
      </c>
      <c r="BI19" s="160">
        <f t="shared" si="6"/>
        <v>0</v>
      </c>
      <c r="BJ19" s="160">
        <f t="shared" si="6"/>
        <v>0</v>
      </c>
      <c r="BK19" s="160">
        <f t="shared" si="6"/>
        <v>0</v>
      </c>
      <c r="BL19" s="160">
        <f t="shared" si="6"/>
        <v>0</v>
      </c>
      <c r="BM19" s="160">
        <f t="shared" si="6"/>
        <v>0</v>
      </c>
      <c r="BN19" s="160">
        <f t="shared" si="6"/>
        <v>0</v>
      </c>
      <c r="BO19" s="160">
        <f t="shared" si="6"/>
        <v>0</v>
      </c>
      <c r="BP19" s="160">
        <f t="shared" si="6"/>
        <v>0</v>
      </c>
      <c r="BQ19" s="160">
        <f t="shared" si="6"/>
        <v>0</v>
      </c>
      <c r="BR19" s="160">
        <f t="shared" ref="BR19:CA19" si="7" xml:space="preserve"> BR$33</f>
        <v>0</v>
      </c>
      <c r="BS19" s="160">
        <f t="shared" si="7"/>
        <v>0</v>
      </c>
      <c r="BT19" s="160">
        <f t="shared" si="7"/>
        <v>0</v>
      </c>
      <c r="BU19" s="160">
        <f t="shared" si="7"/>
        <v>0</v>
      </c>
      <c r="BV19" s="160">
        <f t="shared" si="7"/>
        <v>0</v>
      </c>
      <c r="BW19" s="160">
        <f t="shared" si="7"/>
        <v>0</v>
      </c>
      <c r="BX19" s="160">
        <f t="shared" si="7"/>
        <v>0</v>
      </c>
      <c r="BY19" s="160">
        <f t="shared" si="7"/>
        <v>0</v>
      </c>
      <c r="BZ19" s="160">
        <f t="shared" si="7"/>
        <v>0</v>
      </c>
      <c r="CA19" s="160">
        <f t="shared" si="7"/>
        <v>0</v>
      </c>
    </row>
    <row r="20" spans="1:79" x14ac:dyDescent="0.2">
      <c r="E20" s="85" t="s">
        <v>350</v>
      </c>
      <c r="J20" s="85">
        <f xml:space="preserve"> MIN(J18:J19)</f>
        <v>0</v>
      </c>
      <c r="K20" s="85">
        <f t="shared" ref="K20:BV20" si="8" xml:space="preserve"> MIN(K18:K19)</f>
        <v>0</v>
      </c>
      <c r="L20" s="85">
        <f t="shared" si="8"/>
        <v>0</v>
      </c>
      <c r="M20" s="85">
        <f t="shared" si="8"/>
        <v>0</v>
      </c>
      <c r="N20" s="85">
        <f t="shared" si="8"/>
        <v>0</v>
      </c>
      <c r="O20" s="85">
        <f t="shared" si="8"/>
        <v>0</v>
      </c>
      <c r="P20" s="85">
        <f t="shared" si="8"/>
        <v>4006.8110803501586</v>
      </c>
      <c r="Q20" s="85">
        <f t="shared" si="8"/>
        <v>8588.7100229398784</v>
      </c>
      <c r="R20" s="85">
        <f t="shared" si="8"/>
        <v>6847.1730507980828</v>
      </c>
      <c r="S20" s="85">
        <f t="shared" si="8"/>
        <v>7335.4697624993314</v>
      </c>
      <c r="T20" s="85">
        <f t="shared" si="8"/>
        <v>6795.67227243042</v>
      </c>
      <c r="U20" s="85">
        <f t="shared" si="8"/>
        <v>7019.0445788575416</v>
      </c>
      <c r="V20" s="85">
        <f t="shared" si="8"/>
        <v>6780.964806829099</v>
      </c>
      <c r="W20" s="85">
        <f t="shared" si="8"/>
        <v>6679.7485736952076</v>
      </c>
      <c r="X20" s="85">
        <f t="shared" si="8"/>
        <v>7052.741941658649</v>
      </c>
      <c r="Y20" s="85">
        <f t="shared" si="8"/>
        <v>7101.6652108655544</v>
      </c>
      <c r="Z20" s="85">
        <f t="shared" si="8"/>
        <v>6770.5642087619708</v>
      </c>
      <c r="AA20" s="85">
        <f t="shared" si="8"/>
        <v>4702.423426889065</v>
      </c>
      <c r="AB20" s="85">
        <f t="shared" si="8"/>
        <v>0</v>
      </c>
      <c r="AC20" s="85">
        <f t="shared" si="8"/>
        <v>0</v>
      </c>
      <c r="AD20" s="85">
        <f t="shared" si="8"/>
        <v>0</v>
      </c>
      <c r="AE20" s="85">
        <f t="shared" si="8"/>
        <v>0</v>
      </c>
      <c r="AF20" s="85">
        <f t="shared" si="8"/>
        <v>0</v>
      </c>
      <c r="AG20" s="85">
        <f t="shared" si="8"/>
        <v>0</v>
      </c>
      <c r="AH20" s="85">
        <f t="shared" si="8"/>
        <v>0</v>
      </c>
      <c r="AI20" s="85">
        <f t="shared" si="8"/>
        <v>0</v>
      </c>
      <c r="AJ20" s="85">
        <f t="shared" si="8"/>
        <v>0</v>
      </c>
      <c r="AK20" s="85">
        <f t="shared" si="8"/>
        <v>0</v>
      </c>
      <c r="AL20" s="85">
        <f t="shared" si="8"/>
        <v>0</v>
      </c>
      <c r="AM20" s="85">
        <f t="shared" si="8"/>
        <v>0</v>
      </c>
      <c r="AN20" s="85">
        <f t="shared" si="8"/>
        <v>0</v>
      </c>
      <c r="AO20" s="85">
        <f t="shared" si="8"/>
        <v>0</v>
      </c>
      <c r="AP20" s="85">
        <f t="shared" si="8"/>
        <v>0</v>
      </c>
      <c r="AQ20" s="85">
        <f t="shared" si="8"/>
        <v>0</v>
      </c>
      <c r="AR20" s="85">
        <f t="shared" si="8"/>
        <v>0</v>
      </c>
      <c r="AS20" s="85">
        <f t="shared" si="8"/>
        <v>0</v>
      </c>
      <c r="AT20" s="85">
        <f t="shared" si="8"/>
        <v>0</v>
      </c>
      <c r="AU20" s="85">
        <f t="shared" si="8"/>
        <v>0</v>
      </c>
      <c r="AV20" s="85">
        <f t="shared" si="8"/>
        <v>0</v>
      </c>
      <c r="AW20" s="85">
        <f t="shared" si="8"/>
        <v>0</v>
      </c>
      <c r="AX20" s="85">
        <f t="shared" si="8"/>
        <v>0</v>
      </c>
      <c r="AY20" s="85">
        <f t="shared" si="8"/>
        <v>0</v>
      </c>
      <c r="AZ20" s="85">
        <f t="shared" si="8"/>
        <v>0</v>
      </c>
      <c r="BA20" s="85">
        <f t="shared" si="8"/>
        <v>0</v>
      </c>
      <c r="BB20" s="85">
        <f t="shared" si="8"/>
        <v>0</v>
      </c>
      <c r="BC20" s="85">
        <f t="shared" si="8"/>
        <v>0</v>
      </c>
      <c r="BD20" s="85">
        <f t="shared" si="8"/>
        <v>0</v>
      </c>
      <c r="BE20" s="85">
        <f t="shared" si="8"/>
        <v>0</v>
      </c>
      <c r="BF20" s="85">
        <f t="shared" si="8"/>
        <v>0</v>
      </c>
      <c r="BG20" s="85">
        <f t="shared" si="8"/>
        <v>0</v>
      </c>
      <c r="BH20" s="85">
        <f t="shared" si="8"/>
        <v>0</v>
      </c>
      <c r="BI20" s="85">
        <f t="shared" si="8"/>
        <v>0</v>
      </c>
      <c r="BJ20" s="85">
        <f t="shared" si="8"/>
        <v>0</v>
      </c>
      <c r="BK20" s="85">
        <f t="shared" si="8"/>
        <v>0</v>
      </c>
      <c r="BL20" s="85">
        <f t="shared" si="8"/>
        <v>0</v>
      </c>
      <c r="BM20" s="85">
        <f t="shared" si="8"/>
        <v>0</v>
      </c>
      <c r="BN20" s="85">
        <f t="shared" si="8"/>
        <v>0</v>
      </c>
      <c r="BO20" s="85">
        <f t="shared" si="8"/>
        <v>0</v>
      </c>
      <c r="BP20" s="85">
        <f t="shared" si="8"/>
        <v>0</v>
      </c>
      <c r="BQ20" s="85">
        <f t="shared" si="8"/>
        <v>0</v>
      </c>
      <c r="BR20" s="85">
        <f t="shared" si="8"/>
        <v>0</v>
      </c>
      <c r="BS20" s="85">
        <f t="shared" si="8"/>
        <v>0</v>
      </c>
      <c r="BT20" s="85">
        <f t="shared" si="8"/>
        <v>0</v>
      </c>
      <c r="BU20" s="85">
        <f t="shared" si="8"/>
        <v>0</v>
      </c>
      <c r="BV20" s="85">
        <f t="shared" si="8"/>
        <v>0</v>
      </c>
      <c r="BW20" s="85">
        <f t="shared" ref="BW20:CA20" si="9" xml:space="preserve"> MIN(BW18:BW19)</f>
        <v>0</v>
      </c>
      <c r="BX20" s="85">
        <f t="shared" si="9"/>
        <v>0</v>
      </c>
      <c r="BY20" s="85">
        <f t="shared" si="9"/>
        <v>0</v>
      </c>
      <c r="BZ20" s="85">
        <f t="shared" si="9"/>
        <v>0</v>
      </c>
      <c r="CA20" s="85">
        <f t="shared" si="9"/>
        <v>0</v>
      </c>
    </row>
    <row r="21" spans="1:79" s="140" customFormat="1" x14ac:dyDescent="0.2">
      <c r="A21" s="137"/>
      <c r="B21" s="137"/>
      <c r="C21" s="138"/>
      <c r="D21" s="139"/>
      <c r="E21" s="140" t="str">
        <f xml:space="preserve"> LEFT(E20, LEN(E20) - 4)</f>
        <v>Shareholder loan repayment</v>
      </c>
      <c r="G21" s="140">
        <f xml:space="preserve"> G20</f>
        <v>0</v>
      </c>
      <c r="H21" s="140">
        <f>SUM(J21:CA21)</f>
        <v>-79680.988936574955</v>
      </c>
      <c r="J21" s="140">
        <f t="shared" ref="J21:BU21" si="10" xml:space="preserve"> -1 * J20</f>
        <v>0</v>
      </c>
      <c r="K21" s="140">
        <f t="shared" si="10"/>
        <v>0</v>
      </c>
      <c r="L21" s="140">
        <f t="shared" si="10"/>
        <v>0</v>
      </c>
      <c r="M21" s="140">
        <f t="shared" si="10"/>
        <v>0</v>
      </c>
      <c r="N21" s="140">
        <f t="shared" si="10"/>
        <v>0</v>
      </c>
      <c r="O21" s="140">
        <f t="shared" si="10"/>
        <v>0</v>
      </c>
      <c r="P21" s="140">
        <f t="shared" si="10"/>
        <v>-4006.8110803501586</v>
      </c>
      <c r="Q21" s="140">
        <f t="shared" si="10"/>
        <v>-8588.7100229398784</v>
      </c>
      <c r="R21" s="140">
        <f t="shared" si="10"/>
        <v>-6847.1730507980828</v>
      </c>
      <c r="S21" s="140">
        <f t="shared" si="10"/>
        <v>-7335.4697624993314</v>
      </c>
      <c r="T21" s="140">
        <f t="shared" si="10"/>
        <v>-6795.67227243042</v>
      </c>
      <c r="U21" s="140">
        <f t="shared" si="10"/>
        <v>-7019.0445788575416</v>
      </c>
      <c r="V21" s="140">
        <f t="shared" si="10"/>
        <v>-6780.964806829099</v>
      </c>
      <c r="W21" s="140">
        <f t="shared" si="10"/>
        <v>-6679.7485736952076</v>
      </c>
      <c r="X21" s="140">
        <f t="shared" si="10"/>
        <v>-7052.741941658649</v>
      </c>
      <c r="Y21" s="140">
        <f t="shared" si="10"/>
        <v>-7101.6652108655544</v>
      </c>
      <c r="Z21" s="140">
        <f t="shared" si="10"/>
        <v>-6770.5642087619708</v>
      </c>
      <c r="AA21" s="140">
        <f t="shared" si="10"/>
        <v>-4702.423426889065</v>
      </c>
      <c r="AB21" s="140">
        <f t="shared" si="10"/>
        <v>0</v>
      </c>
      <c r="AC21" s="140">
        <f t="shared" si="10"/>
        <v>0</v>
      </c>
      <c r="AD21" s="140">
        <f t="shared" si="10"/>
        <v>0</v>
      </c>
      <c r="AE21" s="140">
        <f t="shared" si="10"/>
        <v>0</v>
      </c>
      <c r="AF21" s="140">
        <f t="shared" si="10"/>
        <v>0</v>
      </c>
      <c r="AG21" s="140">
        <f t="shared" si="10"/>
        <v>0</v>
      </c>
      <c r="AH21" s="140">
        <f t="shared" si="10"/>
        <v>0</v>
      </c>
      <c r="AI21" s="140">
        <f t="shared" si="10"/>
        <v>0</v>
      </c>
      <c r="AJ21" s="140">
        <f t="shared" si="10"/>
        <v>0</v>
      </c>
      <c r="AK21" s="140">
        <f t="shared" si="10"/>
        <v>0</v>
      </c>
      <c r="AL21" s="140">
        <f t="shared" si="10"/>
        <v>0</v>
      </c>
      <c r="AM21" s="140">
        <f t="shared" si="10"/>
        <v>0</v>
      </c>
      <c r="AN21" s="140">
        <f t="shared" si="10"/>
        <v>0</v>
      </c>
      <c r="AO21" s="140">
        <f t="shared" si="10"/>
        <v>0</v>
      </c>
      <c r="AP21" s="140">
        <f t="shared" si="10"/>
        <v>0</v>
      </c>
      <c r="AQ21" s="140">
        <f t="shared" si="10"/>
        <v>0</v>
      </c>
      <c r="AR21" s="140">
        <f t="shared" si="10"/>
        <v>0</v>
      </c>
      <c r="AS21" s="140">
        <f t="shared" si="10"/>
        <v>0</v>
      </c>
      <c r="AT21" s="140">
        <f t="shared" si="10"/>
        <v>0</v>
      </c>
      <c r="AU21" s="140">
        <f t="shared" si="10"/>
        <v>0</v>
      </c>
      <c r="AV21" s="140">
        <f t="shared" si="10"/>
        <v>0</v>
      </c>
      <c r="AW21" s="140">
        <f t="shared" si="10"/>
        <v>0</v>
      </c>
      <c r="AX21" s="140">
        <f t="shared" si="10"/>
        <v>0</v>
      </c>
      <c r="AY21" s="140">
        <f t="shared" si="10"/>
        <v>0</v>
      </c>
      <c r="AZ21" s="140">
        <f t="shared" si="10"/>
        <v>0</v>
      </c>
      <c r="BA21" s="140">
        <f t="shared" si="10"/>
        <v>0</v>
      </c>
      <c r="BB21" s="140">
        <f t="shared" si="10"/>
        <v>0</v>
      </c>
      <c r="BC21" s="140">
        <f t="shared" si="10"/>
        <v>0</v>
      </c>
      <c r="BD21" s="140">
        <f t="shared" si="10"/>
        <v>0</v>
      </c>
      <c r="BE21" s="140">
        <f t="shared" si="10"/>
        <v>0</v>
      </c>
      <c r="BF21" s="140">
        <f t="shared" si="10"/>
        <v>0</v>
      </c>
      <c r="BG21" s="140">
        <f t="shared" si="10"/>
        <v>0</v>
      </c>
      <c r="BH21" s="140">
        <f t="shared" si="10"/>
        <v>0</v>
      </c>
      <c r="BI21" s="140">
        <f t="shared" si="10"/>
        <v>0</v>
      </c>
      <c r="BJ21" s="140">
        <f t="shared" si="10"/>
        <v>0</v>
      </c>
      <c r="BK21" s="140">
        <f t="shared" si="10"/>
        <v>0</v>
      </c>
      <c r="BL21" s="140">
        <f t="shared" si="10"/>
        <v>0</v>
      </c>
      <c r="BM21" s="140">
        <f t="shared" si="10"/>
        <v>0</v>
      </c>
      <c r="BN21" s="140">
        <f t="shared" si="10"/>
        <v>0</v>
      </c>
      <c r="BO21" s="140">
        <f t="shared" si="10"/>
        <v>0</v>
      </c>
      <c r="BP21" s="140">
        <f t="shared" si="10"/>
        <v>0</v>
      </c>
      <c r="BQ21" s="140">
        <f t="shared" si="10"/>
        <v>0</v>
      </c>
      <c r="BR21" s="140">
        <f t="shared" si="10"/>
        <v>0</v>
      </c>
      <c r="BS21" s="140">
        <f t="shared" si="10"/>
        <v>0</v>
      </c>
      <c r="BT21" s="140">
        <f t="shared" si="10"/>
        <v>0</v>
      </c>
      <c r="BU21" s="140">
        <f t="shared" si="10"/>
        <v>0</v>
      </c>
      <c r="BV21" s="140">
        <f t="shared" ref="BV21:CA21" si="11" xml:space="preserve"> -1 * BV20</f>
        <v>0</v>
      </c>
      <c r="BW21" s="140">
        <f t="shared" si="11"/>
        <v>0</v>
      </c>
      <c r="BX21" s="140">
        <f t="shared" si="11"/>
        <v>0</v>
      </c>
      <c r="BY21" s="140">
        <f t="shared" si="11"/>
        <v>0</v>
      </c>
      <c r="BZ21" s="140">
        <f t="shared" si="11"/>
        <v>0</v>
      </c>
      <c r="CA21" s="140">
        <f t="shared" si="11"/>
        <v>0</v>
      </c>
    </row>
    <row r="24" spans="1:79" x14ac:dyDescent="0.2">
      <c r="B24" s="82" t="s">
        <v>339</v>
      </c>
    </row>
    <row r="26" spans="1:79" s="118" customFormat="1" x14ac:dyDescent="0.2">
      <c r="A26" s="115"/>
      <c r="B26" s="115"/>
      <c r="C26" s="116"/>
      <c r="D26" s="117"/>
      <c r="E26" s="197" t="str">
        <f>ConFin!E$97</f>
        <v>Equity investment total</v>
      </c>
      <c r="F26" s="197">
        <f>ConFin!F$97</f>
        <v>80680.988936574955</v>
      </c>
      <c r="G26" s="197" t="str">
        <f>ConFin!G$97</f>
        <v>€ 000s</v>
      </c>
    </row>
    <row r="27" spans="1:79" s="118" customFormat="1" x14ac:dyDescent="0.2">
      <c r="A27" s="115"/>
      <c r="B27" s="115"/>
      <c r="C27" s="116"/>
      <c r="D27" s="117" t="s">
        <v>24</v>
      </c>
      <c r="E27" s="197" t="str">
        <f>InpC!E$54</f>
        <v>Share capital investment requirement</v>
      </c>
      <c r="F27" s="197">
        <f>InpC!F$54</f>
        <v>1000</v>
      </c>
      <c r="G27" s="197" t="str">
        <f>InpC!G$54</f>
        <v>€ 000s</v>
      </c>
    </row>
    <row r="28" spans="1:79" s="156" customFormat="1" x14ac:dyDescent="0.2">
      <c r="A28" s="119"/>
      <c r="B28" s="119"/>
      <c r="C28" s="120"/>
      <c r="D28" s="406"/>
      <c r="E28" s="403" t="s">
        <v>338</v>
      </c>
      <c r="F28" s="403">
        <f xml:space="preserve"> F26 - F27</f>
        <v>79680.988936574955</v>
      </c>
      <c r="G28" s="403" t="str">
        <f xml:space="preserve"> SMU</f>
        <v>€ 000s</v>
      </c>
    </row>
    <row r="29" spans="1:79" s="156" customFormat="1" x14ac:dyDescent="0.2">
      <c r="A29" s="119"/>
      <c r="B29" s="119"/>
      <c r="C29" s="120"/>
      <c r="D29" s="406"/>
      <c r="E29" s="403"/>
      <c r="F29" s="403"/>
      <c r="G29" s="403"/>
    </row>
    <row r="30" spans="1:79" s="114" customFormat="1" x14ac:dyDescent="0.2">
      <c r="A30" s="108"/>
      <c r="B30" s="108"/>
      <c r="C30" s="109"/>
      <c r="D30" s="110"/>
      <c r="E30" s="113" t="str">
        <f xml:space="preserve"> E$28</f>
        <v>Amount invested as shareholder loan</v>
      </c>
      <c r="F30" s="113">
        <f t="shared" ref="F30:G30" si="12" xml:space="preserve"> F$28</f>
        <v>79680.988936574955</v>
      </c>
      <c r="G30" s="113" t="str">
        <f t="shared" si="12"/>
        <v>€ 000s</v>
      </c>
    </row>
    <row r="31" spans="1:79" s="118" customFormat="1" x14ac:dyDescent="0.2">
      <c r="A31" s="115"/>
      <c r="B31" s="115"/>
      <c r="C31" s="116"/>
      <c r="D31" s="117"/>
      <c r="E31" s="118" t="str">
        <f>'T&amp;E'!E$19</f>
        <v>Initial operations date flag</v>
      </c>
      <c r="F31" s="118">
        <f>'T&amp;E'!F$19</f>
        <v>0</v>
      </c>
      <c r="G31" s="118" t="str">
        <f>'T&amp;E'!G$19</f>
        <v>flag</v>
      </c>
      <c r="H31" s="118">
        <f>'T&amp;E'!H$19</f>
        <v>1</v>
      </c>
      <c r="I31" s="118">
        <f>'T&amp;E'!I$19</f>
        <v>0</v>
      </c>
      <c r="J31" s="118">
        <f>'T&amp;E'!J$19</f>
        <v>0</v>
      </c>
      <c r="K31" s="118">
        <f>'T&amp;E'!K$19</f>
        <v>0</v>
      </c>
      <c r="L31" s="118">
        <f>'T&amp;E'!L$19</f>
        <v>0</v>
      </c>
      <c r="M31" s="118">
        <f>'T&amp;E'!M$19</f>
        <v>0</v>
      </c>
      <c r="N31" s="118">
        <f>'T&amp;E'!N$19</f>
        <v>1</v>
      </c>
      <c r="O31" s="118">
        <f>'T&amp;E'!O$19</f>
        <v>0</v>
      </c>
      <c r="P31" s="118">
        <f>'T&amp;E'!P$19</f>
        <v>0</v>
      </c>
      <c r="Q31" s="118">
        <f>'T&amp;E'!Q$19</f>
        <v>0</v>
      </c>
      <c r="R31" s="118">
        <f>'T&amp;E'!R$19</f>
        <v>0</v>
      </c>
      <c r="S31" s="118">
        <f>'T&amp;E'!S$19</f>
        <v>0</v>
      </c>
      <c r="T31" s="118">
        <f>'T&amp;E'!T$19</f>
        <v>0</v>
      </c>
      <c r="U31" s="118">
        <f>'T&amp;E'!U$19</f>
        <v>0</v>
      </c>
      <c r="V31" s="118">
        <f>'T&amp;E'!V$19</f>
        <v>0</v>
      </c>
      <c r="W31" s="118">
        <f>'T&amp;E'!W$19</f>
        <v>0</v>
      </c>
      <c r="X31" s="118">
        <f>'T&amp;E'!X$19</f>
        <v>0</v>
      </c>
      <c r="Y31" s="118">
        <f>'T&amp;E'!Y$19</f>
        <v>0</v>
      </c>
      <c r="Z31" s="118">
        <f>'T&amp;E'!Z$19</f>
        <v>0</v>
      </c>
      <c r="AA31" s="118">
        <f>'T&amp;E'!AA$19</f>
        <v>0</v>
      </c>
      <c r="AB31" s="118">
        <f>'T&amp;E'!AB$19</f>
        <v>0</v>
      </c>
      <c r="AC31" s="118">
        <f>'T&amp;E'!AC$19</f>
        <v>0</v>
      </c>
      <c r="AD31" s="118">
        <f>'T&amp;E'!AD$19</f>
        <v>0</v>
      </c>
      <c r="AE31" s="118">
        <f>'T&amp;E'!AE$19</f>
        <v>0</v>
      </c>
      <c r="AF31" s="118">
        <f>'T&amp;E'!AF$19</f>
        <v>0</v>
      </c>
      <c r="AG31" s="118">
        <f>'T&amp;E'!AG$19</f>
        <v>0</v>
      </c>
      <c r="AH31" s="118">
        <f>'T&amp;E'!AH$19</f>
        <v>0</v>
      </c>
      <c r="AI31" s="118">
        <f>'T&amp;E'!AI$19</f>
        <v>0</v>
      </c>
      <c r="AJ31" s="118">
        <f>'T&amp;E'!AJ$19</f>
        <v>0</v>
      </c>
      <c r="AK31" s="118">
        <f>'T&amp;E'!AK$19</f>
        <v>0</v>
      </c>
      <c r="AL31" s="118">
        <f>'T&amp;E'!AL$19</f>
        <v>0</v>
      </c>
      <c r="AM31" s="118">
        <f>'T&amp;E'!AM$19</f>
        <v>0</v>
      </c>
      <c r="AN31" s="118">
        <f>'T&amp;E'!AN$19</f>
        <v>0</v>
      </c>
      <c r="AO31" s="118">
        <f>'T&amp;E'!AO$19</f>
        <v>0</v>
      </c>
      <c r="AP31" s="118">
        <f>'T&amp;E'!AP$19</f>
        <v>0</v>
      </c>
      <c r="AQ31" s="118">
        <f>'T&amp;E'!AQ$19</f>
        <v>0</v>
      </c>
      <c r="AR31" s="118">
        <f>'T&amp;E'!AR$19</f>
        <v>0</v>
      </c>
      <c r="AS31" s="118">
        <f>'T&amp;E'!AS$19</f>
        <v>0</v>
      </c>
      <c r="AT31" s="118">
        <f>'T&amp;E'!AT$19</f>
        <v>0</v>
      </c>
      <c r="AU31" s="118">
        <f>'T&amp;E'!AU$19</f>
        <v>0</v>
      </c>
      <c r="AV31" s="118">
        <f>'T&amp;E'!AV$19</f>
        <v>0</v>
      </c>
      <c r="AW31" s="118">
        <f>'T&amp;E'!AW$19</f>
        <v>0</v>
      </c>
      <c r="AX31" s="118">
        <f>'T&amp;E'!AX$19</f>
        <v>0</v>
      </c>
      <c r="AY31" s="118">
        <f>'T&amp;E'!AY$19</f>
        <v>0</v>
      </c>
      <c r="AZ31" s="118">
        <f>'T&amp;E'!AZ$19</f>
        <v>0</v>
      </c>
      <c r="BA31" s="118">
        <f>'T&amp;E'!BA$19</f>
        <v>0</v>
      </c>
      <c r="BB31" s="118">
        <f>'T&amp;E'!BB$19</f>
        <v>0</v>
      </c>
      <c r="BC31" s="118">
        <f>'T&amp;E'!BC$19</f>
        <v>0</v>
      </c>
      <c r="BD31" s="118">
        <f>'T&amp;E'!BD$19</f>
        <v>0</v>
      </c>
      <c r="BE31" s="118">
        <f>'T&amp;E'!BE$19</f>
        <v>0</v>
      </c>
      <c r="BF31" s="118">
        <f>'T&amp;E'!BF$19</f>
        <v>0</v>
      </c>
      <c r="BG31" s="118">
        <f>'T&amp;E'!BG$19</f>
        <v>0</v>
      </c>
      <c r="BH31" s="118">
        <f>'T&amp;E'!BH$19</f>
        <v>0</v>
      </c>
      <c r="BI31" s="118">
        <f>'T&amp;E'!BI$19</f>
        <v>0</v>
      </c>
      <c r="BJ31" s="118">
        <f>'T&amp;E'!BJ$19</f>
        <v>0</v>
      </c>
      <c r="BK31" s="118">
        <f>'T&amp;E'!BK$19</f>
        <v>0</v>
      </c>
      <c r="BL31" s="118">
        <f>'T&amp;E'!BL$19</f>
        <v>0</v>
      </c>
      <c r="BM31" s="118">
        <f>'T&amp;E'!BM$19</f>
        <v>0</v>
      </c>
      <c r="BN31" s="118">
        <f>'T&amp;E'!BN$19</f>
        <v>0</v>
      </c>
      <c r="BO31" s="118">
        <f>'T&amp;E'!BO$19</f>
        <v>0</v>
      </c>
      <c r="BP31" s="118">
        <f>'T&amp;E'!BP$19</f>
        <v>0</v>
      </c>
      <c r="BQ31" s="118">
        <f>'T&amp;E'!BQ$19</f>
        <v>0</v>
      </c>
      <c r="BR31" s="118">
        <f>'T&amp;E'!BR$19</f>
        <v>0</v>
      </c>
      <c r="BS31" s="118">
        <f>'T&amp;E'!BS$19</f>
        <v>0</v>
      </c>
      <c r="BT31" s="118">
        <f>'T&amp;E'!BT$19</f>
        <v>0</v>
      </c>
      <c r="BU31" s="118">
        <f>'T&amp;E'!BU$19</f>
        <v>0</v>
      </c>
      <c r="BV31" s="118">
        <f>'T&amp;E'!BV$19</f>
        <v>0</v>
      </c>
      <c r="BW31" s="118">
        <f>'T&amp;E'!BW$19</f>
        <v>0</v>
      </c>
      <c r="BX31" s="118">
        <f>'T&amp;E'!BX$19</f>
        <v>0</v>
      </c>
      <c r="BY31" s="118">
        <f>'T&amp;E'!BY$19</f>
        <v>0</v>
      </c>
      <c r="BZ31" s="118">
        <f>'T&amp;E'!BZ$19</f>
        <v>0</v>
      </c>
      <c r="CA31" s="118">
        <f>'T&amp;E'!CA$19</f>
        <v>0</v>
      </c>
    </row>
    <row r="32" spans="1:79" s="122" customFormat="1" x14ac:dyDescent="0.2">
      <c r="A32" s="119"/>
      <c r="B32" s="119"/>
      <c r="C32" s="120"/>
      <c r="D32" s="121"/>
    </row>
    <row r="33" spans="1:79" s="122" customFormat="1" x14ac:dyDescent="0.2">
      <c r="A33" s="119"/>
      <c r="B33" s="119"/>
      <c r="C33" s="120"/>
      <c r="D33" s="121"/>
      <c r="E33" s="124" t="s">
        <v>342</v>
      </c>
      <c r="G33" s="124" t="str">
        <f xml:space="preserve"> SMU</f>
        <v>€ 000s</v>
      </c>
      <c r="J33" s="122">
        <f t="shared" ref="J33:BU33" si="13" xml:space="preserve"> I36</f>
        <v>0</v>
      </c>
      <c r="K33" s="122">
        <f t="shared" si="13"/>
        <v>0</v>
      </c>
      <c r="L33" s="122">
        <f t="shared" si="13"/>
        <v>0</v>
      </c>
      <c r="M33" s="122">
        <f t="shared" si="13"/>
        <v>0</v>
      </c>
      <c r="N33" s="122">
        <f t="shared" si="13"/>
        <v>0</v>
      </c>
      <c r="O33" s="122">
        <f t="shared" si="13"/>
        <v>79680.988936574955</v>
      </c>
      <c r="P33" s="122">
        <f t="shared" si="13"/>
        <v>79680.988936574955</v>
      </c>
      <c r="Q33" s="122">
        <f t="shared" si="13"/>
        <v>75674.177856224793</v>
      </c>
      <c r="R33" s="122">
        <f t="shared" si="13"/>
        <v>67085.467833284914</v>
      </c>
      <c r="S33" s="122">
        <f t="shared" si="13"/>
        <v>60238.294782486832</v>
      </c>
      <c r="T33" s="122">
        <f t="shared" si="13"/>
        <v>52902.825019987504</v>
      </c>
      <c r="U33" s="122">
        <f t="shared" si="13"/>
        <v>46107.152747557084</v>
      </c>
      <c r="V33" s="122">
        <f t="shared" si="13"/>
        <v>39088.108168699546</v>
      </c>
      <c r="W33" s="122">
        <f t="shared" si="13"/>
        <v>32307.143361870447</v>
      </c>
      <c r="X33" s="122">
        <f t="shared" si="13"/>
        <v>25627.394788175239</v>
      </c>
      <c r="Y33" s="122">
        <f t="shared" si="13"/>
        <v>18574.65284651659</v>
      </c>
      <c r="Z33" s="122">
        <f t="shared" si="13"/>
        <v>11472.987635651036</v>
      </c>
      <c r="AA33" s="122">
        <f t="shared" si="13"/>
        <v>4702.423426889065</v>
      </c>
      <c r="AB33" s="122">
        <f t="shared" si="13"/>
        <v>0</v>
      </c>
      <c r="AC33" s="122">
        <f t="shared" si="13"/>
        <v>0</v>
      </c>
      <c r="AD33" s="122">
        <f t="shared" si="13"/>
        <v>0</v>
      </c>
      <c r="AE33" s="122">
        <f t="shared" si="13"/>
        <v>0</v>
      </c>
      <c r="AF33" s="122">
        <f t="shared" si="13"/>
        <v>0</v>
      </c>
      <c r="AG33" s="122">
        <f t="shared" si="13"/>
        <v>0</v>
      </c>
      <c r="AH33" s="122">
        <f t="shared" si="13"/>
        <v>0</v>
      </c>
      <c r="AI33" s="122">
        <f t="shared" si="13"/>
        <v>0</v>
      </c>
      <c r="AJ33" s="122">
        <f t="shared" si="13"/>
        <v>0</v>
      </c>
      <c r="AK33" s="122">
        <f t="shared" si="13"/>
        <v>0</v>
      </c>
      <c r="AL33" s="122">
        <f t="shared" si="13"/>
        <v>0</v>
      </c>
      <c r="AM33" s="122">
        <f t="shared" si="13"/>
        <v>0</v>
      </c>
      <c r="AN33" s="122">
        <f t="shared" si="13"/>
        <v>0</v>
      </c>
      <c r="AO33" s="122">
        <f t="shared" si="13"/>
        <v>0</v>
      </c>
      <c r="AP33" s="122">
        <f t="shared" si="13"/>
        <v>0</v>
      </c>
      <c r="AQ33" s="122">
        <f t="shared" si="13"/>
        <v>0</v>
      </c>
      <c r="AR33" s="122">
        <f t="shared" si="13"/>
        <v>0</v>
      </c>
      <c r="AS33" s="122">
        <f t="shared" si="13"/>
        <v>0</v>
      </c>
      <c r="AT33" s="122">
        <f t="shared" si="13"/>
        <v>0</v>
      </c>
      <c r="AU33" s="122">
        <f t="shared" si="13"/>
        <v>0</v>
      </c>
      <c r="AV33" s="122">
        <f t="shared" si="13"/>
        <v>0</v>
      </c>
      <c r="AW33" s="122">
        <f t="shared" si="13"/>
        <v>0</v>
      </c>
      <c r="AX33" s="122">
        <f t="shared" si="13"/>
        <v>0</v>
      </c>
      <c r="AY33" s="122">
        <f t="shared" si="13"/>
        <v>0</v>
      </c>
      <c r="AZ33" s="122">
        <f t="shared" si="13"/>
        <v>0</v>
      </c>
      <c r="BA33" s="122">
        <f t="shared" si="13"/>
        <v>0</v>
      </c>
      <c r="BB33" s="122">
        <f t="shared" si="13"/>
        <v>0</v>
      </c>
      <c r="BC33" s="122">
        <f t="shared" si="13"/>
        <v>0</v>
      </c>
      <c r="BD33" s="122">
        <f t="shared" si="13"/>
        <v>0</v>
      </c>
      <c r="BE33" s="122">
        <f t="shared" si="13"/>
        <v>0</v>
      </c>
      <c r="BF33" s="122">
        <f t="shared" si="13"/>
        <v>0</v>
      </c>
      <c r="BG33" s="122">
        <f t="shared" si="13"/>
        <v>0</v>
      </c>
      <c r="BH33" s="122">
        <f t="shared" si="13"/>
        <v>0</v>
      </c>
      <c r="BI33" s="122">
        <f t="shared" si="13"/>
        <v>0</v>
      </c>
      <c r="BJ33" s="122">
        <f t="shared" si="13"/>
        <v>0</v>
      </c>
      <c r="BK33" s="122">
        <f t="shared" si="13"/>
        <v>0</v>
      </c>
      <c r="BL33" s="122">
        <f t="shared" si="13"/>
        <v>0</v>
      </c>
      <c r="BM33" s="122">
        <f t="shared" si="13"/>
        <v>0</v>
      </c>
      <c r="BN33" s="122">
        <f t="shared" si="13"/>
        <v>0</v>
      </c>
      <c r="BO33" s="122">
        <f t="shared" si="13"/>
        <v>0</v>
      </c>
      <c r="BP33" s="122">
        <f t="shared" si="13"/>
        <v>0</v>
      </c>
      <c r="BQ33" s="122">
        <f t="shared" si="13"/>
        <v>0</v>
      </c>
      <c r="BR33" s="122">
        <f t="shared" si="13"/>
        <v>0</v>
      </c>
      <c r="BS33" s="122">
        <f t="shared" si="13"/>
        <v>0</v>
      </c>
      <c r="BT33" s="122">
        <f t="shared" si="13"/>
        <v>0</v>
      </c>
      <c r="BU33" s="122">
        <f t="shared" si="13"/>
        <v>0</v>
      </c>
      <c r="BV33" s="122">
        <f t="shared" ref="BV33:CA33" si="14" xml:space="preserve"> BU36</f>
        <v>0</v>
      </c>
      <c r="BW33" s="122">
        <f t="shared" si="14"/>
        <v>0</v>
      </c>
      <c r="BX33" s="122">
        <f t="shared" si="14"/>
        <v>0</v>
      </c>
      <c r="BY33" s="122">
        <f t="shared" si="14"/>
        <v>0</v>
      </c>
      <c r="BZ33" s="122">
        <f t="shared" si="14"/>
        <v>0</v>
      </c>
      <c r="CA33" s="122">
        <f t="shared" si="14"/>
        <v>0</v>
      </c>
    </row>
    <row r="34" spans="1:79" s="123" customFormat="1" x14ac:dyDescent="0.2">
      <c r="A34" s="125"/>
      <c r="B34" s="125"/>
      <c r="C34" s="126"/>
      <c r="D34" s="127" t="s">
        <v>23</v>
      </c>
      <c r="E34" s="123" t="s">
        <v>351</v>
      </c>
    </row>
    <row r="35" spans="1:79" s="124" customFormat="1" x14ac:dyDescent="0.2">
      <c r="A35" s="166"/>
      <c r="B35" s="166"/>
      <c r="C35" s="167"/>
      <c r="D35" s="168" t="s">
        <v>24</v>
      </c>
      <c r="E35" s="124" t="str">
        <f>E$20</f>
        <v>Shareholder loan repayment POS</v>
      </c>
      <c r="F35" s="124">
        <f t="shared" ref="F35:BQ35" si="15">F$20</f>
        <v>0</v>
      </c>
      <c r="G35" s="124">
        <f t="shared" si="15"/>
        <v>0</v>
      </c>
      <c r="H35" s="124">
        <f t="shared" si="15"/>
        <v>0</v>
      </c>
      <c r="I35" s="124">
        <f t="shared" si="15"/>
        <v>0</v>
      </c>
      <c r="J35" s="124">
        <f t="shared" si="15"/>
        <v>0</v>
      </c>
      <c r="K35" s="124">
        <f t="shared" si="15"/>
        <v>0</v>
      </c>
      <c r="L35" s="124">
        <f t="shared" si="15"/>
        <v>0</v>
      </c>
      <c r="M35" s="124">
        <f t="shared" si="15"/>
        <v>0</v>
      </c>
      <c r="N35" s="124">
        <f t="shared" si="15"/>
        <v>0</v>
      </c>
      <c r="O35" s="124">
        <f t="shared" si="15"/>
        <v>0</v>
      </c>
      <c r="P35" s="124">
        <f t="shared" si="15"/>
        <v>4006.8110803501586</v>
      </c>
      <c r="Q35" s="124">
        <f t="shared" si="15"/>
        <v>8588.7100229398784</v>
      </c>
      <c r="R35" s="124">
        <f t="shared" si="15"/>
        <v>6847.1730507980828</v>
      </c>
      <c r="S35" s="124">
        <f t="shared" si="15"/>
        <v>7335.4697624993314</v>
      </c>
      <c r="T35" s="124">
        <f t="shared" si="15"/>
        <v>6795.67227243042</v>
      </c>
      <c r="U35" s="124">
        <f t="shared" si="15"/>
        <v>7019.0445788575416</v>
      </c>
      <c r="V35" s="124">
        <f t="shared" si="15"/>
        <v>6780.964806829099</v>
      </c>
      <c r="W35" s="124">
        <f t="shared" si="15"/>
        <v>6679.7485736952076</v>
      </c>
      <c r="X35" s="124">
        <f t="shared" si="15"/>
        <v>7052.741941658649</v>
      </c>
      <c r="Y35" s="124">
        <f t="shared" si="15"/>
        <v>7101.6652108655544</v>
      </c>
      <c r="Z35" s="124">
        <f t="shared" si="15"/>
        <v>6770.5642087619708</v>
      </c>
      <c r="AA35" s="124">
        <f t="shared" si="15"/>
        <v>4702.423426889065</v>
      </c>
      <c r="AB35" s="124">
        <f t="shared" si="15"/>
        <v>0</v>
      </c>
      <c r="AC35" s="124">
        <f t="shared" si="15"/>
        <v>0</v>
      </c>
      <c r="AD35" s="124">
        <f t="shared" si="15"/>
        <v>0</v>
      </c>
      <c r="AE35" s="124">
        <f t="shared" si="15"/>
        <v>0</v>
      </c>
      <c r="AF35" s="124">
        <f t="shared" si="15"/>
        <v>0</v>
      </c>
      <c r="AG35" s="124">
        <f t="shared" si="15"/>
        <v>0</v>
      </c>
      <c r="AH35" s="124">
        <f t="shared" si="15"/>
        <v>0</v>
      </c>
      <c r="AI35" s="124">
        <f t="shared" si="15"/>
        <v>0</v>
      </c>
      <c r="AJ35" s="124">
        <f t="shared" si="15"/>
        <v>0</v>
      </c>
      <c r="AK35" s="124">
        <f t="shared" si="15"/>
        <v>0</v>
      </c>
      <c r="AL35" s="124">
        <f t="shared" si="15"/>
        <v>0</v>
      </c>
      <c r="AM35" s="124">
        <f t="shared" si="15"/>
        <v>0</v>
      </c>
      <c r="AN35" s="124">
        <f t="shared" si="15"/>
        <v>0</v>
      </c>
      <c r="AO35" s="124">
        <f t="shared" si="15"/>
        <v>0</v>
      </c>
      <c r="AP35" s="124">
        <f t="shared" si="15"/>
        <v>0</v>
      </c>
      <c r="AQ35" s="124">
        <f t="shared" si="15"/>
        <v>0</v>
      </c>
      <c r="AR35" s="124">
        <f t="shared" si="15"/>
        <v>0</v>
      </c>
      <c r="AS35" s="124">
        <f t="shared" si="15"/>
        <v>0</v>
      </c>
      <c r="AT35" s="124">
        <f t="shared" si="15"/>
        <v>0</v>
      </c>
      <c r="AU35" s="124">
        <f t="shared" si="15"/>
        <v>0</v>
      </c>
      <c r="AV35" s="124">
        <f t="shared" si="15"/>
        <v>0</v>
      </c>
      <c r="AW35" s="124">
        <f t="shared" si="15"/>
        <v>0</v>
      </c>
      <c r="AX35" s="124">
        <f t="shared" si="15"/>
        <v>0</v>
      </c>
      <c r="AY35" s="124">
        <f t="shared" si="15"/>
        <v>0</v>
      </c>
      <c r="AZ35" s="124">
        <f t="shared" si="15"/>
        <v>0</v>
      </c>
      <c r="BA35" s="124">
        <f t="shared" si="15"/>
        <v>0</v>
      </c>
      <c r="BB35" s="124">
        <f t="shared" si="15"/>
        <v>0</v>
      </c>
      <c r="BC35" s="124">
        <f t="shared" si="15"/>
        <v>0</v>
      </c>
      <c r="BD35" s="124">
        <f t="shared" si="15"/>
        <v>0</v>
      </c>
      <c r="BE35" s="124">
        <f t="shared" si="15"/>
        <v>0</v>
      </c>
      <c r="BF35" s="124">
        <f t="shared" si="15"/>
        <v>0</v>
      </c>
      <c r="BG35" s="124">
        <f t="shared" si="15"/>
        <v>0</v>
      </c>
      <c r="BH35" s="124">
        <f t="shared" si="15"/>
        <v>0</v>
      </c>
      <c r="BI35" s="124">
        <f t="shared" si="15"/>
        <v>0</v>
      </c>
      <c r="BJ35" s="124">
        <f t="shared" si="15"/>
        <v>0</v>
      </c>
      <c r="BK35" s="124">
        <f t="shared" si="15"/>
        <v>0</v>
      </c>
      <c r="BL35" s="124">
        <f t="shared" si="15"/>
        <v>0</v>
      </c>
      <c r="BM35" s="124">
        <f t="shared" si="15"/>
        <v>0</v>
      </c>
      <c r="BN35" s="124">
        <f t="shared" si="15"/>
        <v>0</v>
      </c>
      <c r="BO35" s="124">
        <f t="shared" si="15"/>
        <v>0</v>
      </c>
      <c r="BP35" s="124">
        <f t="shared" si="15"/>
        <v>0</v>
      </c>
      <c r="BQ35" s="124">
        <f t="shared" si="15"/>
        <v>0</v>
      </c>
      <c r="BR35" s="124">
        <f t="shared" ref="BR35:CA35" si="16">BR$20</f>
        <v>0</v>
      </c>
      <c r="BS35" s="124">
        <f t="shared" si="16"/>
        <v>0</v>
      </c>
      <c r="BT35" s="124">
        <f t="shared" si="16"/>
        <v>0</v>
      </c>
      <c r="BU35" s="124">
        <f t="shared" si="16"/>
        <v>0</v>
      </c>
      <c r="BV35" s="124">
        <f t="shared" si="16"/>
        <v>0</v>
      </c>
      <c r="BW35" s="124">
        <f t="shared" si="16"/>
        <v>0</v>
      </c>
      <c r="BX35" s="124">
        <f t="shared" si="16"/>
        <v>0</v>
      </c>
      <c r="BY35" s="124">
        <f t="shared" si="16"/>
        <v>0</v>
      </c>
      <c r="BZ35" s="124">
        <f t="shared" si="16"/>
        <v>0</v>
      </c>
      <c r="CA35" s="124">
        <f t="shared" si="16"/>
        <v>0</v>
      </c>
    </row>
    <row r="36" spans="1:79" s="173" customFormat="1" ht="13.5" thickBot="1" x14ac:dyDescent="0.25">
      <c r="A36" s="169"/>
      <c r="B36" s="169"/>
      <c r="C36" s="170"/>
      <c r="D36" s="171"/>
      <c r="E36" s="172" t="s">
        <v>343</v>
      </c>
      <c r="G36" s="172" t="str">
        <f xml:space="preserve"> SMU</f>
        <v>€ 000s</v>
      </c>
      <c r="I36" s="174"/>
      <c r="J36" s="173">
        <f t="shared" ref="J36:BU36" si="17" xml:space="preserve"> IF( J31 = 1, $F30, J33 + J34 - J35)</f>
        <v>0</v>
      </c>
      <c r="K36" s="173">
        <f t="shared" si="17"/>
        <v>0</v>
      </c>
      <c r="L36" s="173">
        <f t="shared" si="17"/>
        <v>0</v>
      </c>
      <c r="M36" s="173">
        <f t="shared" si="17"/>
        <v>0</v>
      </c>
      <c r="N36" s="173">
        <f t="shared" si="17"/>
        <v>79680.988936574955</v>
      </c>
      <c r="O36" s="173">
        <f t="shared" si="17"/>
        <v>79680.988936574955</v>
      </c>
      <c r="P36" s="173">
        <f t="shared" si="17"/>
        <v>75674.177856224793</v>
      </c>
      <c r="Q36" s="173">
        <f t="shared" si="17"/>
        <v>67085.467833284914</v>
      </c>
      <c r="R36" s="173">
        <f t="shared" si="17"/>
        <v>60238.294782486832</v>
      </c>
      <c r="S36" s="173">
        <f t="shared" si="17"/>
        <v>52902.825019987504</v>
      </c>
      <c r="T36" s="173">
        <f t="shared" si="17"/>
        <v>46107.152747557084</v>
      </c>
      <c r="U36" s="173">
        <f t="shared" si="17"/>
        <v>39088.108168699546</v>
      </c>
      <c r="V36" s="173">
        <f t="shared" si="17"/>
        <v>32307.143361870447</v>
      </c>
      <c r="W36" s="173">
        <f t="shared" si="17"/>
        <v>25627.394788175239</v>
      </c>
      <c r="X36" s="173">
        <f t="shared" si="17"/>
        <v>18574.65284651659</v>
      </c>
      <c r="Y36" s="173">
        <f t="shared" si="17"/>
        <v>11472.987635651036</v>
      </c>
      <c r="Z36" s="173">
        <f t="shared" si="17"/>
        <v>4702.423426889065</v>
      </c>
      <c r="AA36" s="173">
        <f t="shared" si="17"/>
        <v>0</v>
      </c>
      <c r="AB36" s="173">
        <f t="shared" si="17"/>
        <v>0</v>
      </c>
      <c r="AC36" s="173">
        <f t="shared" si="17"/>
        <v>0</v>
      </c>
      <c r="AD36" s="173">
        <f t="shared" si="17"/>
        <v>0</v>
      </c>
      <c r="AE36" s="173">
        <f t="shared" si="17"/>
        <v>0</v>
      </c>
      <c r="AF36" s="173">
        <f t="shared" si="17"/>
        <v>0</v>
      </c>
      <c r="AG36" s="173">
        <f t="shared" si="17"/>
        <v>0</v>
      </c>
      <c r="AH36" s="173">
        <f t="shared" si="17"/>
        <v>0</v>
      </c>
      <c r="AI36" s="173">
        <f t="shared" si="17"/>
        <v>0</v>
      </c>
      <c r="AJ36" s="173">
        <f t="shared" si="17"/>
        <v>0</v>
      </c>
      <c r="AK36" s="173">
        <f t="shared" si="17"/>
        <v>0</v>
      </c>
      <c r="AL36" s="173">
        <f t="shared" si="17"/>
        <v>0</v>
      </c>
      <c r="AM36" s="173">
        <f t="shared" si="17"/>
        <v>0</v>
      </c>
      <c r="AN36" s="173">
        <f t="shared" si="17"/>
        <v>0</v>
      </c>
      <c r="AO36" s="173">
        <f t="shared" si="17"/>
        <v>0</v>
      </c>
      <c r="AP36" s="173">
        <f t="shared" si="17"/>
        <v>0</v>
      </c>
      <c r="AQ36" s="173">
        <f t="shared" si="17"/>
        <v>0</v>
      </c>
      <c r="AR36" s="173">
        <f t="shared" si="17"/>
        <v>0</v>
      </c>
      <c r="AS36" s="173">
        <f t="shared" si="17"/>
        <v>0</v>
      </c>
      <c r="AT36" s="173">
        <f t="shared" si="17"/>
        <v>0</v>
      </c>
      <c r="AU36" s="173">
        <f t="shared" si="17"/>
        <v>0</v>
      </c>
      <c r="AV36" s="173">
        <f t="shared" si="17"/>
        <v>0</v>
      </c>
      <c r="AW36" s="173">
        <f t="shared" si="17"/>
        <v>0</v>
      </c>
      <c r="AX36" s="173">
        <f t="shared" si="17"/>
        <v>0</v>
      </c>
      <c r="AY36" s="173">
        <f t="shared" si="17"/>
        <v>0</v>
      </c>
      <c r="AZ36" s="173">
        <f t="shared" si="17"/>
        <v>0</v>
      </c>
      <c r="BA36" s="173">
        <f t="shared" si="17"/>
        <v>0</v>
      </c>
      <c r="BB36" s="173">
        <f t="shared" si="17"/>
        <v>0</v>
      </c>
      <c r="BC36" s="173">
        <f t="shared" si="17"/>
        <v>0</v>
      </c>
      <c r="BD36" s="173">
        <f t="shared" si="17"/>
        <v>0</v>
      </c>
      <c r="BE36" s="173">
        <f t="shared" si="17"/>
        <v>0</v>
      </c>
      <c r="BF36" s="173">
        <f t="shared" si="17"/>
        <v>0</v>
      </c>
      <c r="BG36" s="173">
        <f t="shared" si="17"/>
        <v>0</v>
      </c>
      <c r="BH36" s="173">
        <f t="shared" si="17"/>
        <v>0</v>
      </c>
      <c r="BI36" s="173">
        <f t="shared" si="17"/>
        <v>0</v>
      </c>
      <c r="BJ36" s="173">
        <f t="shared" si="17"/>
        <v>0</v>
      </c>
      <c r="BK36" s="173">
        <f t="shared" si="17"/>
        <v>0</v>
      </c>
      <c r="BL36" s="173">
        <f t="shared" si="17"/>
        <v>0</v>
      </c>
      <c r="BM36" s="173">
        <f t="shared" si="17"/>
        <v>0</v>
      </c>
      <c r="BN36" s="173">
        <f t="shared" si="17"/>
        <v>0</v>
      </c>
      <c r="BO36" s="173">
        <f t="shared" si="17"/>
        <v>0</v>
      </c>
      <c r="BP36" s="173">
        <f t="shared" si="17"/>
        <v>0</v>
      </c>
      <c r="BQ36" s="173">
        <f t="shared" si="17"/>
        <v>0</v>
      </c>
      <c r="BR36" s="173">
        <f t="shared" si="17"/>
        <v>0</v>
      </c>
      <c r="BS36" s="173">
        <f t="shared" si="17"/>
        <v>0</v>
      </c>
      <c r="BT36" s="173">
        <f t="shared" si="17"/>
        <v>0</v>
      </c>
      <c r="BU36" s="173">
        <f t="shared" si="17"/>
        <v>0</v>
      </c>
      <c r="BV36" s="173">
        <f t="shared" ref="BV36:CA36" si="18" xml:space="preserve"> IF( BV31 = 1, $F30, BV33 + BV34 - BV35)</f>
        <v>0</v>
      </c>
      <c r="BW36" s="173">
        <f t="shared" si="18"/>
        <v>0</v>
      </c>
      <c r="BX36" s="173">
        <f t="shared" si="18"/>
        <v>0</v>
      </c>
      <c r="BY36" s="173">
        <f t="shared" si="18"/>
        <v>0</v>
      </c>
      <c r="BZ36" s="173">
        <f t="shared" si="18"/>
        <v>0</v>
      </c>
      <c r="CA36" s="173">
        <f t="shared" si="18"/>
        <v>0</v>
      </c>
    </row>
    <row r="37" spans="1:79" s="133" customFormat="1" ht="13.5" thickTop="1" x14ac:dyDescent="0.2">
      <c r="A37" s="129"/>
      <c r="B37" s="130"/>
      <c r="C37" s="131"/>
      <c r="D37" s="132"/>
    </row>
    <row r="39" spans="1:79" x14ac:dyDescent="0.2">
      <c r="A39" s="81" t="s">
        <v>33</v>
      </c>
    </row>
    <row r="41" spans="1:79" x14ac:dyDescent="0.2">
      <c r="B41" s="81"/>
      <c r="C41" s="134"/>
      <c r="E41" s="135" t="s">
        <v>34</v>
      </c>
      <c r="F41" s="81"/>
      <c r="G41" s="85" t="s">
        <v>35</v>
      </c>
      <c r="H41" s="85">
        <f>SUM(J41:CA41)</f>
        <v>7000</v>
      </c>
      <c r="J41" s="136">
        <v>100</v>
      </c>
      <c r="K41" s="136">
        <v>100</v>
      </c>
      <c r="L41" s="136">
        <v>100</v>
      </c>
      <c r="M41" s="136">
        <v>100</v>
      </c>
      <c r="N41" s="136">
        <v>100</v>
      </c>
      <c r="O41" s="136">
        <v>100</v>
      </c>
      <c r="P41" s="136">
        <v>100</v>
      </c>
      <c r="Q41" s="136">
        <v>100</v>
      </c>
      <c r="R41" s="136">
        <v>100</v>
      </c>
      <c r="S41" s="136">
        <v>100</v>
      </c>
      <c r="T41" s="136">
        <v>100</v>
      </c>
      <c r="U41" s="136">
        <v>100</v>
      </c>
      <c r="V41" s="136">
        <v>100</v>
      </c>
      <c r="W41" s="136">
        <v>100</v>
      </c>
      <c r="X41" s="136">
        <v>100</v>
      </c>
      <c r="Y41" s="136">
        <v>100</v>
      </c>
      <c r="Z41" s="136">
        <v>100</v>
      </c>
      <c r="AA41" s="136">
        <v>100</v>
      </c>
      <c r="AB41" s="136">
        <v>100</v>
      </c>
      <c r="AC41" s="136">
        <v>100</v>
      </c>
      <c r="AD41" s="136">
        <v>100</v>
      </c>
      <c r="AE41" s="136">
        <v>100</v>
      </c>
      <c r="AF41" s="136">
        <v>100</v>
      </c>
      <c r="AG41" s="136">
        <v>100</v>
      </c>
      <c r="AH41" s="136">
        <v>100</v>
      </c>
      <c r="AI41" s="136">
        <v>100</v>
      </c>
      <c r="AJ41" s="136">
        <v>100</v>
      </c>
      <c r="AK41" s="136">
        <v>100</v>
      </c>
      <c r="AL41" s="136">
        <v>100</v>
      </c>
      <c r="AM41" s="136">
        <v>100</v>
      </c>
      <c r="AN41" s="136">
        <v>100</v>
      </c>
      <c r="AO41" s="136">
        <v>100</v>
      </c>
      <c r="AP41" s="136">
        <v>100</v>
      </c>
      <c r="AQ41" s="136">
        <v>100</v>
      </c>
      <c r="AR41" s="136">
        <v>100</v>
      </c>
      <c r="AS41" s="136">
        <v>100</v>
      </c>
      <c r="AT41" s="136">
        <v>100</v>
      </c>
      <c r="AU41" s="136">
        <v>100</v>
      </c>
      <c r="AV41" s="136">
        <v>100</v>
      </c>
      <c r="AW41" s="136">
        <v>100</v>
      </c>
      <c r="AX41" s="136">
        <v>100</v>
      </c>
      <c r="AY41" s="136">
        <v>100</v>
      </c>
      <c r="AZ41" s="136">
        <v>100</v>
      </c>
      <c r="BA41" s="136">
        <v>100</v>
      </c>
      <c r="BB41" s="136">
        <v>100</v>
      </c>
      <c r="BC41" s="136">
        <v>100</v>
      </c>
      <c r="BD41" s="136">
        <v>100</v>
      </c>
      <c r="BE41" s="136">
        <v>100</v>
      </c>
      <c r="BF41" s="136">
        <v>100</v>
      </c>
      <c r="BG41" s="136">
        <v>100</v>
      </c>
      <c r="BH41" s="136">
        <v>100</v>
      </c>
      <c r="BI41" s="136">
        <v>100</v>
      </c>
      <c r="BJ41" s="136">
        <v>100</v>
      </c>
      <c r="BK41" s="136">
        <v>100</v>
      </c>
      <c r="BL41" s="136">
        <v>100</v>
      </c>
      <c r="BM41" s="136">
        <v>100</v>
      </c>
      <c r="BN41" s="136">
        <v>100</v>
      </c>
      <c r="BO41" s="136">
        <v>100</v>
      </c>
      <c r="BP41" s="136">
        <v>100</v>
      </c>
      <c r="BQ41" s="136">
        <v>100</v>
      </c>
      <c r="BR41" s="136">
        <v>100</v>
      </c>
      <c r="BS41" s="136">
        <v>100</v>
      </c>
      <c r="BT41" s="136">
        <v>100</v>
      </c>
      <c r="BU41" s="136">
        <v>100</v>
      </c>
      <c r="BV41" s="136">
        <v>100</v>
      </c>
      <c r="BW41" s="136">
        <v>100</v>
      </c>
      <c r="BX41" s="136">
        <v>100</v>
      </c>
      <c r="BY41" s="136">
        <v>100</v>
      </c>
      <c r="BZ41" s="136">
        <v>100</v>
      </c>
      <c r="CA41" s="136">
        <v>100</v>
      </c>
    </row>
    <row r="42" spans="1:79" s="140" customFormat="1" x14ac:dyDescent="0.2">
      <c r="A42" s="137"/>
      <c r="B42" s="137"/>
      <c r="C42" s="138"/>
      <c r="D42" s="139"/>
      <c r="E42" s="140" t="str">
        <f xml:space="preserve"> LEFT(E41, LEN(E41) - 4)</f>
        <v>Sign switch line item</v>
      </c>
      <c r="G42" s="140" t="str">
        <f xml:space="preserve"> G41</f>
        <v>units</v>
      </c>
      <c r="H42" s="140">
        <f>SUM(J42:CA42)</f>
        <v>-7000</v>
      </c>
      <c r="J42" s="140">
        <f t="shared" ref="J42:BU42" si="19" xml:space="preserve"> -1 * J41</f>
        <v>-100</v>
      </c>
      <c r="K42" s="140">
        <f t="shared" si="19"/>
        <v>-100</v>
      </c>
      <c r="L42" s="140">
        <f t="shared" si="19"/>
        <v>-100</v>
      </c>
      <c r="M42" s="140">
        <f t="shared" si="19"/>
        <v>-100</v>
      </c>
      <c r="N42" s="140">
        <f t="shared" si="19"/>
        <v>-100</v>
      </c>
      <c r="O42" s="140">
        <f t="shared" si="19"/>
        <v>-100</v>
      </c>
      <c r="P42" s="140">
        <f t="shared" si="19"/>
        <v>-100</v>
      </c>
      <c r="Q42" s="140">
        <f t="shared" si="19"/>
        <v>-100</v>
      </c>
      <c r="R42" s="140">
        <f t="shared" si="19"/>
        <v>-100</v>
      </c>
      <c r="S42" s="140">
        <f t="shared" si="19"/>
        <v>-100</v>
      </c>
      <c r="T42" s="140">
        <f t="shared" si="19"/>
        <v>-100</v>
      </c>
      <c r="U42" s="140">
        <f t="shared" si="19"/>
        <v>-100</v>
      </c>
      <c r="V42" s="140">
        <f t="shared" si="19"/>
        <v>-100</v>
      </c>
      <c r="W42" s="140">
        <f t="shared" si="19"/>
        <v>-100</v>
      </c>
      <c r="X42" s="140">
        <f t="shared" si="19"/>
        <v>-100</v>
      </c>
      <c r="Y42" s="140">
        <f t="shared" si="19"/>
        <v>-100</v>
      </c>
      <c r="Z42" s="140">
        <f t="shared" si="19"/>
        <v>-100</v>
      </c>
      <c r="AA42" s="140">
        <f t="shared" si="19"/>
        <v>-100</v>
      </c>
      <c r="AB42" s="140">
        <f t="shared" si="19"/>
        <v>-100</v>
      </c>
      <c r="AC42" s="140">
        <f t="shared" si="19"/>
        <v>-100</v>
      </c>
      <c r="AD42" s="140">
        <f t="shared" si="19"/>
        <v>-100</v>
      </c>
      <c r="AE42" s="140">
        <f t="shared" si="19"/>
        <v>-100</v>
      </c>
      <c r="AF42" s="140">
        <f t="shared" si="19"/>
        <v>-100</v>
      </c>
      <c r="AG42" s="140">
        <f t="shared" si="19"/>
        <v>-100</v>
      </c>
      <c r="AH42" s="140">
        <f t="shared" si="19"/>
        <v>-100</v>
      </c>
      <c r="AI42" s="140">
        <f t="shared" si="19"/>
        <v>-100</v>
      </c>
      <c r="AJ42" s="140">
        <f t="shared" si="19"/>
        <v>-100</v>
      </c>
      <c r="AK42" s="140">
        <f t="shared" si="19"/>
        <v>-100</v>
      </c>
      <c r="AL42" s="140">
        <f t="shared" si="19"/>
        <v>-100</v>
      </c>
      <c r="AM42" s="140">
        <f t="shared" si="19"/>
        <v>-100</v>
      </c>
      <c r="AN42" s="140">
        <f t="shared" si="19"/>
        <v>-100</v>
      </c>
      <c r="AO42" s="140">
        <f t="shared" si="19"/>
        <v>-100</v>
      </c>
      <c r="AP42" s="140">
        <f t="shared" si="19"/>
        <v>-100</v>
      </c>
      <c r="AQ42" s="140">
        <f t="shared" si="19"/>
        <v>-100</v>
      </c>
      <c r="AR42" s="140">
        <f t="shared" si="19"/>
        <v>-100</v>
      </c>
      <c r="AS42" s="140">
        <f t="shared" si="19"/>
        <v>-100</v>
      </c>
      <c r="AT42" s="140">
        <f t="shared" si="19"/>
        <v>-100</v>
      </c>
      <c r="AU42" s="140">
        <f t="shared" si="19"/>
        <v>-100</v>
      </c>
      <c r="AV42" s="140">
        <f t="shared" si="19"/>
        <v>-100</v>
      </c>
      <c r="AW42" s="140">
        <f t="shared" si="19"/>
        <v>-100</v>
      </c>
      <c r="AX42" s="140">
        <f t="shared" si="19"/>
        <v>-100</v>
      </c>
      <c r="AY42" s="140">
        <f t="shared" si="19"/>
        <v>-100</v>
      </c>
      <c r="AZ42" s="140">
        <f t="shared" si="19"/>
        <v>-100</v>
      </c>
      <c r="BA42" s="140">
        <f t="shared" si="19"/>
        <v>-100</v>
      </c>
      <c r="BB42" s="140">
        <f t="shared" si="19"/>
        <v>-100</v>
      </c>
      <c r="BC42" s="140">
        <f t="shared" si="19"/>
        <v>-100</v>
      </c>
      <c r="BD42" s="140">
        <f t="shared" si="19"/>
        <v>-100</v>
      </c>
      <c r="BE42" s="140">
        <f t="shared" si="19"/>
        <v>-100</v>
      </c>
      <c r="BF42" s="140">
        <f t="shared" si="19"/>
        <v>-100</v>
      </c>
      <c r="BG42" s="140">
        <f t="shared" si="19"/>
        <v>-100</v>
      </c>
      <c r="BH42" s="140">
        <f t="shared" si="19"/>
        <v>-100</v>
      </c>
      <c r="BI42" s="140">
        <f t="shared" si="19"/>
        <v>-100</v>
      </c>
      <c r="BJ42" s="140">
        <f t="shared" si="19"/>
        <v>-100</v>
      </c>
      <c r="BK42" s="140">
        <f t="shared" si="19"/>
        <v>-100</v>
      </c>
      <c r="BL42" s="140">
        <f t="shared" si="19"/>
        <v>-100</v>
      </c>
      <c r="BM42" s="140">
        <f t="shared" si="19"/>
        <v>-100</v>
      </c>
      <c r="BN42" s="140">
        <f t="shared" si="19"/>
        <v>-100</v>
      </c>
      <c r="BO42" s="140">
        <f t="shared" si="19"/>
        <v>-100</v>
      </c>
      <c r="BP42" s="140">
        <f t="shared" si="19"/>
        <v>-100</v>
      </c>
      <c r="BQ42" s="140">
        <f t="shared" si="19"/>
        <v>-100</v>
      </c>
      <c r="BR42" s="140">
        <f t="shared" si="19"/>
        <v>-100</v>
      </c>
      <c r="BS42" s="140">
        <f t="shared" si="19"/>
        <v>-100</v>
      </c>
      <c r="BT42" s="140">
        <f t="shared" si="19"/>
        <v>-100</v>
      </c>
      <c r="BU42" s="140">
        <f t="shared" si="19"/>
        <v>-100</v>
      </c>
      <c r="BV42" s="140">
        <f t="shared" ref="BV42:CA42" si="20" xml:space="preserve"> -1 * BV41</f>
        <v>-100</v>
      </c>
      <c r="BW42" s="140">
        <f t="shared" si="20"/>
        <v>-100</v>
      </c>
      <c r="BX42" s="140">
        <f t="shared" si="20"/>
        <v>-100</v>
      </c>
      <c r="BY42" s="140">
        <f t="shared" si="20"/>
        <v>-100</v>
      </c>
      <c r="BZ42" s="140">
        <f t="shared" si="20"/>
        <v>-100</v>
      </c>
      <c r="CA42" s="140">
        <f t="shared" si="20"/>
        <v>-100</v>
      </c>
    </row>
    <row r="45" spans="1:79" x14ac:dyDescent="0.2">
      <c r="A45" s="81" t="s">
        <v>122</v>
      </c>
    </row>
    <row r="47" spans="1:79" s="160" customFormat="1" x14ac:dyDescent="0.2">
      <c r="A47" s="157"/>
      <c r="B47" s="157"/>
      <c r="C47" s="158"/>
      <c r="D47" s="159"/>
      <c r="E47" s="160" t="str">
        <f xml:space="preserve"> E$55</f>
        <v>Share capital balance BEG</v>
      </c>
      <c r="F47" s="160">
        <f t="shared" ref="F47:BQ47" si="21" xml:space="preserve"> F$55</f>
        <v>0</v>
      </c>
      <c r="G47" s="160" t="str">
        <f t="shared" si="21"/>
        <v>€ 000s</v>
      </c>
      <c r="H47" s="160">
        <f t="shared" si="21"/>
        <v>0</v>
      </c>
      <c r="I47" s="160">
        <f t="shared" si="21"/>
        <v>0</v>
      </c>
      <c r="J47" s="160">
        <f t="shared" si="21"/>
        <v>0</v>
      </c>
      <c r="K47" s="160">
        <f t="shared" si="21"/>
        <v>0</v>
      </c>
      <c r="L47" s="160">
        <f t="shared" si="21"/>
        <v>0</v>
      </c>
      <c r="M47" s="160">
        <f t="shared" si="21"/>
        <v>0</v>
      </c>
      <c r="N47" s="160">
        <f t="shared" si="21"/>
        <v>0</v>
      </c>
      <c r="O47" s="160">
        <f t="shared" si="21"/>
        <v>1000</v>
      </c>
      <c r="P47" s="160">
        <f t="shared" si="21"/>
        <v>1000</v>
      </c>
      <c r="Q47" s="160">
        <f t="shared" si="21"/>
        <v>1000</v>
      </c>
      <c r="R47" s="160">
        <f t="shared" si="21"/>
        <v>1000</v>
      </c>
      <c r="S47" s="160">
        <f t="shared" si="21"/>
        <v>1000</v>
      </c>
      <c r="T47" s="160">
        <f t="shared" si="21"/>
        <v>1000</v>
      </c>
      <c r="U47" s="160">
        <f t="shared" si="21"/>
        <v>1000</v>
      </c>
      <c r="V47" s="160">
        <f t="shared" si="21"/>
        <v>1000</v>
      </c>
      <c r="W47" s="160">
        <f t="shared" si="21"/>
        <v>1000</v>
      </c>
      <c r="X47" s="160">
        <f t="shared" si="21"/>
        <v>1000</v>
      </c>
      <c r="Y47" s="160">
        <f t="shared" si="21"/>
        <v>1000</v>
      </c>
      <c r="Z47" s="160">
        <f t="shared" si="21"/>
        <v>1000</v>
      </c>
      <c r="AA47" s="160">
        <f t="shared" si="21"/>
        <v>1000</v>
      </c>
      <c r="AB47" s="160">
        <f t="shared" si="21"/>
        <v>1000</v>
      </c>
      <c r="AC47" s="160">
        <f t="shared" si="21"/>
        <v>1000</v>
      </c>
      <c r="AD47" s="160">
        <f t="shared" si="21"/>
        <v>1000</v>
      </c>
      <c r="AE47" s="160">
        <f t="shared" si="21"/>
        <v>1000</v>
      </c>
      <c r="AF47" s="160">
        <f t="shared" si="21"/>
        <v>1000</v>
      </c>
      <c r="AG47" s="160">
        <f t="shared" si="21"/>
        <v>1000</v>
      </c>
      <c r="AH47" s="160">
        <f t="shared" si="21"/>
        <v>1000</v>
      </c>
      <c r="AI47" s="160">
        <f t="shared" si="21"/>
        <v>1000</v>
      </c>
      <c r="AJ47" s="160">
        <f t="shared" si="21"/>
        <v>1000</v>
      </c>
      <c r="AK47" s="160">
        <f t="shared" si="21"/>
        <v>1000</v>
      </c>
      <c r="AL47" s="160">
        <f t="shared" si="21"/>
        <v>1000</v>
      </c>
      <c r="AM47" s="160">
        <f t="shared" si="21"/>
        <v>1000</v>
      </c>
      <c r="AN47" s="160">
        <f t="shared" si="21"/>
        <v>1000</v>
      </c>
      <c r="AO47" s="160">
        <f t="shared" si="21"/>
        <v>1000</v>
      </c>
      <c r="AP47" s="160">
        <f t="shared" si="21"/>
        <v>1000</v>
      </c>
      <c r="AQ47" s="160">
        <f t="shared" si="21"/>
        <v>1000</v>
      </c>
      <c r="AR47" s="160">
        <f t="shared" si="21"/>
        <v>1000</v>
      </c>
      <c r="AS47" s="160">
        <f t="shared" si="21"/>
        <v>1000</v>
      </c>
      <c r="AT47" s="160">
        <f t="shared" si="21"/>
        <v>1000</v>
      </c>
      <c r="AU47" s="160">
        <f t="shared" si="21"/>
        <v>1000</v>
      </c>
      <c r="AV47" s="160">
        <f t="shared" si="21"/>
        <v>1000</v>
      </c>
      <c r="AW47" s="160">
        <f t="shared" si="21"/>
        <v>1000</v>
      </c>
      <c r="AX47" s="160">
        <f t="shared" si="21"/>
        <v>1000</v>
      </c>
      <c r="AY47" s="160">
        <f t="shared" si="21"/>
        <v>1000</v>
      </c>
      <c r="AZ47" s="160">
        <f t="shared" si="21"/>
        <v>1000</v>
      </c>
      <c r="BA47" s="160">
        <f t="shared" si="21"/>
        <v>1000</v>
      </c>
      <c r="BB47" s="160">
        <f t="shared" si="21"/>
        <v>1000</v>
      </c>
      <c r="BC47" s="160">
        <f t="shared" si="21"/>
        <v>1000</v>
      </c>
      <c r="BD47" s="160">
        <f t="shared" si="21"/>
        <v>1000</v>
      </c>
      <c r="BE47" s="160">
        <f t="shared" si="21"/>
        <v>1000</v>
      </c>
      <c r="BF47" s="160">
        <f t="shared" si="21"/>
        <v>1000</v>
      </c>
      <c r="BG47" s="160">
        <f t="shared" si="21"/>
        <v>1000</v>
      </c>
      <c r="BH47" s="160">
        <f t="shared" si="21"/>
        <v>1000</v>
      </c>
      <c r="BI47" s="160">
        <f t="shared" si="21"/>
        <v>1000</v>
      </c>
      <c r="BJ47" s="160">
        <f t="shared" si="21"/>
        <v>1000</v>
      </c>
      <c r="BK47" s="160">
        <f t="shared" si="21"/>
        <v>1000</v>
      </c>
      <c r="BL47" s="160">
        <f t="shared" si="21"/>
        <v>1000</v>
      </c>
      <c r="BM47" s="160">
        <f t="shared" si="21"/>
        <v>1000</v>
      </c>
      <c r="BN47" s="160">
        <f t="shared" si="21"/>
        <v>1000</v>
      </c>
      <c r="BO47" s="160">
        <f t="shared" si="21"/>
        <v>1000</v>
      </c>
      <c r="BP47" s="160">
        <f t="shared" si="21"/>
        <v>1000</v>
      </c>
      <c r="BQ47" s="160">
        <f t="shared" si="21"/>
        <v>1000</v>
      </c>
      <c r="BR47" s="160">
        <f t="shared" ref="BR47:CA47" si="22" xml:space="preserve"> BR$55</f>
        <v>1000</v>
      </c>
      <c r="BS47" s="160">
        <f t="shared" si="22"/>
        <v>1000</v>
      </c>
      <c r="BT47" s="160">
        <f t="shared" si="22"/>
        <v>1000</v>
      </c>
      <c r="BU47" s="160">
        <f t="shared" si="22"/>
        <v>1000</v>
      </c>
      <c r="BV47" s="160">
        <f t="shared" si="22"/>
        <v>1000</v>
      </c>
      <c r="BW47" s="160">
        <f t="shared" si="22"/>
        <v>0</v>
      </c>
      <c r="BX47" s="160">
        <f t="shared" si="22"/>
        <v>0</v>
      </c>
      <c r="BY47" s="160">
        <f t="shared" si="22"/>
        <v>0</v>
      </c>
      <c r="BZ47" s="160">
        <f t="shared" si="22"/>
        <v>0</v>
      </c>
      <c r="CA47" s="160">
        <f t="shared" si="22"/>
        <v>0</v>
      </c>
    </row>
    <row r="48" spans="1:79" s="144" customFormat="1" x14ac:dyDescent="0.2">
      <c r="A48" s="93"/>
      <c r="B48" s="93"/>
      <c r="C48" s="94"/>
      <c r="D48" s="143"/>
      <c r="E48" s="144" t="str">
        <f>'T&amp;E'!E$38</f>
        <v>Last forecast period flag</v>
      </c>
      <c r="F48" s="144">
        <f>'T&amp;E'!F$38</f>
        <v>0</v>
      </c>
      <c r="G48" s="144" t="str">
        <f>'T&amp;E'!G$38</f>
        <v>flag</v>
      </c>
      <c r="H48" s="144">
        <f>'T&amp;E'!H$38</f>
        <v>1</v>
      </c>
      <c r="I48" s="144">
        <f>'T&amp;E'!I$38</f>
        <v>0</v>
      </c>
      <c r="J48" s="144">
        <f>'T&amp;E'!J$38</f>
        <v>0</v>
      </c>
      <c r="K48" s="144">
        <f>'T&amp;E'!K$38</f>
        <v>0</v>
      </c>
      <c r="L48" s="144">
        <f>'T&amp;E'!L$38</f>
        <v>0</v>
      </c>
      <c r="M48" s="144">
        <f>'T&amp;E'!M$38</f>
        <v>0</v>
      </c>
      <c r="N48" s="144">
        <f>'T&amp;E'!N$38</f>
        <v>0</v>
      </c>
      <c r="O48" s="144">
        <f>'T&amp;E'!O$38</f>
        <v>0</v>
      </c>
      <c r="P48" s="144">
        <f>'T&amp;E'!P$38</f>
        <v>0</v>
      </c>
      <c r="Q48" s="144">
        <f>'T&amp;E'!Q$38</f>
        <v>0</v>
      </c>
      <c r="R48" s="144">
        <f>'T&amp;E'!R$38</f>
        <v>0</v>
      </c>
      <c r="S48" s="144">
        <f>'T&amp;E'!S$38</f>
        <v>0</v>
      </c>
      <c r="T48" s="144">
        <f>'T&amp;E'!T$38</f>
        <v>0</v>
      </c>
      <c r="U48" s="144">
        <f>'T&amp;E'!U$38</f>
        <v>0</v>
      </c>
      <c r="V48" s="144">
        <f>'T&amp;E'!V$38</f>
        <v>0</v>
      </c>
      <c r="W48" s="144">
        <f>'T&amp;E'!W$38</f>
        <v>0</v>
      </c>
      <c r="X48" s="144">
        <f>'T&amp;E'!X$38</f>
        <v>0</v>
      </c>
      <c r="Y48" s="144">
        <f>'T&amp;E'!Y$38</f>
        <v>0</v>
      </c>
      <c r="Z48" s="144">
        <f>'T&amp;E'!Z$38</f>
        <v>0</v>
      </c>
      <c r="AA48" s="144">
        <f>'T&amp;E'!AA$38</f>
        <v>0</v>
      </c>
      <c r="AB48" s="144">
        <f>'T&amp;E'!AB$38</f>
        <v>0</v>
      </c>
      <c r="AC48" s="144">
        <f>'T&amp;E'!AC$38</f>
        <v>0</v>
      </c>
      <c r="AD48" s="144">
        <f>'T&amp;E'!AD$38</f>
        <v>0</v>
      </c>
      <c r="AE48" s="144">
        <f>'T&amp;E'!AE$38</f>
        <v>0</v>
      </c>
      <c r="AF48" s="144">
        <f>'T&amp;E'!AF$38</f>
        <v>0</v>
      </c>
      <c r="AG48" s="144">
        <f>'T&amp;E'!AG$38</f>
        <v>0</v>
      </c>
      <c r="AH48" s="144">
        <f>'T&amp;E'!AH$38</f>
        <v>0</v>
      </c>
      <c r="AI48" s="144">
        <f>'T&amp;E'!AI$38</f>
        <v>0</v>
      </c>
      <c r="AJ48" s="144">
        <f>'T&amp;E'!AJ$38</f>
        <v>0</v>
      </c>
      <c r="AK48" s="144">
        <f>'T&amp;E'!AK$38</f>
        <v>0</v>
      </c>
      <c r="AL48" s="144">
        <f>'T&amp;E'!AL$38</f>
        <v>0</v>
      </c>
      <c r="AM48" s="144">
        <f>'T&amp;E'!AM$38</f>
        <v>0</v>
      </c>
      <c r="AN48" s="144">
        <f>'T&amp;E'!AN$38</f>
        <v>0</v>
      </c>
      <c r="AO48" s="144">
        <f>'T&amp;E'!AO$38</f>
        <v>0</v>
      </c>
      <c r="AP48" s="144">
        <f>'T&amp;E'!AP$38</f>
        <v>0</v>
      </c>
      <c r="AQ48" s="144">
        <f>'T&amp;E'!AQ$38</f>
        <v>0</v>
      </c>
      <c r="AR48" s="144">
        <f>'T&amp;E'!AR$38</f>
        <v>0</v>
      </c>
      <c r="AS48" s="144">
        <f>'T&amp;E'!AS$38</f>
        <v>0</v>
      </c>
      <c r="AT48" s="144">
        <f>'T&amp;E'!AT$38</f>
        <v>0</v>
      </c>
      <c r="AU48" s="144">
        <f>'T&amp;E'!AU$38</f>
        <v>0</v>
      </c>
      <c r="AV48" s="144">
        <f>'T&amp;E'!AV$38</f>
        <v>0</v>
      </c>
      <c r="AW48" s="144">
        <f>'T&amp;E'!AW$38</f>
        <v>0</v>
      </c>
      <c r="AX48" s="144">
        <f>'T&amp;E'!AX$38</f>
        <v>0</v>
      </c>
      <c r="AY48" s="144">
        <f>'T&amp;E'!AY$38</f>
        <v>0</v>
      </c>
      <c r="AZ48" s="144">
        <f>'T&amp;E'!AZ$38</f>
        <v>0</v>
      </c>
      <c r="BA48" s="144">
        <f>'T&amp;E'!BA$38</f>
        <v>0</v>
      </c>
      <c r="BB48" s="144">
        <f>'T&amp;E'!BB$38</f>
        <v>0</v>
      </c>
      <c r="BC48" s="144">
        <f>'T&amp;E'!BC$38</f>
        <v>0</v>
      </c>
      <c r="BD48" s="144">
        <f>'T&amp;E'!BD$38</f>
        <v>0</v>
      </c>
      <c r="BE48" s="144">
        <f>'T&amp;E'!BE$38</f>
        <v>0</v>
      </c>
      <c r="BF48" s="144">
        <f>'T&amp;E'!BF$38</f>
        <v>0</v>
      </c>
      <c r="BG48" s="144">
        <f>'T&amp;E'!BG$38</f>
        <v>0</v>
      </c>
      <c r="BH48" s="144">
        <f>'T&amp;E'!BH$38</f>
        <v>0</v>
      </c>
      <c r="BI48" s="144">
        <f>'T&amp;E'!BI$38</f>
        <v>0</v>
      </c>
      <c r="BJ48" s="144">
        <f>'T&amp;E'!BJ$38</f>
        <v>0</v>
      </c>
      <c r="BK48" s="144">
        <f>'T&amp;E'!BK$38</f>
        <v>0</v>
      </c>
      <c r="BL48" s="144">
        <f>'T&amp;E'!BL$38</f>
        <v>0</v>
      </c>
      <c r="BM48" s="144">
        <f>'T&amp;E'!BM$38</f>
        <v>0</v>
      </c>
      <c r="BN48" s="144">
        <f>'T&amp;E'!BN$38</f>
        <v>0</v>
      </c>
      <c r="BO48" s="144">
        <f>'T&amp;E'!BO$38</f>
        <v>0</v>
      </c>
      <c r="BP48" s="144">
        <f>'T&amp;E'!BP$38</f>
        <v>0</v>
      </c>
      <c r="BQ48" s="144">
        <f>'T&amp;E'!BQ$38</f>
        <v>0</v>
      </c>
      <c r="BR48" s="144">
        <f>'T&amp;E'!BR$38</f>
        <v>0</v>
      </c>
      <c r="BS48" s="144">
        <f>'T&amp;E'!BS$38</f>
        <v>0</v>
      </c>
      <c r="BT48" s="144">
        <f>'T&amp;E'!BT$38</f>
        <v>0</v>
      </c>
      <c r="BU48" s="144">
        <f>'T&amp;E'!BU$38</f>
        <v>0</v>
      </c>
      <c r="BV48" s="144">
        <f>'T&amp;E'!BV$38</f>
        <v>1</v>
      </c>
      <c r="BW48" s="144">
        <f>'T&amp;E'!BW$38</f>
        <v>0</v>
      </c>
      <c r="BX48" s="144">
        <f>'T&amp;E'!BX$38</f>
        <v>0</v>
      </c>
      <c r="BY48" s="144">
        <f>'T&amp;E'!BY$38</f>
        <v>0</v>
      </c>
      <c r="BZ48" s="144">
        <f>'T&amp;E'!BZ$38</f>
        <v>0</v>
      </c>
      <c r="CA48" s="144">
        <f>'T&amp;E'!CA$38</f>
        <v>0</v>
      </c>
    </row>
    <row r="49" spans="1:79" s="140" customFormat="1" x14ac:dyDescent="0.2">
      <c r="A49" s="137"/>
      <c r="B49" s="145"/>
      <c r="C49" s="146"/>
      <c r="D49" s="139"/>
      <c r="E49" s="140" t="s">
        <v>125</v>
      </c>
      <c r="G49" s="140" t="str">
        <f xml:space="preserve"> SMU</f>
        <v>€ 000s</v>
      </c>
      <c r="H49" s="140">
        <f>SUM(J49:CA49)</f>
        <v>1000</v>
      </c>
      <c r="J49" s="140">
        <f xml:space="preserve"> J47 * J48</f>
        <v>0</v>
      </c>
      <c r="K49" s="140">
        <f t="shared" ref="K49:BV49" si="23" xml:space="preserve"> K47 * K48</f>
        <v>0</v>
      </c>
      <c r="L49" s="140">
        <f t="shared" si="23"/>
        <v>0</v>
      </c>
      <c r="M49" s="140">
        <f t="shared" si="23"/>
        <v>0</v>
      </c>
      <c r="N49" s="140">
        <f t="shared" si="23"/>
        <v>0</v>
      </c>
      <c r="O49" s="140">
        <f t="shared" si="23"/>
        <v>0</v>
      </c>
      <c r="P49" s="140">
        <f t="shared" si="23"/>
        <v>0</v>
      </c>
      <c r="Q49" s="140">
        <f t="shared" si="23"/>
        <v>0</v>
      </c>
      <c r="R49" s="140">
        <f t="shared" si="23"/>
        <v>0</v>
      </c>
      <c r="S49" s="140">
        <f t="shared" si="23"/>
        <v>0</v>
      </c>
      <c r="T49" s="140">
        <f t="shared" si="23"/>
        <v>0</v>
      </c>
      <c r="U49" s="140">
        <f t="shared" si="23"/>
        <v>0</v>
      </c>
      <c r="V49" s="140">
        <f t="shared" si="23"/>
        <v>0</v>
      </c>
      <c r="W49" s="140">
        <f t="shared" si="23"/>
        <v>0</v>
      </c>
      <c r="X49" s="140">
        <f t="shared" si="23"/>
        <v>0</v>
      </c>
      <c r="Y49" s="140">
        <f t="shared" si="23"/>
        <v>0</v>
      </c>
      <c r="Z49" s="140">
        <f t="shared" si="23"/>
        <v>0</v>
      </c>
      <c r="AA49" s="140">
        <f t="shared" si="23"/>
        <v>0</v>
      </c>
      <c r="AB49" s="140">
        <f t="shared" si="23"/>
        <v>0</v>
      </c>
      <c r="AC49" s="140">
        <f t="shared" si="23"/>
        <v>0</v>
      </c>
      <c r="AD49" s="140">
        <f t="shared" si="23"/>
        <v>0</v>
      </c>
      <c r="AE49" s="140">
        <f t="shared" si="23"/>
        <v>0</v>
      </c>
      <c r="AF49" s="140">
        <f t="shared" si="23"/>
        <v>0</v>
      </c>
      <c r="AG49" s="140">
        <f t="shared" si="23"/>
        <v>0</v>
      </c>
      <c r="AH49" s="140">
        <f t="shared" si="23"/>
        <v>0</v>
      </c>
      <c r="AI49" s="140">
        <f t="shared" si="23"/>
        <v>0</v>
      </c>
      <c r="AJ49" s="140">
        <f t="shared" si="23"/>
        <v>0</v>
      </c>
      <c r="AK49" s="140">
        <f t="shared" si="23"/>
        <v>0</v>
      </c>
      <c r="AL49" s="140">
        <f t="shared" si="23"/>
        <v>0</v>
      </c>
      <c r="AM49" s="140">
        <f t="shared" si="23"/>
        <v>0</v>
      </c>
      <c r="AN49" s="140">
        <f t="shared" si="23"/>
        <v>0</v>
      </c>
      <c r="AO49" s="140">
        <f t="shared" si="23"/>
        <v>0</v>
      </c>
      <c r="AP49" s="140">
        <f t="shared" si="23"/>
        <v>0</v>
      </c>
      <c r="AQ49" s="140">
        <f t="shared" si="23"/>
        <v>0</v>
      </c>
      <c r="AR49" s="140">
        <f t="shared" si="23"/>
        <v>0</v>
      </c>
      <c r="AS49" s="140">
        <f t="shared" si="23"/>
        <v>0</v>
      </c>
      <c r="AT49" s="140">
        <f t="shared" si="23"/>
        <v>0</v>
      </c>
      <c r="AU49" s="140">
        <f t="shared" si="23"/>
        <v>0</v>
      </c>
      <c r="AV49" s="140">
        <f t="shared" si="23"/>
        <v>0</v>
      </c>
      <c r="AW49" s="140">
        <f t="shared" si="23"/>
        <v>0</v>
      </c>
      <c r="AX49" s="140">
        <f t="shared" si="23"/>
        <v>0</v>
      </c>
      <c r="AY49" s="140">
        <f t="shared" si="23"/>
        <v>0</v>
      </c>
      <c r="AZ49" s="140">
        <f t="shared" si="23"/>
        <v>0</v>
      </c>
      <c r="BA49" s="140">
        <f t="shared" si="23"/>
        <v>0</v>
      </c>
      <c r="BB49" s="140">
        <f t="shared" si="23"/>
        <v>0</v>
      </c>
      <c r="BC49" s="140">
        <f t="shared" si="23"/>
        <v>0</v>
      </c>
      <c r="BD49" s="140">
        <f t="shared" si="23"/>
        <v>0</v>
      </c>
      <c r="BE49" s="140">
        <f t="shared" si="23"/>
        <v>0</v>
      </c>
      <c r="BF49" s="140">
        <f t="shared" si="23"/>
        <v>0</v>
      </c>
      <c r="BG49" s="140">
        <f t="shared" si="23"/>
        <v>0</v>
      </c>
      <c r="BH49" s="140">
        <f t="shared" si="23"/>
        <v>0</v>
      </c>
      <c r="BI49" s="140">
        <f t="shared" si="23"/>
        <v>0</v>
      </c>
      <c r="BJ49" s="140">
        <f t="shared" si="23"/>
        <v>0</v>
      </c>
      <c r="BK49" s="140">
        <f t="shared" si="23"/>
        <v>0</v>
      </c>
      <c r="BL49" s="140">
        <f t="shared" si="23"/>
        <v>0</v>
      </c>
      <c r="BM49" s="140">
        <f t="shared" si="23"/>
        <v>0</v>
      </c>
      <c r="BN49" s="140">
        <f t="shared" si="23"/>
        <v>0</v>
      </c>
      <c r="BO49" s="140">
        <f t="shared" si="23"/>
        <v>0</v>
      </c>
      <c r="BP49" s="140">
        <f t="shared" si="23"/>
        <v>0</v>
      </c>
      <c r="BQ49" s="140">
        <f t="shared" si="23"/>
        <v>0</v>
      </c>
      <c r="BR49" s="140">
        <f t="shared" si="23"/>
        <v>0</v>
      </c>
      <c r="BS49" s="140">
        <f t="shared" si="23"/>
        <v>0</v>
      </c>
      <c r="BT49" s="140">
        <f t="shared" si="23"/>
        <v>0</v>
      </c>
      <c r="BU49" s="140">
        <f t="shared" si="23"/>
        <v>0</v>
      </c>
      <c r="BV49" s="140">
        <f t="shared" si="23"/>
        <v>1000</v>
      </c>
      <c r="BW49" s="140">
        <f t="shared" ref="BW49:CA49" si="24" xml:space="preserve"> BW47 * BW48</f>
        <v>0</v>
      </c>
      <c r="BX49" s="140">
        <f t="shared" si="24"/>
        <v>0</v>
      </c>
      <c r="BY49" s="140">
        <f t="shared" si="24"/>
        <v>0</v>
      </c>
      <c r="BZ49" s="140">
        <f t="shared" si="24"/>
        <v>0</v>
      </c>
      <c r="CA49" s="140">
        <f t="shared" si="24"/>
        <v>0</v>
      </c>
    </row>
    <row r="50" spans="1:79" s="140" customFormat="1" x14ac:dyDescent="0.2">
      <c r="A50" s="137"/>
      <c r="B50" s="137"/>
      <c r="C50" s="138"/>
      <c r="D50" s="139"/>
      <c r="E50" s="140" t="str">
        <f xml:space="preserve"> LEFT(E49, LEN(E49) - 4)</f>
        <v>Share capital redemption</v>
      </c>
      <c r="G50" s="140" t="str">
        <f xml:space="preserve"> SMU</f>
        <v>€ 000s</v>
      </c>
      <c r="H50" s="140">
        <f>SUM(J50:CA50)</f>
        <v>-1000</v>
      </c>
      <c r="J50" s="140">
        <f t="shared" ref="J50:BU50" si="25" xml:space="preserve"> -1 * J49</f>
        <v>0</v>
      </c>
      <c r="K50" s="140">
        <f t="shared" si="25"/>
        <v>0</v>
      </c>
      <c r="L50" s="140">
        <f t="shared" si="25"/>
        <v>0</v>
      </c>
      <c r="M50" s="140">
        <f t="shared" si="25"/>
        <v>0</v>
      </c>
      <c r="N50" s="140">
        <f t="shared" si="25"/>
        <v>0</v>
      </c>
      <c r="O50" s="140">
        <f t="shared" si="25"/>
        <v>0</v>
      </c>
      <c r="P50" s="140">
        <f t="shared" si="25"/>
        <v>0</v>
      </c>
      <c r="Q50" s="140">
        <f t="shared" si="25"/>
        <v>0</v>
      </c>
      <c r="R50" s="140">
        <f t="shared" si="25"/>
        <v>0</v>
      </c>
      <c r="S50" s="140">
        <f t="shared" si="25"/>
        <v>0</v>
      </c>
      <c r="T50" s="140">
        <f t="shared" si="25"/>
        <v>0</v>
      </c>
      <c r="U50" s="140">
        <f t="shared" si="25"/>
        <v>0</v>
      </c>
      <c r="V50" s="140">
        <f t="shared" si="25"/>
        <v>0</v>
      </c>
      <c r="W50" s="140">
        <f t="shared" si="25"/>
        <v>0</v>
      </c>
      <c r="X50" s="140">
        <f t="shared" si="25"/>
        <v>0</v>
      </c>
      <c r="Y50" s="140">
        <f t="shared" si="25"/>
        <v>0</v>
      </c>
      <c r="Z50" s="140">
        <f t="shared" si="25"/>
        <v>0</v>
      </c>
      <c r="AA50" s="140">
        <f t="shared" si="25"/>
        <v>0</v>
      </c>
      <c r="AB50" s="140">
        <f t="shared" si="25"/>
        <v>0</v>
      </c>
      <c r="AC50" s="140">
        <f t="shared" si="25"/>
        <v>0</v>
      </c>
      <c r="AD50" s="140">
        <f t="shared" si="25"/>
        <v>0</v>
      </c>
      <c r="AE50" s="140">
        <f t="shared" si="25"/>
        <v>0</v>
      </c>
      <c r="AF50" s="140">
        <f t="shared" si="25"/>
        <v>0</v>
      </c>
      <c r="AG50" s="140">
        <f t="shared" si="25"/>
        <v>0</v>
      </c>
      <c r="AH50" s="140">
        <f t="shared" si="25"/>
        <v>0</v>
      </c>
      <c r="AI50" s="140">
        <f t="shared" si="25"/>
        <v>0</v>
      </c>
      <c r="AJ50" s="140">
        <f t="shared" si="25"/>
        <v>0</v>
      </c>
      <c r="AK50" s="140">
        <f t="shared" si="25"/>
        <v>0</v>
      </c>
      <c r="AL50" s="140">
        <f t="shared" si="25"/>
        <v>0</v>
      </c>
      <c r="AM50" s="140">
        <f t="shared" si="25"/>
        <v>0</v>
      </c>
      <c r="AN50" s="140">
        <f t="shared" si="25"/>
        <v>0</v>
      </c>
      <c r="AO50" s="140">
        <f t="shared" si="25"/>
        <v>0</v>
      </c>
      <c r="AP50" s="140">
        <f t="shared" si="25"/>
        <v>0</v>
      </c>
      <c r="AQ50" s="140">
        <f t="shared" si="25"/>
        <v>0</v>
      </c>
      <c r="AR50" s="140">
        <f t="shared" si="25"/>
        <v>0</v>
      </c>
      <c r="AS50" s="140">
        <f t="shared" si="25"/>
        <v>0</v>
      </c>
      <c r="AT50" s="140">
        <f t="shared" si="25"/>
        <v>0</v>
      </c>
      <c r="AU50" s="140">
        <f t="shared" si="25"/>
        <v>0</v>
      </c>
      <c r="AV50" s="140">
        <f t="shared" si="25"/>
        <v>0</v>
      </c>
      <c r="AW50" s="140">
        <f t="shared" si="25"/>
        <v>0</v>
      </c>
      <c r="AX50" s="140">
        <f t="shared" si="25"/>
        <v>0</v>
      </c>
      <c r="AY50" s="140">
        <f t="shared" si="25"/>
        <v>0</v>
      </c>
      <c r="AZ50" s="140">
        <f t="shared" si="25"/>
        <v>0</v>
      </c>
      <c r="BA50" s="140">
        <f t="shared" si="25"/>
        <v>0</v>
      </c>
      <c r="BB50" s="140">
        <f t="shared" si="25"/>
        <v>0</v>
      </c>
      <c r="BC50" s="140">
        <f t="shared" si="25"/>
        <v>0</v>
      </c>
      <c r="BD50" s="140">
        <f t="shared" si="25"/>
        <v>0</v>
      </c>
      <c r="BE50" s="140">
        <f t="shared" si="25"/>
        <v>0</v>
      </c>
      <c r="BF50" s="140">
        <f t="shared" si="25"/>
        <v>0</v>
      </c>
      <c r="BG50" s="140">
        <f t="shared" si="25"/>
        <v>0</v>
      </c>
      <c r="BH50" s="140">
        <f t="shared" si="25"/>
        <v>0</v>
      </c>
      <c r="BI50" s="140">
        <f t="shared" si="25"/>
        <v>0</v>
      </c>
      <c r="BJ50" s="140">
        <f t="shared" si="25"/>
        <v>0</v>
      </c>
      <c r="BK50" s="140">
        <f t="shared" si="25"/>
        <v>0</v>
      </c>
      <c r="BL50" s="140">
        <f t="shared" si="25"/>
        <v>0</v>
      </c>
      <c r="BM50" s="140">
        <f t="shared" si="25"/>
        <v>0</v>
      </c>
      <c r="BN50" s="140">
        <f t="shared" si="25"/>
        <v>0</v>
      </c>
      <c r="BO50" s="140">
        <f t="shared" si="25"/>
        <v>0</v>
      </c>
      <c r="BP50" s="140">
        <f t="shared" si="25"/>
        <v>0</v>
      </c>
      <c r="BQ50" s="140">
        <f t="shared" si="25"/>
        <v>0</v>
      </c>
      <c r="BR50" s="140">
        <f t="shared" si="25"/>
        <v>0</v>
      </c>
      <c r="BS50" s="140">
        <f t="shared" si="25"/>
        <v>0</v>
      </c>
      <c r="BT50" s="140">
        <f t="shared" si="25"/>
        <v>0</v>
      </c>
      <c r="BU50" s="140">
        <f t="shared" si="25"/>
        <v>0</v>
      </c>
      <c r="BV50" s="140">
        <f t="shared" ref="BV50:CA50" si="26" xml:space="preserve"> -1 * BV49</f>
        <v>-1000</v>
      </c>
      <c r="BW50" s="140">
        <f t="shared" si="26"/>
        <v>0</v>
      </c>
      <c r="BX50" s="140">
        <f t="shared" si="26"/>
        <v>0</v>
      </c>
      <c r="BY50" s="140">
        <f t="shared" si="26"/>
        <v>0</v>
      </c>
      <c r="BZ50" s="140">
        <f t="shared" si="26"/>
        <v>0</v>
      </c>
      <c r="CA50" s="140">
        <f t="shared" si="26"/>
        <v>0</v>
      </c>
    </row>
    <row r="52" spans="1:79" s="165" customFormat="1" x14ac:dyDescent="0.2">
      <c r="A52" s="161"/>
      <c r="B52" s="161"/>
      <c r="C52" s="162"/>
      <c r="D52" s="163"/>
      <c r="E52" s="164" t="str">
        <f>InpC!E$54</f>
        <v>Share capital investment requirement</v>
      </c>
      <c r="F52" s="164">
        <f>InpC!F$54</f>
        <v>1000</v>
      </c>
      <c r="G52" s="164" t="str">
        <f>InpC!G$54</f>
        <v>€ 000s</v>
      </c>
    </row>
    <row r="53" spans="1:79" s="118" customFormat="1" x14ac:dyDescent="0.2">
      <c r="A53" s="115"/>
      <c r="B53" s="115"/>
      <c r="C53" s="116"/>
      <c r="D53" s="117"/>
      <c r="E53" s="118" t="str">
        <f>'T&amp;E'!E$19</f>
        <v>Initial operations date flag</v>
      </c>
      <c r="F53" s="118">
        <f>'T&amp;E'!F$19</f>
        <v>0</v>
      </c>
      <c r="G53" s="118" t="str">
        <f>'T&amp;E'!G$19</f>
        <v>flag</v>
      </c>
      <c r="H53" s="118">
        <f>'T&amp;E'!H$19</f>
        <v>1</v>
      </c>
      <c r="I53" s="118">
        <f>'T&amp;E'!I$19</f>
        <v>0</v>
      </c>
      <c r="J53" s="118">
        <f>'T&amp;E'!J$19</f>
        <v>0</v>
      </c>
      <c r="K53" s="118">
        <f>'T&amp;E'!K$19</f>
        <v>0</v>
      </c>
      <c r="L53" s="118">
        <f>'T&amp;E'!L$19</f>
        <v>0</v>
      </c>
      <c r="M53" s="118">
        <f>'T&amp;E'!M$19</f>
        <v>0</v>
      </c>
      <c r="N53" s="118">
        <f>'T&amp;E'!N$19</f>
        <v>1</v>
      </c>
      <c r="O53" s="118">
        <f>'T&amp;E'!O$19</f>
        <v>0</v>
      </c>
      <c r="P53" s="118">
        <f>'T&amp;E'!P$19</f>
        <v>0</v>
      </c>
      <c r="Q53" s="118">
        <f>'T&amp;E'!Q$19</f>
        <v>0</v>
      </c>
      <c r="R53" s="118">
        <f>'T&amp;E'!R$19</f>
        <v>0</v>
      </c>
      <c r="S53" s="118">
        <f>'T&amp;E'!S$19</f>
        <v>0</v>
      </c>
      <c r="T53" s="118">
        <f>'T&amp;E'!T$19</f>
        <v>0</v>
      </c>
      <c r="U53" s="118">
        <f>'T&amp;E'!U$19</f>
        <v>0</v>
      </c>
      <c r="V53" s="118">
        <f>'T&amp;E'!V$19</f>
        <v>0</v>
      </c>
      <c r="W53" s="118">
        <f>'T&amp;E'!W$19</f>
        <v>0</v>
      </c>
      <c r="X53" s="118">
        <f>'T&amp;E'!X$19</f>
        <v>0</v>
      </c>
      <c r="Y53" s="118">
        <f>'T&amp;E'!Y$19</f>
        <v>0</v>
      </c>
      <c r="Z53" s="118">
        <f>'T&amp;E'!Z$19</f>
        <v>0</v>
      </c>
      <c r="AA53" s="118">
        <f>'T&amp;E'!AA$19</f>
        <v>0</v>
      </c>
      <c r="AB53" s="118">
        <f>'T&amp;E'!AB$19</f>
        <v>0</v>
      </c>
      <c r="AC53" s="118">
        <f>'T&amp;E'!AC$19</f>
        <v>0</v>
      </c>
      <c r="AD53" s="118">
        <f>'T&amp;E'!AD$19</f>
        <v>0</v>
      </c>
      <c r="AE53" s="118">
        <f>'T&amp;E'!AE$19</f>
        <v>0</v>
      </c>
      <c r="AF53" s="118">
        <f>'T&amp;E'!AF$19</f>
        <v>0</v>
      </c>
      <c r="AG53" s="118">
        <f>'T&amp;E'!AG$19</f>
        <v>0</v>
      </c>
      <c r="AH53" s="118">
        <f>'T&amp;E'!AH$19</f>
        <v>0</v>
      </c>
      <c r="AI53" s="118">
        <f>'T&amp;E'!AI$19</f>
        <v>0</v>
      </c>
      <c r="AJ53" s="118">
        <f>'T&amp;E'!AJ$19</f>
        <v>0</v>
      </c>
      <c r="AK53" s="118">
        <f>'T&amp;E'!AK$19</f>
        <v>0</v>
      </c>
      <c r="AL53" s="118">
        <f>'T&amp;E'!AL$19</f>
        <v>0</v>
      </c>
      <c r="AM53" s="118">
        <f>'T&amp;E'!AM$19</f>
        <v>0</v>
      </c>
      <c r="AN53" s="118">
        <f>'T&amp;E'!AN$19</f>
        <v>0</v>
      </c>
      <c r="AO53" s="118">
        <f>'T&amp;E'!AO$19</f>
        <v>0</v>
      </c>
      <c r="AP53" s="118">
        <f>'T&amp;E'!AP$19</f>
        <v>0</v>
      </c>
      <c r="AQ53" s="118">
        <f>'T&amp;E'!AQ$19</f>
        <v>0</v>
      </c>
      <c r="AR53" s="118">
        <f>'T&amp;E'!AR$19</f>
        <v>0</v>
      </c>
      <c r="AS53" s="118">
        <f>'T&amp;E'!AS$19</f>
        <v>0</v>
      </c>
      <c r="AT53" s="118">
        <f>'T&amp;E'!AT$19</f>
        <v>0</v>
      </c>
      <c r="AU53" s="118">
        <f>'T&amp;E'!AU$19</f>
        <v>0</v>
      </c>
      <c r="AV53" s="118">
        <f>'T&amp;E'!AV$19</f>
        <v>0</v>
      </c>
      <c r="AW53" s="118">
        <f>'T&amp;E'!AW$19</f>
        <v>0</v>
      </c>
      <c r="AX53" s="118">
        <f>'T&amp;E'!AX$19</f>
        <v>0</v>
      </c>
      <c r="AY53" s="118">
        <f>'T&amp;E'!AY$19</f>
        <v>0</v>
      </c>
      <c r="AZ53" s="118">
        <f>'T&amp;E'!AZ$19</f>
        <v>0</v>
      </c>
      <c r="BA53" s="118">
        <f>'T&amp;E'!BA$19</f>
        <v>0</v>
      </c>
      <c r="BB53" s="118">
        <f>'T&amp;E'!BB$19</f>
        <v>0</v>
      </c>
      <c r="BC53" s="118">
        <f>'T&amp;E'!BC$19</f>
        <v>0</v>
      </c>
      <c r="BD53" s="118">
        <f>'T&amp;E'!BD$19</f>
        <v>0</v>
      </c>
      <c r="BE53" s="118">
        <f>'T&amp;E'!BE$19</f>
        <v>0</v>
      </c>
      <c r="BF53" s="118">
        <f>'T&amp;E'!BF$19</f>
        <v>0</v>
      </c>
      <c r="BG53" s="118">
        <f>'T&amp;E'!BG$19</f>
        <v>0</v>
      </c>
      <c r="BH53" s="118">
        <f>'T&amp;E'!BH$19</f>
        <v>0</v>
      </c>
      <c r="BI53" s="118">
        <f>'T&amp;E'!BI$19</f>
        <v>0</v>
      </c>
      <c r="BJ53" s="118">
        <f>'T&amp;E'!BJ$19</f>
        <v>0</v>
      </c>
      <c r="BK53" s="118">
        <f>'T&amp;E'!BK$19</f>
        <v>0</v>
      </c>
      <c r="BL53" s="118">
        <f>'T&amp;E'!BL$19</f>
        <v>0</v>
      </c>
      <c r="BM53" s="118">
        <f>'T&amp;E'!BM$19</f>
        <v>0</v>
      </c>
      <c r="BN53" s="118">
        <f>'T&amp;E'!BN$19</f>
        <v>0</v>
      </c>
      <c r="BO53" s="118">
        <f>'T&amp;E'!BO$19</f>
        <v>0</v>
      </c>
      <c r="BP53" s="118">
        <f>'T&amp;E'!BP$19</f>
        <v>0</v>
      </c>
      <c r="BQ53" s="118">
        <f>'T&amp;E'!BQ$19</f>
        <v>0</v>
      </c>
      <c r="BR53" s="118">
        <f>'T&amp;E'!BR$19</f>
        <v>0</v>
      </c>
      <c r="BS53" s="118">
        <f>'T&amp;E'!BS$19</f>
        <v>0</v>
      </c>
      <c r="BT53" s="118">
        <f>'T&amp;E'!BT$19</f>
        <v>0</v>
      </c>
      <c r="BU53" s="118">
        <f>'T&amp;E'!BU$19</f>
        <v>0</v>
      </c>
      <c r="BV53" s="118">
        <f>'T&amp;E'!BV$19</f>
        <v>0</v>
      </c>
      <c r="BW53" s="118">
        <f>'T&amp;E'!BW$19</f>
        <v>0</v>
      </c>
      <c r="BX53" s="118">
        <f>'T&amp;E'!BX$19</f>
        <v>0</v>
      </c>
      <c r="BY53" s="118">
        <f>'T&amp;E'!BY$19</f>
        <v>0</v>
      </c>
      <c r="BZ53" s="118">
        <f>'T&amp;E'!BZ$19</f>
        <v>0</v>
      </c>
      <c r="CA53" s="118">
        <f>'T&amp;E'!CA$19</f>
        <v>0</v>
      </c>
    </row>
    <row r="54" spans="1:79" s="122" customFormat="1" x14ac:dyDescent="0.2">
      <c r="A54" s="119"/>
      <c r="B54" s="119"/>
      <c r="C54" s="120"/>
      <c r="D54" s="121"/>
    </row>
    <row r="55" spans="1:79" s="122" customFormat="1" x14ac:dyDescent="0.2">
      <c r="A55" s="119"/>
      <c r="B55" s="119"/>
      <c r="C55" s="120"/>
      <c r="D55" s="121"/>
      <c r="E55" s="124" t="s">
        <v>123</v>
      </c>
      <c r="G55" s="124" t="str">
        <f xml:space="preserve"> SMU</f>
        <v>€ 000s</v>
      </c>
      <c r="J55" s="122">
        <f t="shared" ref="J55:BU55" si="27" xml:space="preserve"> I58</f>
        <v>0</v>
      </c>
      <c r="K55" s="122">
        <f t="shared" si="27"/>
        <v>0</v>
      </c>
      <c r="L55" s="122">
        <f t="shared" si="27"/>
        <v>0</v>
      </c>
      <c r="M55" s="122">
        <f t="shared" si="27"/>
        <v>0</v>
      </c>
      <c r="N55" s="122">
        <f t="shared" si="27"/>
        <v>0</v>
      </c>
      <c r="O55" s="122">
        <f t="shared" si="27"/>
        <v>1000</v>
      </c>
      <c r="P55" s="122">
        <f t="shared" si="27"/>
        <v>1000</v>
      </c>
      <c r="Q55" s="122">
        <f t="shared" si="27"/>
        <v>1000</v>
      </c>
      <c r="R55" s="122">
        <f t="shared" si="27"/>
        <v>1000</v>
      </c>
      <c r="S55" s="122">
        <f t="shared" si="27"/>
        <v>1000</v>
      </c>
      <c r="T55" s="122">
        <f t="shared" si="27"/>
        <v>1000</v>
      </c>
      <c r="U55" s="122">
        <f t="shared" si="27"/>
        <v>1000</v>
      </c>
      <c r="V55" s="122">
        <f t="shared" si="27"/>
        <v>1000</v>
      </c>
      <c r="W55" s="122">
        <f t="shared" si="27"/>
        <v>1000</v>
      </c>
      <c r="X55" s="122">
        <f t="shared" si="27"/>
        <v>1000</v>
      </c>
      <c r="Y55" s="122">
        <f t="shared" si="27"/>
        <v>1000</v>
      </c>
      <c r="Z55" s="122">
        <f t="shared" si="27"/>
        <v>1000</v>
      </c>
      <c r="AA55" s="122">
        <f t="shared" si="27"/>
        <v>1000</v>
      </c>
      <c r="AB55" s="122">
        <f t="shared" si="27"/>
        <v>1000</v>
      </c>
      <c r="AC55" s="122">
        <f t="shared" si="27"/>
        <v>1000</v>
      </c>
      <c r="AD55" s="122">
        <f t="shared" si="27"/>
        <v>1000</v>
      </c>
      <c r="AE55" s="122">
        <f t="shared" si="27"/>
        <v>1000</v>
      </c>
      <c r="AF55" s="122">
        <f t="shared" si="27"/>
        <v>1000</v>
      </c>
      <c r="AG55" s="122">
        <f t="shared" si="27"/>
        <v>1000</v>
      </c>
      <c r="AH55" s="122">
        <f t="shared" si="27"/>
        <v>1000</v>
      </c>
      <c r="AI55" s="122">
        <f t="shared" si="27"/>
        <v>1000</v>
      </c>
      <c r="AJ55" s="122">
        <f t="shared" si="27"/>
        <v>1000</v>
      </c>
      <c r="AK55" s="122">
        <f t="shared" si="27"/>
        <v>1000</v>
      </c>
      <c r="AL55" s="122">
        <f t="shared" si="27"/>
        <v>1000</v>
      </c>
      <c r="AM55" s="122">
        <f t="shared" si="27"/>
        <v>1000</v>
      </c>
      <c r="AN55" s="122">
        <f t="shared" si="27"/>
        <v>1000</v>
      </c>
      <c r="AO55" s="122">
        <f t="shared" si="27"/>
        <v>1000</v>
      </c>
      <c r="AP55" s="122">
        <f t="shared" si="27"/>
        <v>1000</v>
      </c>
      <c r="AQ55" s="122">
        <f t="shared" si="27"/>
        <v>1000</v>
      </c>
      <c r="AR55" s="122">
        <f t="shared" si="27"/>
        <v>1000</v>
      </c>
      <c r="AS55" s="122">
        <f t="shared" si="27"/>
        <v>1000</v>
      </c>
      <c r="AT55" s="122">
        <f t="shared" si="27"/>
        <v>1000</v>
      </c>
      <c r="AU55" s="122">
        <f t="shared" si="27"/>
        <v>1000</v>
      </c>
      <c r="AV55" s="122">
        <f t="shared" si="27"/>
        <v>1000</v>
      </c>
      <c r="AW55" s="122">
        <f t="shared" si="27"/>
        <v>1000</v>
      </c>
      <c r="AX55" s="122">
        <f t="shared" si="27"/>
        <v>1000</v>
      </c>
      <c r="AY55" s="122">
        <f t="shared" si="27"/>
        <v>1000</v>
      </c>
      <c r="AZ55" s="122">
        <f t="shared" si="27"/>
        <v>1000</v>
      </c>
      <c r="BA55" s="122">
        <f t="shared" si="27"/>
        <v>1000</v>
      </c>
      <c r="BB55" s="122">
        <f t="shared" si="27"/>
        <v>1000</v>
      </c>
      <c r="BC55" s="122">
        <f t="shared" si="27"/>
        <v>1000</v>
      </c>
      <c r="BD55" s="122">
        <f t="shared" si="27"/>
        <v>1000</v>
      </c>
      <c r="BE55" s="122">
        <f t="shared" si="27"/>
        <v>1000</v>
      </c>
      <c r="BF55" s="122">
        <f t="shared" si="27"/>
        <v>1000</v>
      </c>
      <c r="BG55" s="122">
        <f t="shared" si="27"/>
        <v>1000</v>
      </c>
      <c r="BH55" s="122">
        <f t="shared" si="27"/>
        <v>1000</v>
      </c>
      <c r="BI55" s="122">
        <f t="shared" si="27"/>
        <v>1000</v>
      </c>
      <c r="BJ55" s="122">
        <f t="shared" si="27"/>
        <v>1000</v>
      </c>
      <c r="BK55" s="122">
        <f t="shared" si="27"/>
        <v>1000</v>
      </c>
      <c r="BL55" s="122">
        <f t="shared" si="27"/>
        <v>1000</v>
      </c>
      <c r="BM55" s="122">
        <f t="shared" si="27"/>
        <v>1000</v>
      </c>
      <c r="BN55" s="122">
        <f t="shared" si="27"/>
        <v>1000</v>
      </c>
      <c r="BO55" s="122">
        <f t="shared" si="27"/>
        <v>1000</v>
      </c>
      <c r="BP55" s="122">
        <f t="shared" si="27"/>
        <v>1000</v>
      </c>
      <c r="BQ55" s="122">
        <f t="shared" si="27"/>
        <v>1000</v>
      </c>
      <c r="BR55" s="122">
        <f t="shared" si="27"/>
        <v>1000</v>
      </c>
      <c r="BS55" s="122">
        <f t="shared" si="27"/>
        <v>1000</v>
      </c>
      <c r="BT55" s="122">
        <f t="shared" si="27"/>
        <v>1000</v>
      </c>
      <c r="BU55" s="122">
        <f t="shared" si="27"/>
        <v>1000</v>
      </c>
      <c r="BV55" s="122">
        <f t="shared" ref="BV55:CA55" si="28" xml:space="preserve"> BU58</f>
        <v>1000</v>
      </c>
      <c r="BW55" s="122">
        <f t="shared" si="28"/>
        <v>0</v>
      </c>
      <c r="BX55" s="122">
        <f t="shared" si="28"/>
        <v>0</v>
      </c>
      <c r="BY55" s="122">
        <f t="shared" si="28"/>
        <v>0</v>
      </c>
      <c r="BZ55" s="122">
        <f t="shared" si="28"/>
        <v>0</v>
      </c>
      <c r="CA55" s="122">
        <f t="shared" si="28"/>
        <v>0</v>
      </c>
    </row>
    <row r="56" spans="1:79" s="123" customFormat="1" x14ac:dyDescent="0.2">
      <c r="A56" s="125"/>
      <c r="B56" s="125"/>
      <c r="C56" s="126"/>
      <c r="D56" s="127" t="s">
        <v>23</v>
      </c>
      <c r="E56" s="123" t="s">
        <v>127</v>
      </c>
      <c r="G56" s="123" t="str">
        <f xml:space="preserve"> SMU</f>
        <v>€ 000s</v>
      </c>
    </row>
    <row r="57" spans="1:79" s="124" customFormat="1" x14ac:dyDescent="0.2">
      <c r="A57" s="166"/>
      <c r="B57" s="166"/>
      <c r="C57" s="167"/>
      <c r="D57" s="168" t="s">
        <v>24</v>
      </c>
      <c r="E57" s="124" t="str">
        <f>E$49</f>
        <v>Share capital redemption POS</v>
      </c>
      <c r="F57" s="124">
        <f t="shared" ref="F57:BQ57" si="29">F$49</f>
        <v>0</v>
      </c>
      <c r="G57" s="124" t="str">
        <f t="shared" si="29"/>
        <v>€ 000s</v>
      </c>
      <c r="H57" s="124">
        <f t="shared" si="29"/>
        <v>1000</v>
      </c>
      <c r="I57" s="124">
        <f t="shared" si="29"/>
        <v>0</v>
      </c>
      <c r="J57" s="124">
        <f t="shared" si="29"/>
        <v>0</v>
      </c>
      <c r="K57" s="124">
        <f t="shared" si="29"/>
        <v>0</v>
      </c>
      <c r="L57" s="124">
        <f t="shared" si="29"/>
        <v>0</v>
      </c>
      <c r="M57" s="124">
        <f t="shared" si="29"/>
        <v>0</v>
      </c>
      <c r="N57" s="124">
        <f t="shared" si="29"/>
        <v>0</v>
      </c>
      <c r="O57" s="124">
        <f t="shared" si="29"/>
        <v>0</v>
      </c>
      <c r="P57" s="124">
        <f t="shared" si="29"/>
        <v>0</v>
      </c>
      <c r="Q57" s="124">
        <f t="shared" si="29"/>
        <v>0</v>
      </c>
      <c r="R57" s="124">
        <f t="shared" si="29"/>
        <v>0</v>
      </c>
      <c r="S57" s="124">
        <f t="shared" si="29"/>
        <v>0</v>
      </c>
      <c r="T57" s="124">
        <f t="shared" si="29"/>
        <v>0</v>
      </c>
      <c r="U57" s="124">
        <f t="shared" si="29"/>
        <v>0</v>
      </c>
      <c r="V57" s="124">
        <f t="shared" si="29"/>
        <v>0</v>
      </c>
      <c r="W57" s="124">
        <f t="shared" si="29"/>
        <v>0</v>
      </c>
      <c r="X57" s="124">
        <f t="shared" si="29"/>
        <v>0</v>
      </c>
      <c r="Y57" s="124">
        <f t="shared" si="29"/>
        <v>0</v>
      </c>
      <c r="Z57" s="124">
        <f t="shared" si="29"/>
        <v>0</v>
      </c>
      <c r="AA57" s="124">
        <f t="shared" si="29"/>
        <v>0</v>
      </c>
      <c r="AB57" s="124">
        <f t="shared" si="29"/>
        <v>0</v>
      </c>
      <c r="AC57" s="124">
        <f t="shared" si="29"/>
        <v>0</v>
      </c>
      <c r="AD57" s="124">
        <f t="shared" si="29"/>
        <v>0</v>
      </c>
      <c r="AE57" s="124">
        <f t="shared" si="29"/>
        <v>0</v>
      </c>
      <c r="AF57" s="124">
        <f t="shared" si="29"/>
        <v>0</v>
      </c>
      <c r="AG57" s="124">
        <f t="shared" si="29"/>
        <v>0</v>
      </c>
      <c r="AH57" s="124">
        <f t="shared" si="29"/>
        <v>0</v>
      </c>
      <c r="AI57" s="124">
        <f t="shared" si="29"/>
        <v>0</v>
      </c>
      <c r="AJ57" s="124">
        <f t="shared" si="29"/>
        <v>0</v>
      </c>
      <c r="AK57" s="124">
        <f t="shared" si="29"/>
        <v>0</v>
      </c>
      <c r="AL57" s="124">
        <f t="shared" si="29"/>
        <v>0</v>
      </c>
      <c r="AM57" s="124">
        <f t="shared" si="29"/>
        <v>0</v>
      </c>
      <c r="AN57" s="124">
        <f t="shared" si="29"/>
        <v>0</v>
      </c>
      <c r="AO57" s="124">
        <f t="shared" si="29"/>
        <v>0</v>
      </c>
      <c r="AP57" s="124">
        <f t="shared" si="29"/>
        <v>0</v>
      </c>
      <c r="AQ57" s="124">
        <f t="shared" si="29"/>
        <v>0</v>
      </c>
      <c r="AR57" s="124">
        <f t="shared" si="29"/>
        <v>0</v>
      </c>
      <c r="AS57" s="124">
        <f t="shared" si="29"/>
        <v>0</v>
      </c>
      <c r="AT57" s="124">
        <f t="shared" si="29"/>
        <v>0</v>
      </c>
      <c r="AU57" s="124">
        <f t="shared" si="29"/>
        <v>0</v>
      </c>
      <c r="AV57" s="124">
        <f t="shared" si="29"/>
        <v>0</v>
      </c>
      <c r="AW57" s="124">
        <f t="shared" si="29"/>
        <v>0</v>
      </c>
      <c r="AX57" s="124">
        <f t="shared" si="29"/>
        <v>0</v>
      </c>
      <c r="AY57" s="124">
        <f t="shared" si="29"/>
        <v>0</v>
      </c>
      <c r="AZ57" s="124">
        <f t="shared" si="29"/>
        <v>0</v>
      </c>
      <c r="BA57" s="124">
        <f t="shared" si="29"/>
        <v>0</v>
      </c>
      <c r="BB57" s="124">
        <f t="shared" si="29"/>
        <v>0</v>
      </c>
      <c r="BC57" s="124">
        <f t="shared" si="29"/>
        <v>0</v>
      </c>
      <c r="BD57" s="124">
        <f t="shared" si="29"/>
        <v>0</v>
      </c>
      <c r="BE57" s="124">
        <f t="shared" si="29"/>
        <v>0</v>
      </c>
      <c r="BF57" s="124">
        <f t="shared" si="29"/>
        <v>0</v>
      </c>
      <c r="BG57" s="124">
        <f t="shared" si="29"/>
        <v>0</v>
      </c>
      <c r="BH57" s="124">
        <f t="shared" si="29"/>
        <v>0</v>
      </c>
      <c r="BI57" s="124">
        <f t="shared" si="29"/>
        <v>0</v>
      </c>
      <c r="BJ57" s="124">
        <f t="shared" si="29"/>
        <v>0</v>
      </c>
      <c r="BK57" s="124">
        <f t="shared" si="29"/>
        <v>0</v>
      </c>
      <c r="BL57" s="124">
        <f t="shared" si="29"/>
        <v>0</v>
      </c>
      <c r="BM57" s="124">
        <f t="shared" si="29"/>
        <v>0</v>
      </c>
      <c r="BN57" s="124">
        <f t="shared" si="29"/>
        <v>0</v>
      </c>
      <c r="BO57" s="124">
        <f t="shared" si="29"/>
        <v>0</v>
      </c>
      <c r="BP57" s="124">
        <f t="shared" si="29"/>
        <v>0</v>
      </c>
      <c r="BQ57" s="124">
        <f t="shared" si="29"/>
        <v>0</v>
      </c>
      <c r="BR57" s="124">
        <f t="shared" ref="BR57:CA57" si="30">BR$49</f>
        <v>0</v>
      </c>
      <c r="BS57" s="124">
        <f t="shared" si="30"/>
        <v>0</v>
      </c>
      <c r="BT57" s="124">
        <f t="shared" si="30"/>
        <v>0</v>
      </c>
      <c r="BU57" s="124">
        <f t="shared" si="30"/>
        <v>0</v>
      </c>
      <c r="BV57" s="124">
        <f t="shared" si="30"/>
        <v>1000</v>
      </c>
      <c r="BW57" s="124">
        <f t="shared" si="30"/>
        <v>0</v>
      </c>
      <c r="BX57" s="124">
        <f t="shared" si="30"/>
        <v>0</v>
      </c>
      <c r="BY57" s="124">
        <f t="shared" si="30"/>
        <v>0</v>
      </c>
      <c r="BZ57" s="124">
        <f t="shared" si="30"/>
        <v>0</v>
      </c>
      <c r="CA57" s="124">
        <f t="shared" si="30"/>
        <v>0</v>
      </c>
    </row>
    <row r="58" spans="1:79" s="173" customFormat="1" ht="13.5" thickBot="1" x14ac:dyDescent="0.25">
      <c r="A58" s="169"/>
      <c r="B58" s="169"/>
      <c r="C58" s="170"/>
      <c r="D58" s="171"/>
      <c r="E58" s="172" t="s">
        <v>124</v>
      </c>
      <c r="G58" s="172" t="str">
        <f xml:space="preserve"> SMU</f>
        <v>€ 000s</v>
      </c>
      <c r="I58" s="174"/>
      <c r="J58" s="173">
        <f t="shared" ref="J58:BU58" si="31" xml:space="preserve"> IF( J53 = 1, $F52, J55 + J56 - J57)</f>
        <v>0</v>
      </c>
      <c r="K58" s="173">
        <f t="shared" si="31"/>
        <v>0</v>
      </c>
      <c r="L58" s="173">
        <f t="shared" si="31"/>
        <v>0</v>
      </c>
      <c r="M58" s="173">
        <f t="shared" si="31"/>
        <v>0</v>
      </c>
      <c r="N58" s="173">
        <f t="shared" si="31"/>
        <v>1000</v>
      </c>
      <c r="O58" s="173">
        <f t="shared" si="31"/>
        <v>1000</v>
      </c>
      <c r="P58" s="173">
        <f t="shared" si="31"/>
        <v>1000</v>
      </c>
      <c r="Q58" s="173">
        <f t="shared" si="31"/>
        <v>1000</v>
      </c>
      <c r="R58" s="173">
        <f t="shared" si="31"/>
        <v>1000</v>
      </c>
      <c r="S58" s="173">
        <f t="shared" si="31"/>
        <v>1000</v>
      </c>
      <c r="T58" s="173">
        <f t="shared" si="31"/>
        <v>1000</v>
      </c>
      <c r="U58" s="173">
        <f t="shared" si="31"/>
        <v>1000</v>
      </c>
      <c r="V58" s="173">
        <f t="shared" si="31"/>
        <v>1000</v>
      </c>
      <c r="W58" s="173">
        <f t="shared" si="31"/>
        <v>1000</v>
      </c>
      <c r="X58" s="173">
        <f t="shared" si="31"/>
        <v>1000</v>
      </c>
      <c r="Y58" s="173">
        <f t="shared" si="31"/>
        <v>1000</v>
      </c>
      <c r="Z58" s="173">
        <f t="shared" si="31"/>
        <v>1000</v>
      </c>
      <c r="AA58" s="173">
        <f t="shared" si="31"/>
        <v>1000</v>
      </c>
      <c r="AB58" s="173">
        <f t="shared" si="31"/>
        <v>1000</v>
      </c>
      <c r="AC58" s="173">
        <f t="shared" si="31"/>
        <v>1000</v>
      </c>
      <c r="AD58" s="173">
        <f t="shared" si="31"/>
        <v>1000</v>
      </c>
      <c r="AE58" s="173">
        <f t="shared" si="31"/>
        <v>1000</v>
      </c>
      <c r="AF58" s="173">
        <f t="shared" si="31"/>
        <v>1000</v>
      </c>
      <c r="AG58" s="173">
        <f t="shared" si="31"/>
        <v>1000</v>
      </c>
      <c r="AH58" s="173">
        <f t="shared" si="31"/>
        <v>1000</v>
      </c>
      <c r="AI58" s="173">
        <f t="shared" si="31"/>
        <v>1000</v>
      </c>
      <c r="AJ58" s="173">
        <f t="shared" si="31"/>
        <v>1000</v>
      </c>
      <c r="AK58" s="173">
        <f t="shared" si="31"/>
        <v>1000</v>
      </c>
      <c r="AL58" s="173">
        <f t="shared" si="31"/>
        <v>1000</v>
      </c>
      <c r="AM58" s="173">
        <f t="shared" si="31"/>
        <v>1000</v>
      </c>
      <c r="AN58" s="173">
        <f t="shared" si="31"/>
        <v>1000</v>
      </c>
      <c r="AO58" s="173">
        <f t="shared" si="31"/>
        <v>1000</v>
      </c>
      <c r="AP58" s="173">
        <f t="shared" si="31"/>
        <v>1000</v>
      </c>
      <c r="AQ58" s="173">
        <f t="shared" si="31"/>
        <v>1000</v>
      </c>
      <c r="AR58" s="173">
        <f t="shared" si="31"/>
        <v>1000</v>
      </c>
      <c r="AS58" s="173">
        <f t="shared" si="31"/>
        <v>1000</v>
      </c>
      <c r="AT58" s="173">
        <f t="shared" si="31"/>
        <v>1000</v>
      </c>
      <c r="AU58" s="173">
        <f t="shared" si="31"/>
        <v>1000</v>
      </c>
      <c r="AV58" s="173">
        <f t="shared" si="31"/>
        <v>1000</v>
      </c>
      <c r="AW58" s="173">
        <f t="shared" si="31"/>
        <v>1000</v>
      </c>
      <c r="AX58" s="173">
        <f t="shared" si="31"/>
        <v>1000</v>
      </c>
      <c r="AY58" s="173">
        <f t="shared" si="31"/>
        <v>1000</v>
      </c>
      <c r="AZ58" s="173">
        <f t="shared" si="31"/>
        <v>1000</v>
      </c>
      <c r="BA58" s="173">
        <f t="shared" si="31"/>
        <v>1000</v>
      </c>
      <c r="BB58" s="173">
        <f t="shared" si="31"/>
        <v>1000</v>
      </c>
      <c r="BC58" s="173">
        <f t="shared" si="31"/>
        <v>1000</v>
      </c>
      <c r="BD58" s="173">
        <f t="shared" si="31"/>
        <v>1000</v>
      </c>
      <c r="BE58" s="173">
        <f t="shared" si="31"/>
        <v>1000</v>
      </c>
      <c r="BF58" s="173">
        <f t="shared" si="31"/>
        <v>1000</v>
      </c>
      <c r="BG58" s="173">
        <f t="shared" si="31"/>
        <v>1000</v>
      </c>
      <c r="BH58" s="173">
        <f t="shared" si="31"/>
        <v>1000</v>
      </c>
      <c r="BI58" s="173">
        <f t="shared" si="31"/>
        <v>1000</v>
      </c>
      <c r="BJ58" s="173">
        <f t="shared" si="31"/>
        <v>1000</v>
      </c>
      <c r="BK58" s="173">
        <f t="shared" si="31"/>
        <v>1000</v>
      </c>
      <c r="BL58" s="173">
        <f t="shared" si="31"/>
        <v>1000</v>
      </c>
      <c r="BM58" s="173">
        <f t="shared" si="31"/>
        <v>1000</v>
      </c>
      <c r="BN58" s="173">
        <f t="shared" si="31"/>
        <v>1000</v>
      </c>
      <c r="BO58" s="173">
        <f t="shared" si="31"/>
        <v>1000</v>
      </c>
      <c r="BP58" s="173">
        <f t="shared" si="31"/>
        <v>1000</v>
      </c>
      <c r="BQ58" s="173">
        <f t="shared" si="31"/>
        <v>1000</v>
      </c>
      <c r="BR58" s="173">
        <f t="shared" si="31"/>
        <v>1000</v>
      </c>
      <c r="BS58" s="173">
        <f t="shared" si="31"/>
        <v>1000</v>
      </c>
      <c r="BT58" s="173">
        <f t="shared" si="31"/>
        <v>1000</v>
      </c>
      <c r="BU58" s="173">
        <f t="shared" si="31"/>
        <v>1000</v>
      </c>
      <c r="BV58" s="173">
        <f t="shared" ref="BV58:CA58" si="32" xml:space="preserve"> IF( BV53 = 1, $F52, BV55 + BV56 - BV57)</f>
        <v>0</v>
      </c>
      <c r="BW58" s="173">
        <f t="shared" si="32"/>
        <v>0</v>
      </c>
      <c r="BX58" s="173">
        <f t="shared" si="32"/>
        <v>0</v>
      </c>
      <c r="BY58" s="173">
        <f t="shared" si="32"/>
        <v>0</v>
      </c>
      <c r="BZ58" s="173">
        <f t="shared" si="32"/>
        <v>0</v>
      </c>
      <c r="CA58" s="173">
        <f t="shared" si="32"/>
        <v>0</v>
      </c>
    </row>
    <row r="59" spans="1:79" s="133" customFormat="1" ht="13.5" thickTop="1" x14ac:dyDescent="0.2">
      <c r="A59" s="129"/>
      <c r="B59" s="130"/>
      <c r="C59" s="131"/>
      <c r="D59" s="132"/>
    </row>
    <row r="61" spans="1:79" x14ac:dyDescent="0.2">
      <c r="A61" s="81" t="s">
        <v>129</v>
      </c>
    </row>
    <row r="63" spans="1:79" x14ac:dyDescent="0.2">
      <c r="B63" s="82" t="s">
        <v>136</v>
      </c>
    </row>
    <row r="65" spans="1:79" s="160" customFormat="1" x14ac:dyDescent="0.2">
      <c r="A65" s="157"/>
      <c r="B65" s="157"/>
      <c r="C65" s="158"/>
      <c r="D65" s="159"/>
      <c r="E65" s="160" t="str">
        <f xml:space="preserve"> E$83</f>
        <v>Retained cash / (overdraft) balance BEG</v>
      </c>
      <c r="F65" s="160">
        <f t="shared" ref="F65:BQ65" si="33" xml:space="preserve"> F$83</f>
        <v>0</v>
      </c>
      <c r="G65" s="160" t="str">
        <f t="shared" si="33"/>
        <v>€ 000s</v>
      </c>
      <c r="H65" s="160">
        <f t="shared" si="33"/>
        <v>0</v>
      </c>
      <c r="I65" s="160">
        <f t="shared" si="33"/>
        <v>0</v>
      </c>
      <c r="J65" s="160">
        <f t="shared" si="33"/>
        <v>0</v>
      </c>
      <c r="K65" s="160">
        <f t="shared" si="33"/>
        <v>0</v>
      </c>
      <c r="L65" s="160">
        <f t="shared" si="33"/>
        <v>0</v>
      </c>
      <c r="M65" s="160">
        <f t="shared" si="33"/>
        <v>0</v>
      </c>
      <c r="N65" s="160">
        <f t="shared" si="33"/>
        <v>0</v>
      </c>
      <c r="O65" s="160">
        <f t="shared" si="33"/>
        <v>0</v>
      </c>
      <c r="P65" s="160">
        <f t="shared" si="33"/>
        <v>0</v>
      </c>
      <c r="Q65" s="160">
        <f t="shared" si="33"/>
        <v>0</v>
      </c>
      <c r="R65" s="160">
        <f t="shared" si="33"/>
        <v>0</v>
      </c>
      <c r="S65" s="160">
        <f t="shared" si="33"/>
        <v>0</v>
      </c>
      <c r="T65" s="160">
        <f t="shared" si="33"/>
        <v>0</v>
      </c>
      <c r="U65" s="160">
        <f t="shared" si="33"/>
        <v>0</v>
      </c>
      <c r="V65" s="160">
        <f t="shared" si="33"/>
        <v>0</v>
      </c>
      <c r="W65" s="160">
        <f t="shared" si="33"/>
        <v>0</v>
      </c>
      <c r="X65" s="160">
        <f t="shared" si="33"/>
        <v>0</v>
      </c>
      <c r="Y65" s="160">
        <f t="shared" si="33"/>
        <v>0</v>
      </c>
      <c r="Z65" s="160">
        <f t="shared" si="33"/>
        <v>0</v>
      </c>
      <c r="AA65" s="160">
        <f t="shared" si="33"/>
        <v>0</v>
      </c>
      <c r="AB65" s="160">
        <f t="shared" si="33"/>
        <v>0</v>
      </c>
      <c r="AC65" s="160">
        <f t="shared" si="33"/>
        <v>1593.8033678062739</v>
      </c>
      <c r="AD65" s="160">
        <f t="shared" si="33"/>
        <v>4887.3547933510781</v>
      </c>
      <c r="AE65" s="160">
        <f t="shared" si="33"/>
        <v>7702.7814594223564</v>
      </c>
      <c r="AF65" s="160">
        <f t="shared" si="33"/>
        <v>10228.975771889969</v>
      </c>
      <c r="AG65" s="160">
        <f t="shared" si="33"/>
        <v>12241.704642665243</v>
      </c>
      <c r="AH65" s="160">
        <f t="shared" si="33"/>
        <v>13951.149083812066</v>
      </c>
      <c r="AI65" s="160">
        <f t="shared" si="33"/>
        <v>15252.330449376517</v>
      </c>
      <c r="AJ65" s="160">
        <f t="shared" si="33"/>
        <v>15633.505419499961</v>
      </c>
      <c r="AK65" s="160">
        <f t="shared" si="33"/>
        <v>15450.158519416265</v>
      </c>
      <c r="AL65" s="160">
        <f t="shared" si="33"/>
        <v>14924.298265698259</v>
      </c>
      <c r="AM65" s="160">
        <f t="shared" si="33"/>
        <v>13806.926101045088</v>
      </c>
      <c r="AN65" s="160">
        <f t="shared" si="33"/>
        <v>12068.081909052382</v>
      </c>
      <c r="AO65" s="160">
        <f t="shared" si="33"/>
        <v>9688.4253717451538</v>
      </c>
      <c r="AP65" s="160">
        <f t="shared" si="33"/>
        <v>6925.1079574556734</v>
      </c>
      <c r="AQ65" s="160">
        <f t="shared" si="33"/>
        <v>3474.6383730949583</v>
      </c>
      <c r="AR65" s="160">
        <f t="shared" si="33"/>
        <v>0</v>
      </c>
      <c r="AS65" s="160">
        <f t="shared" si="33"/>
        <v>0</v>
      </c>
      <c r="AT65" s="160">
        <f t="shared" si="33"/>
        <v>0</v>
      </c>
      <c r="AU65" s="160">
        <f t="shared" si="33"/>
        <v>0</v>
      </c>
      <c r="AV65" s="160">
        <f t="shared" si="33"/>
        <v>0</v>
      </c>
      <c r="AW65" s="160">
        <f t="shared" si="33"/>
        <v>0</v>
      </c>
      <c r="AX65" s="160">
        <f t="shared" si="33"/>
        <v>0</v>
      </c>
      <c r="AY65" s="160">
        <f t="shared" si="33"/>
        <v>0</v>
      </c>
      <c r="AZ65" s="160">
        <f t="shared" si="33"/>
        <v>0</v>
      </c>
      <c r="BA65" s="160">
        <f t="shared" si="33"/>
        <v>0</v>
      </c>
      <c r="BB65" s="160">
        <f t="shared" si="33"/>
        <v>0</v>
      </c>
      <c r="BC65" s="160">
        <f t="shared" si="33"/>
        <v>0</v>
      </c>
      <c r="BD65" s="160">
        <f t="shared" si="33"/>
        <v>0</v>
      </c>
      <c r="BE65" s="160">
        <f t="shared" si="33"/>
        <v>0</v>
      </c>
      <c r="BF65" s="160">
        <f t="shared" si="33"/>
        <v>0</v>
      </c>
      <c r="BG65" s="160">
        <f t="shared" si="33"/>
        <v>0</v>
      </c>
      <c r="BH65" s="160">
        <f t="shared" si="33"/>
        <v>0</v>
      </c>
      <c r="BI65" s="160">
        <f t="shared" si="33"/>
        <v>0</v>
      </c>
      <c r="BJ65" s="160">
        <f t="shared" si="33"/>
        <v>0</v>
      </c>
      <c r="BK65" s="160">
        <f t="shared" si="33"/>
        <v>0</v>
      </c>
      <c r="BL65" s="160">
        <f t="shared" si="33"/>
        <v>0</v>
      </c>
      <c r="BM65" s="160">
        <f t="shared" si="33"/>
        <v>0</v>
      </c>
      <c r="BN65" s="160">
        <f t="shared" si="33"/>
        <v>0</v>
      </c>
      <c r="BO65" s="160">
        <f t="shared" si="33"/>
        <v>0</v>
      </c>
      <c r="BP65" s="160">
        <f t="shared" si="33"/>
        <v>0</v>
      </c>
      <c r="BQ65" s="160">
        <f t="shared" si="33"/>
        <v>0</v>
      </c>
      <c r="BR65" s="160">
        <f t="shared" ref="BR65:CA65" si="34" xml:space="preserve"> BR$83</f>
        <v>0</v>
      </c>
      <c r="BS65" s="160">
        <f t="shared" si="34"/>
        <v>0</v>
      </c>
      <c r="BT65" s="160">
        <f t="shared" si="34"/>
        <v>0</v>
      </c>
      <c r="BU65" s="160">
        <f t="shared" si="34"/>
        <v>0</v>
      </c>
      <c r="BV65" s="160">
        <f t="shared" si="34"/>
        <v>0</v>
      </c>
      <c r="BW65" s="160">
        <f t="shared" si="34"/>
        <v>5.0931703299283981E-11</v>
      </c>
      <c r="BX65" s="160">
        <f t="shared" si="34"/>
        <v>5.0931703299283981E-11</v>
      </c>
      <c r="BY65" s="160">
        <f t="shared" si="34"/>
        <v>5.0931703299283981E-11</v>
      </c>
      <c r="BZ65" s="160">
        <f t="shared" si="34"/>
        <v>5.0931703299283981E-11</v>
      </c>
      <c r="CA65" s="160">
        <f t="shared" si="34"/>
        <v>5.0931703299283981E-11</v>
      </c>
    </row>
    <row r="66" spans="1:79" s="180" customFormat="1" x14ac:dyDescent="0.2">
      <c r="A66" s="177"/>
      <c r="B66" s="177"/>
      <c r="C66" s="178"/>
      <c r="D66" s="179" t="s">
        <v>23</v>
      </c>
      <c r="E66" s="180" t="str">
        <f>Finstat!E$59</f>
        <v>Cash flow available for dividends</v>
      </c>
      <c r="F66" s="180">
        <f>Finstat!F$59</f>
        <v>0</v>
      </c>
      <c r="G66" s="180" t="str">
        <f>Finstat!G$59</f>
        <v>€ 000s</v>
      </c>
      <c r="H66" s="180">
        <f>Finstat!H$59</f>
        <v>803403.92778230901</v>
      </c>
      <c r="I66" s="180">
        <f>Finstat!I$59</f>
        <v>0</v>
      </c>
      <c r="J66" s="180">
        <f>Finstat!J$59</f>
        <v>0</v>
      </c>
      <c r="K66" s="180">
        <f>Finstat!K$59</f>
        <v>0</v>
      </c>
      <c r="L66" s="180">
        <f>Finstat!L$59</f>
        <v>0</v>
      </c>
      <c r="M66" s="180">
        <f>Finstat!M$59</f>
        <v>0</v>
      </c>
      <c r="N66" s="180">
        <f>Finstat!N$59</f>
        <v>0</v>
      </c>
      <c r="O66" s="180">
        <f>Finstat!O$59</f>
        <v>0</v>
      </c>
      <c r="P66" s="180">
        <f>Finstat!P$59</f>
        <v>0</v>
      </c>
      <c r="Q66" s="180">
        <f>Finstat!Q$59</f>
        <v>0</v>
      </c>
      <c r="R66" s="180">
        <f>Finstat!R$59</f>
        <v>0</v>
      </c>
      <c r="S66" s="180">
        <f>Finstat!S$59</f>
        <v>0</v>
      </c>
      <c r="T66" s="180">
        <f>Finstat!T$59</f>
        <v>0</v>
      </c>
      <c r="U66" s="180">
        <f>Finstat!U$59</f>
        <v>0</v>
      </c>
      <c r="V66" s="180">
        <f>Finstat!V$59</f>
        <v>0</v>
      </c>
      <c r="W66" s="180">
        <f>Finstat!W$59</f>
        <v>0</v>
      </c>
      <c r="X66" s="180">
        <f>Finstat!X$59</f>
        <v>0</v>
      </c>
      <c r="Y66" s="180">
        <f>Finstat!Y$59</f>
        <v>0</v>
      </c>
      <c r="Z66" s="180">
        <f>Finstat!Z$59</f>
        <v>0</v>
      </c>
      <c r="AA66" s="180">
        <f>Finstat!AA$59</f>
        <v>2254.89230486819</v>
      </c>
      <c r="AB66" s="180">
        <f>Finstat!AB$59</f>
        <v>6747.6019038196464</v>
      </c>
      <c r="AC66" s="180">
        <f>Finstat!AC$59</f>
        <v>6607.3645984969226</v>
      </c>
      <c r="AD66" s="180">
        <f>Finstat!AD$59</f>
        <v>6854.7260366058617</v>
      </c>
      <c r="AE66" s="180">
        <f>Finstat!AE$59</f>
        <v>7105.9088349407102</v>
      </c>
      <c r="AF66" s="180">
        <f>Finstat!AF$59</f>
        <v>6852.5904507800078</v>
      </c>
      <c r="AG66" s="180">
        <f>Finstat!AG$59</f>
        <v>7115.4838878899245</v>
      </c>
      <c r="AH66" s="180">
        <f>Finstat!AH$59</f>
        <v>6986.9625611588708</v>
      </c>
      <c r="AI66" s="180">
        <f>Finstat!AI$59</f>
        <v>7081.9136182649781</v>
      </c>
      <c r="AJ66" s="180">
        <f>Finstat!AJ$59</f>
        <v>6820.8672969819199</v>
      </c>
      <c r="AK66" s="180">
        <f>Finstat!AK$59</f>
        <v>7104.6160147483897</v>
      </c>
      <c r="AL66" s="180">
        <f>Finstat!AL$59</f>
        <v>6839.4273908582618</v>
      </c>
      <c r="AM66" s="180">
        <f>Finstat!AM$59</f>
        <v>6875.9245214518378</v>
      </c>
      <c r="AN66" s="180">
        <f>Finstat!AN$59</f>
        <v>6942.1844597405761</v>
      </c>
      <c r="AO66" s="180">
        <f>Finstat!AO$59</f>
        <v>7291.4748017445017</v>
      </c>
      <c r="AP66" s="180">
        <f>Finstat!AP$59</f>
        <v>6967.1402542049909</v>
      </c>
      <c r="AQ66" s="180">
        <f>Finstat!AQ$59</f>
        <v>7329.100738860041</v>
      </c>
      <c r="AR66" s="180">
        <f>Finstat!AR$59</f>
        <v>6998.6032792639417</v>
      </c>
      <c r="AS66" s="180">
        <f>Finstat!AS$59</f>
        <v>7368.6813497910334</v>
      </c>
      <c r="AT66" s="180">
        <f>Finstat!AT$59</f>
        <v>7027.5397617001363</v>
      </c>
      <c r="AU66" s="180">
        <f>Finstat!AU$59</f>
        <v>7408.1870122351065</v>
      </c>
      <c r="AV66" s="180">
        <f>Finstat!AV$59</f>
        <v>7058.5577560739257</v>
      </c>
      <c r="AW66" s="180">
        <f>Finstat!AW$59</f>
        <v>7055.2690997261852</v>
      </c>
      <c r="AX66" s="180">
        <f>Finstat!AX$59</f>
        <v>7222.8107573686211</v>
      </c>
      <c r="AY66" s="180">
        <f>Finstat!AY$59</f>
        <v>7678.729954429491</v>
      </c>
      <c r="AZ66" s="180">
        <f>Finstat!AZ$59</f>
        <v>7254.9868146571789</v>
      </c>
      <c r="BA66" s="180">
        <f>Finstat!BA$59</f>
        <v>7718.9019601722684</v>
      </c>
      <c r="BB66" s="180">
        <f>Finstat!BB$59</f>
        <v>26355.226543934212</v>
      </c>
      <c r="BC66" s="180">
        <f>Finstat!BC$59</f>
        <v>26665.4957125605</v>
      </c>
      <c r="BD66" s="180">
        <f>Finstat!BD$59</f>
        <v>26679.509517069491</v>
      </c>
      <c r="BE66" s="180">
        <f>Finstat!BE$59</f>
        <v>27238.761751659724</v>
      </c>
      <c r="BF66" s="180">
        <f>Finstat!BF$59</f>
        <v>27132.130690617203</v>
      </c>
      <c r="BG66" s="180">
        <f>Finstat!BG$59</f>
        <v>27708.238269792957</v>
      </c>
      <c r="BH66" s="180">
        <f>Finstat!BH$59</f>
        <v>27730.379693491417</v>
      </c>
      <c r="BI66" s="180">
        <f>Finstat!BI$59</f>
        <v>27173.623053413656</v>
      </c>
      <c r="BJ66" s="180">
        <f>Finstat!BJ$59</f>
        <v>29384.936361395878</v>
      </c>
      <c r="BK66" s="180">
        <f>Finstat!BK$59</f>
        <v>27650.661466390051</v>
      </c>
      <c r="BL66" s="180">
        <f>Finstat!BL$59</f>
        <v>30054.355071744991</v>
      </c>
      <c r="BM66" s="180">
        <f>Finstat!BM$59</f>
        <v>28279.983539298279</v>
      </c>
      <c r="BN66" s="180">
        <f>Finstat!BN$59</f>
        <v>30746.866707974674</v>
      </c>
      <c r="BO66" s="180">
        <f>Finstat!BO$59</f>
        <v>28931.078249245016</v>
      </c>
      <c r="BP66" s="180">
        <f>Finstat!BP$59</f>
        <v>31462.428741065087</v>
      </c>
      <c r="BQ66" s="180">
        <f>Finstat!BQ$59</f>
        <v>29603.901052597634</v>
      </c>
      <c r="BR66" s="180">
        <f>Finstat!BR$59</f>
        <v>30914.484995175917</v>
      </c>
      <c r="BS66" s="180">
        <f>Finstat!BS$59</f>
        <v>31601.01961146824</v>
      </c>
      <c r="BT66" s="180">
        <f>Finstat!BT$59</f>
        <v>31972.652849087732</v>
      </c>
      <c r="BU66" s="180">
        <f>Finstat!BU$59</f>
        <v>32349.94987889695</v>
      </c>
      <c r="BV66" s="180">
        <f>Finstat!BV$59</f>
        <v>37197.796604595904</v>
      </c>
      <c r="BW66" s="180">
        <f>Finstat!BW$59</f>
        <v>0</v>
      </c>
      <c r="BX66" s="180">
        <f>Finstat!BX$59</f>
        <v>0</v>
      </c>
      <c r="BY66" s="180">
        <f>Finstat!BY$59</f>
        <v>0</v>
      </c>
      <c r="BZ66" s="180">
        <f>Finstat!BZ$59</f>
        <v>0</v>
      </c>
      <c r="CA66" s="180">
        <f>Finstat!CA$59</f>
        <v>0</v>
      </c>
    </row>
    <row r="67" spans="1:79" x14ac:dyDescent="0.2">
      <c r="E67" s="85" t="s">
        <v>128</v>
      </c>
      <c r="G67" s="85" t="str">
        <f xml:space="preserve"> SMU</f>
        <v>€ 000s</v>
      </c>
      <c r="J67" s="85">
        <f xml:space="preserve"> MAX( SUM(J65:J66), 0)</f>
        <v>0</v>
      </c>
      <c r="K67" s="85">
        <f t="shared" ref="K67:BV67" si="35" xml:space="preserve"> MAX( SUM(K65:K66), 0)</f>
        <v>0</v>
      </c>
      <c r="L67" s="85">
        <f t="shared" si="35"/>
        <v>0</v>
      </c>
      <c r="M67" s="85">
        <f t="shared" si="35"/>
        <v>0</v>
      </c>
      <c r="N67" s="85">
        <f t="shared" si="35"/>
        <v>0</v>
      </c>
      <c r="O67" s="85">
        <f t="shared" si="35"/>
        <v>0</v>
      </c>
      <c r="P67" s="85">
        <f t="shared" si="35"/>
        <v>0</v>
      </c>
      <c r="Q67" s="85">
        <f t="shared" si="35"/>
        <v>0</v>
      </c>
      <c r="R67" s="85">
        <f t="shared" si="35"/>
        <v>0</v>
      </c>
      <c r="S67" s="85">
        <f t="shared" si="35"/>
        <v>0</v>
      </c>
      <c r="T67" s="85">
        <f t="shared" si="35"/>
        <v>0</v>
      </c>
      <c r="U67" s="85">
        <f t="shared" si="35"/>
        <v>0</v>
      </c>
      <c r="V67" s="85">
        <f t="shared" si="35"/>
        <v>0</v>
      </c>
      <c r="W67" s="85">
        <f t="shared" si="35"/>
        <v>0</v>
      </c>
      <c r="X67" s="85">
        <f t="shared" si="35"/>
        <v>0</v>
      </c>
      <c r="Y67" s="85">
        <f t="shared" si="35"/>
        <v>0</v>
      </c>
      <c r="Z67" s="85">
        <f t="shared" si="35"/>
        <v>0</v>
      </c>
      <c r="AA67" s="85">
        <f t="shared" si="35"/>
        <v>2254.89230486819</v>
      </c>
      <c r="AB67" s="85">
        <f t="shared" si="35"/>
        <v>6747.6019038196464</v>
      </c>
      <c r="AC67" s="85">
        <f t="shared" si="35"/>
        <v>8201.1679663031973</v>
      </c>
      <c r="AD67" s="85">
        <f t="shared" si="35"/>
        <v>11742.08082995694</v>
      </c>
      <c r="AE67" s="85">
        <f t="shared" si="35"/>
        <v>14808.690294363067</v>
      </c>
      <c r="AF67" s="85">
        <f t="shared" si="35"/>
        <v>17081.566222669979</v>
      </c>
      <c r="AG67" s="85">
        <f t="shared" si="35"/>
        <v>19357.18853055517</v>
      </c>
      <c r="AH67" s="85">
        <f t="shared" si="35"/>
        <v>20938.111644970937</v>
      </c>
      <c r="AI67" s="85">
        <f t="shared" si="35"/>
        <v>22334.244067641495</v>
      </c>
      <c r="AJ67" s="85">
        <f t="shared" si="35"/>
        <v>22454.372716481881</v>
      </c>
      <c r="AK67" s="85">
        <f t="shared" si="35"/>
        <v>22554.774534164655</v>
      </c>
      <c r="AL67" s="85">
        <f t="shared" si="35"/>
        <v>21763.725656556519</v>
      </c>
      <c r="AM67" s="85">
        <f t="shared" si="35"/>
        <v>20682.850622496924</v>
      </c>
      <c r="AN67" s="85">
        <f t="shared" si="35"/>
        <v>19010.26636879296</v>
      </c>
      <c r="AO67" s="85">
        <f t="shared" si="35"/>
        <v>16979.900173489656</v>
      </c>
      <c r="AP67" s="85">
        <f t="shared" si="35"/>
        <v>13892.248211660664</v>
      </c>
      <c r="AQ67" s="85">
        <f t="shared" si="35"/>
        <v>10803.739111954999</v>
      </c>
      <c r="AR67" s="85">
        <f t="shared" si="35"/>
        <v>6998.6032792639417</v>
      </c>
      <c r="AS67" s="85">
        <f t="shared" si="35"/>
        <v>7368.6813497910334</v>
      </c>
      <c r="AT67" s="85">
        <f t="shared" si="35"/>
        <v>7027.5397617001363</v>
      </c>
      <c r="AU67" s="85">
        <f t="shared" si="35"/>
        <v>7408.1870122351065</v>
      </c>
      <c r="AV67" s="85">
        <f t="shared" si="35"/>
        <v>7058.5577560739257</v>
      </c>
      <c r="AW67" s="85">
        <f t="shared" si="35"/>
        <v>7055.2690997261852</v>
      </c>
      <c r="AX67" s="85">
        <f t="shared" si="35"/>
        <v>7222.8107573686211</v>
      </c>
      <c r="AY67" s="85">
        <f t="shared" si="35"/>
        <v>7678.729954429491</v>
      </c>
      <c r="AZ67" s="85">
        <f t="shared" si="35"/>
        <v>7254.9868146571789</v>
      </c>
      <c r="BA67" s="85">
        <f t="shared" si="35"/>
        <v>7718.9019601722684</v>
      </c>
      <c r="BB67" s="85">
        <f t="shared" si="35"/>
        <v>26355.226543934212</v>
      </c>
      <c r="BC67" s="85">
        <f t="shared" si="35"/>
        <v>26665.4957125605</v>
      </c>
      <c r="BD67" s="85">
        <f t="shared" si="35"/>
        <v>26679.509517069491</v>
      </c>
      <c r="BE67" s="85">
        <f t="shared" si="35"/>
        <v>27238.761751659724</v>
      </c>
      <c r="BF67" s="85">
        <f t="shared" si="35"/>
        <v>27132.130690617203</v>
      </c>
      <c r="BG67" s="85">
        <f t="shared" si="35"/>
        <v>27708.238269792957</v>
      </c>
      <c r="BH67" s="85">
        <f t="shared" si="35"/>
        <v>27730.379693491417</v>
      </c>
      <c r="BI67" s="85">
        <f t="shared" si="35"/>
        <v>27173.623053413656</v>
      </c>
      <c r="BJ67" s="85">
        <f t="shared" si="35"/>
        <v>29384.936361395878</v>
      </c>
      <c r="BK67" s="85">
        <f t="shared" si="35"/>
        <v>27650.661466390051</v>
      </c>
      <c r="BL67" s="85">
        <f t="shared" si="35"/>
        <v>30054.355071744991</v>
      </c>
      <c r="BM67" s="85">
        <f t="shared" si="35"/>
        <v>28279.983539298279</v>
      </c>
      <c r="BN67" s="85">
        <f t="shared" si="35"/>
        <v>30746.866707974674</v>
      </c>
      <c r="BO67" s="85">
        <f t="shared" si="35"/>
        <v>28931.078249245016</v>
      </c>
      <c r="BP67" s="85">
        <f t="shared" si="35"/>
        <v>31462.428741065087</v>
      </c>
      <c r="BQ67" s="85">
        <f t="shared" si="35"/>
        <v>29603.901052597634</v>
      </c>
      <c r="BR67" s="85">
        <f t="shared" si="35"/>
        <v>30914.484995175917</v>
      </c>
      <c r="BS67" s="85">
        <f t="shared" si="35"/>
        <v>31601.01961146824</v>
      </c>
      <c r="BT67" s="85">
        <f t="shared" si="35"/>
        <v>31972.652849087732</v>
      </c>
      <c r="BU67" s="85">
        <f t="shared" si="35"/>
        <v>32349.94987889695</v>
      </c>
      <c r="BV67" s="85">
        <f t="shared" si="35"/>
        <v>37197.796604595904</v>
      </c>
      <c r="BW67" s="85">
        <f t="shared" ref="BW67:CA67" si="36" xml:space="preserve"> MAX( SUM(BW65:BW66), 0)</f>
        <v>5.0931703299283981E-11</v>
      </c>
      <c r="BX67" s="85">
        <f t="shared" si="36"/>
        <v>5.0931703299283981E-11</v>
      </c>
      <c r="BY67" s="85">
        <f t="shared" si="36"/>
        <v>5.0931703299283981E-11</v>
      </c>
      <c r="BZ67" s="85">
        <f t="shared" si="36"/>
        <v>5.0931703299283981E-11</v>
      </c>
      <c r="CA67" s="85">
        <f t="shared" si="36"/>
        <v>5.0931703299283981E-11</v>
      </c>
    </row>
    <row r="69" spans="1:79" s="160" customFormat="1" x14ac:dyDescent="0.2">
      <c r="A69" s="157"/>
      <c r="B69" s="157"/>
      <c r="C69" s="158"/>
      <c r="D69" s="159"/>
      <c r="E69" s="160" t="str">
        <f xml:space="preserve"> E$91</f>
        <v>Retained earnings balance BEG</v>
      </c>
      <c r="F69" s="160">
        <f t="shared" ref="F69:BQ69" si="37" xml:space="preserve"> F$91</f>
        <v>0</v>
      </c>
      <c r="G69" s="160" t="str">
        <f t="shared" si="37"/>
        <v>€ 000s</v>
      </c>
      <c r="H69" s="160">
        <f t="shared" si="37"/>
        <v>0</v>
      </c>
      <c r="I69" s="160">
        <f t="shared" si="37"/>
        <v>0</v>
      </c>
      <c r="J69" s="160">
        <f t="shared" si="37"/>
        <v>0</v>
      </c>
      <c r="K69" s="160">
        <f t="shared" si="37"/>
        <v>0</v>
      </c>
      <c r="L69" s="160">
        <f t="shared" si="37"/>
        <v>0</v>
      </c>
      <c r="M69" s="160">
        <f t="shared" si="37"/>
        <v>0</v>
      </c>
      <c r="N69" s="160">
        <f t="shared" si="37"/>
        <v>0</v>
      </c>
      <c r="O69" s="160">
        <f t="shared" si="37"/>
        <v>0</v>
      </c>
      <c r="P69" s="160">
        <f t="shared" si="37"/>
        <v>-1120.9966470153497</v>
      </c>
      <c r="Q69" s="160">
        <f t="shared" si="37"/>
        <v>-1692.0317273937849</v>
      </c>
      <c r="R69" s="160">
        <f t="shared" si="37"/>
        <v>-1542.955992455652</v>
      </c>
      <c r="S69" s="160">
        <f t="shared" si="37"/>
        <v>-2584.9745053066067</v>
      </c>
      <c r="T69" s="160">
        <f t="shared" si="37"/>
        <v>-3095.717876348911</v>
      </c>
      <c r="U69" s="160">
        <f t="shared" si="37"/>
        <v>-3695.1208153568678</v>
      </c>
      <c r="V69" s="160">
        <f t="shared" si="37"/>
        <v>-3835.051864055476</v>
      </c>
      <c r="W69" s="160">
        <f t="shared" si="37"/>
        <v>-3792.518835795202</v>
      </c>
      <c r="X69" s="160">
        <f t="shared" si="37"/>
        <v>-3311.6776470044924</v>
      </c>
      <c r="Y69" s="160">
        <f t="shared" si="37"/>
        <v>-2214.6068471246872</v>
      </c>
      <c r="Z69" s="160">
        <f t="shared" si="37"/>
        <v>-174.50883787189468</v>
      </c>
      <c r="AA69" s="160">
        <f t="shared" si="37"/>
        <v>1970.0797678486269</v>
      </c>
      <c r="AB69" s="160">
        <f t="shared" si="37"/>
        <v>2316.5426905672202</v>
      </c>
      <c r="AC69" s="160">
        <f t="shared" si="37"/>
        <v>0</v>
      </c>
      <c r="AD69" s="160">
        <f t="shared" si="37"/>
        <v>0</v>
      </c>
      <c r="AE69" s="160">
        <f t="shared" si="37"/>
        <v>0</v>
      </c>
      <c r="AF69" s="160">
        <f t="shared" si="37"/>
        <v>0</v>
      </c>
      <c r="AG69" s="160">
        <f t="shared" si="37"/>
        <v>0</v>
      </c>
      <c r="AH69" s="160">
        <f t="shared" si="37"/>
        <v>0</v>
      </c>
      <c r="AI69" s="160">
        <f t="shared" si="37"/>
        <v>0</v>
      </c>
      <c r="AJ69" s="160">
        <f t="shared" si="37"/>
        <v>0</v>
      </c>
      <c r="AK69" s="160">
        <f t="shared" si="37"/>
        <v>0</v>
      </c>
      <c r="AL69" s="160">
        <f t="shared" si="37"/>
        <v>0</v>
      </c>
      <c r="AM69" s="160">
        <f t="shared" si="37"/>
        <v>0</v>
      </c>
      <c r="AN69" s="160">
        <f t="shared" si="37"/>
        <v>0</v>
      </c>
      <c r="AO69" s="160">
        <f t="shared" si="37"/>
        <v>0</v>
      </c>
      <c r="AP69" s="160">
        <f t="shared" si="37"/>
        <v>0</v>
      </c>
      <c r="AQ69" s="160">
        <f t="shared" si="37"/>
        <v>0</v>
      </c>
      <c r="AR69" s="160">
        <f t="shared" si="37"/>
        <v>385.05107744874476</v>
      </c>
      <c r="AS69" s="160">
        <f t="shared" si="37"/>
        <v>4967.9459009001293</v>
      </c>
      <c r="AT69" s="160">
        <f t="shared" si="37"/>
        <v>9992.8560515936588</v>
      </c>
      <c r="AU69" s="160">
        <f t="shared" si="37"/>
        <v>15783.947834890154</v>
      </c>
      <c r="AV69" s="160">
        <f t="shared" si="37"/>
        <v>22050.281839576546</v>
      </c>
      <c r="AW69" s="160">
        <f t="shared" si="37"/>
        <v>29126.444197589641</v>
      </c>
      <c r="AX69" s="160">
        <f t="shared" si="37"/>
        <v>37108.663074685348</v>
      </c>
      <c r="AY69" s="160">
        <f t="shared" si="37"/>
        <v>45973.273075927493</v>
      </c>
      <c r="AZ69" s="160">
        <f t="shared" si="37"/>
        <v>55385.96207091157</v>
      </c>
      <c r="BA69" s="160">
        <f t="shared" si="37"/>
        <v>65748.89065508121</v>
      </c>
      <c r="BB69" s="160">
        <f t="shared" si="37"/>
        <v>76707.490334472444</v>
      </c>
      <c r="BC69" s="160">
        <f t="shared" si="37"/>
        <v>69600.99490291292</v>
      </c>
      <c r="BD69" s="160">
        <f t="shared" si="37"/>
        <v>63303.110544987154</v>
      </c>
      <c r="BE69" s="160">
        <f t="shared" si="37"/>
        <v>57043.336943679657</v>
      </c>
      <c r="BF69" s="160">
        <f t="shared" si="37"/>
        <v>50819.768561159523</v>
      </c>
      <c r="BG69" s="160">
        <f t="shared" si="37"/>
        <v>44630.595136487384</v>
      </c>
      <c r="BH69" s="160">
        <f t="shared" si="37"/>
        <v>38474.096921770833</v>
      </c>
      <c r="BI69" s="160">
        <f t="shared" si="37"/>
        <v>32348.640156512101</v>
      </c>
      <c r="BJ69" s="160">
        <f t="shared" si="37"/>
        <v>26252.672768238299</v>
      </c>
      <c r="BK69" s="160">
        <f t="shared" si="37"/>
        <v>20184.720288100179</v>
      </c>
      <c r="BL69" s="160">
        <f t="shared" si="37"/>
        <v>14143.381970690945</v>
      </c>
      <c r="BM69" s="160">
        <f t="shared" si="37"/>
        <v>8127.32710787416</v>
      </c>
      <c r="BN69" s="160">
        <f t="shared" si="37"/>
        <v>7670.9607524804524</v>
      </c>
      <c r="BO69" s="160">
        <f t="shared" si="37"/>
        <v>7237.4127148564294</v>
      </c>
      <c r="BP69" s="160">
        <f t="shared" si="37"/>
        <v>6825.5420791136057</v>
      </c>
      <c r="BQ69" s="160">
        <f t="shared" si="37"/>
        <v>6434.2649751579229</v>
      </c>
      <c r="BR69" s="160">
        <f t="shared" ref="BR69:CA69" si="38" xml:space="preserve"> BR$91</f>
        <v>6062.5517264000227</v>
      </c>
      <c r="BS69" s="160">
        <f t="shared" si="38"/>
        <v>5709.4241400800165</v>
      </c>
      <c r="BT69" s="160">
        <f t="shared" si="38"/>
        <v>5373.9529330760124</v>
      </c>
      <c r="BU69" s="160">
        <f t="shared" si="38"/>
        <v>5055.2552864222089</v>
      </c>
      <c r="BV69" s="160">
        <f t="shared" si="38"/>
        <v>4752.4925221010926</v>
      </c>
      <c r="BW69" s="160">
        <f t="shared" si="38"/>
        <v>0</v>
      </c>
      <c r="BX69" s="160">
        <f t="shared" si="38"/>
        <v>0</v>
      </c>
      <c r="BY69" s="160">
        <f t="shared" si="38"/>
        <v>0</v>
      </c>
      <c r="BZ69" s="160">
        <f t="shared" si="38"/>
        <v>0</v>
      </c>
      <c r="CA69" s="160">
        <f t="shared" si="38"/>
        <v>0</v>
      </c>
    </row>
    <row r="70" spans="1:79" s="180" customFormat="1" x14ac:dyDescent="0.2">
      <c r="A70" s="177"/>
      <c r="B70" s="177"/>
      <c r="C70" s="178"/>
      <c r="D70" s="179" t="s">
        <v>23</v>
      </c>
      <c r="E70" s="180" t="str">
        <f xml:space="preserve"> Finstat!E$18</f>
        <v>Profit after tax</v>
      </c>
      <c r="F70" s="180">
        <f xml:space="preserve"> Finstat!F$18</f>
        <v>0</v>
      </c>
      <c r="G70" s="180" t="str">
        <f xml:space="preserve"> Finstat!G$18</f>
        <v>€ 000s</v>
      </c>
      <c r="H70" s="180">
        <f xml:space="preserve"> Finstat!H$18</f>
        <v>803403.92778230913</v>
      </c>
      <c r="I70" s="180">
        <f xml:space="preserve"> Finstat!I$18</f>
        <v>0</v>
      </c>
      <c r="J70" s="180">
        <f xml:space="preserve"> Finstat!J$18</f>
        <v>0</v>
      </c>
      <c r="K70" s="180">
        <f xml:space="preserve"> Finstat!K$18</f>
        <v>0</v>
      </c>
      <c r="L70" s="180">
        <f xml:space="preserve"> Finstat!L$18</f>
        <v>0</v>
      </c>
      <c r="M70" s="180">
        <f xml:space="preserve"> Finstat!M$18</f>
        <v>0</v>
      </c>
      <c r="N70" s="180">
        <f xml:space="preserve"> Finstat!N$18</f>
        <v>0</v>
      </c>
      <c r="O70" s="180">
        <f xml:space="preserve"> Finstat!O$18</f>
        <v>-1120.9966470153497</v>
      </c>
      <c r="P70" s="180">
        <f xml:space="preserve"> Finstat!P$18</f>
        <v>-571.03508037843528</v>
      </c>
      <c r="Q70" s="180">
        <f xml:space="preserve"> Finstat!Q$18</f>
        <v>149.07573493813288</v>
      </c>
      <c r="R70" s="180">
        <f xml:space="preserve"> Finstat!R$18</f>
        <v>-1042.0185128509547</v>
      </c>
      <c r="S70" s="180">
        <f xml:space="preserve"> Finstat!S$18</f>
        <v>-510.74337104230437</v>
      </c>
      <c r="T70" s="180">
        <f xml:space="preserve"> Finstat!T$18</f>
        <v>-599.40293900795655</v>
      </c>
      <c r="U70" s="180">
        <f xml:space="preserve"> Finstat!U$18</f>
        <v>-139.93104869860835</v>
      </c>
      <c r="V70" s="180">
        <f xml:space="preserve"> Finstat!V$18</f>
        <v>42.533028260273937</v>
      </c>
      <c r="W70" s="180">
        <f xml:space="preserve"> Finstat!W$18</f>
        <v>480.84118879070957</v>
      </c>
      <c r="X70" s="180">
        <f xml:space="preserve"> Finstat!X$18</f>
        <v>1097.0707998798055</v>
      </c>
      <c r="Y70" s="180">
        <f xml:space="preserve"> Finstat!Y$18</f>
        <v>2040.0980092527925</v>
      </c>
      <c r="Z70" s="180">
        <f xml:space="preserve"> Finstat!Z$18</f>
        <v>2144.5886057205216</v>
      </c>
      <c r="AA70" s="180">
        <f xml:space="preserve"> Finstat!AA$18</f>
        <v>2601.3552275867833</v>
      </c>
      <c r="AB70" s="180">
        <f xml:space="preserve"> Finstat!AB$18</f>
        <v>2837.2558454461523</v>
      </c>
      <c r="AC70" s="180">
        <f xml:space="preserve"> Finstat!AC$18</f>
        <v>3313.8131729521192</v>
      </c>
      <c r="AD70" s="180">
        <f xml:space="preserve"> Finstat!AD$18</f>
        <v>4039.2993705345834</v>
      </c>
      <c r="AE70" s="180">
        <f xml:space="preserve"> Finstat!AE$18</f>
        <v>4579.7145224730975</v>
      </c>
      <c r="AF70" s="180">
        <f xml:space="preserve"> Finstat!AF$18</f>
        <v>4839.8615800047355</v>
      </c>
      <c r="AG70" s="180">
        <f xml:space="preserve"> Finstat!AG$18</f>
        <v>5406.0394467431033</v>
      </c>
      <c r="AH70" s="180">
        <f xml:space="preserve"> Finstat!AH$18</f>
        <v>5685.7811955944198</v>
      </c>
      <c r="AI70" s="180">
        <f xml:space="preserve"> Finstat!AI$18</f>
        <v>6700.7386481415342</v>
      </c>
      <c r="AJ70" s="180">
        <f xml:space="preserve"> Finstat!AJ$18</f>
        <v>7004.2141970656166</v>
      </c>
      <c r="AK70" s="180">
        <f xml:space="preserve"> Finstat!AK$18</f>
        <v>7630.4762684663965</v>
      </c>
      <c r="AL70" s="180">
        <f xml:space="preserve"> Finstat!AL$18</f>
        <v>7956.7995555114303</v>
      </c>
      <c r="AM70" s="180">
        <f xml:space="preserve"> Finstat!AM$18</f>
        <v>8614.7687134445423</v>
      </c>
      <c r="AN70" s="180">
        <f xml:space="preserve"> Finstat!AN$18</f>
        <v>9321.840997047806</v>
      </c>
      <c r="AO70" s="180">
        <f xml:space="preserve"> Finstat!AO$18</f>
        <v>10054.792216033982</v>
      </c>
      <c r="AP70" s="180">
        <f xml:space="preserve"> Finstat!AP$18</f>
        <v>10417.609838565706</v>
      </c>
      <c r="AQ70" s="180">
        <f xml:space="preserve"> Finstat!AQ$18</f>
        <v>11188.790189403744</v>
      </c>
      <c r="AR70" s="180">
        <f xml:space="preserve"> Finstat!AR$18</f>
        <v>11581.498102715326</v>
      </c>
      <c r="AS70" s="180">
        <f xml:space="preserve"> Finstat!AS$18</f>
        <v>12393.591500484563</v>
      </c>
      <c r="AT70" s="180">
        <f xml:space="preserve"> Finstat!AT$18</f>
        <v>12818.631544996631</v>
      </c>
      <c r="AU70" s="180">
        <f xml:space="preserve"> Finstat!AU$18</f>
        <v>13674.521016921499</v>
      </c>
      <c r="AV70" s="180">
        <f xml:space="preserve"> Finstat!AV$18</f>
        <v>14134.720114087017</v>
      </c>
      <c r="AW70" s="180">
        <f xml:space="preserve"> Finstat!AW$18</f>
        <v>15037.487976821893</v>
      </c>
      <c r="AX70" s="180">
        <f xml:space="preserve"> Finstat!AX$18</f>
        <v>16087.420758610768</v>
      </c>
      <c r="AY70" s="180">
        <f xml:space="preserve"> Finstat!AY$18</f>
        <v>17091.418949413575</v>
      </c>
      <c r="AZ70" s="180">
        <f xml:space="preserve"> Finstat!AZ$18</f>
        <v>17617.915398826823</v>
      </c>
      <c r="BA70" s="180">
        <f xml:space="preserve"> Finstat!BA$18</f>
        <v>18677.501639563503</v>
      </c>
      <c r="BB70" s="180">
        <f xml:space="preserve"> Finstat!BB$18</f>
        <v>19248.731112374691</v>
      </c>
      <c r="BC70" s="180">
        <f xml:space="preserve"> Finstat!BC$18</f>
        <v>20367.61135463473</v>
      </c>
      <c r="BD70" s="180">
        <f xml:space="preserve"> Finstat!BD$18</f>
        <v>20419.735915761994</v>
      </c>
      <c r="BE70" s="180">
        <f xml:space="preserve"> Finstat!BE$18</f>
        <v>21015.19336913959</v>
      </c>
      <c r="BF70" s="180">
        <f xml:space="preserve"> Finstat!BF$18</f>
        <v>20942.957265945064</v>
      </c>
      <c r="BG70" s="180">
        <f xml:space="preserve"> Finstat!BG$18</f>
        <v>21551.740055076414</v>
      </c>
      <c r="BH70" s="180">
        <f xml:space="preserve"> Finstat!BH$18</f>
        <v>21604.922928232689</v>
      </c>
      <c r="BI70" s="180">
        <f xml:space="preserve"> Finstat!BI$18</f>
        <v>21077.655665139853</v>
      </c>
      <c r="BJ70" s="180">
        <f xml:space="preserve"> Finstat!BJ$18</f>
        <v>23316.983881257755</v>
      </c>
      <c r="BK70" s="180">
        <f xml:space="preserve"> Finstat!BK$18</f>
        <v>21609.323148980817</v>
      </c>
      <c r="BL70" s="180">
        <f xml:space="preserve"> Finstat!BL$18</f>
        <v>24038.300208928202</v>
      </c>
      <c r="BM70" s="180">
        <f xml:space="preserve"> Finstat!BM$18</f>
        <v>27823.617183904571</v>
      </c>
      <c r="BN70" s="180">
        <f xml:space="preserve"> Finstat!BN$18</f>
        <v>30313.318670350651</v>
      </c>
      <c r="BO70" s="180">
        <f xml:space="preserve"> Finstat!BO$18</f>
        <v>28519.207613502193</v>
      </c>
      <c r="BP70" s="180">
        <f xml:space="preserve"> Finstat!BP$18</f>
        <v>31071.151637109404</v>
      </c>
      <c r="BQ70" s="180">
        <f xml:space="preserve"> Finstat!BQ$18</f>
        <v>29232.187803839737</v>
      </c>
      <c r="BR70" s="180">
        <f xml:space="preserve"> Finstat!BR$18</f>
        <v>30561.357408855914</v>
      </c>
      <c r="BS70" s="180">
        <f xml:space="preserve"> Finstat!BS$18</f>
        <v>31265.548404464236</v>
      </c>
      <c r="BT70" s="180">
        <f xml:space="preserve"> Finstat!BT$18</f>
        <v>31653.955202433928</v>
      </c>
      <c r="BU70" s="180">
        <f xml:space="preserve"> Finstat!BU$18</f>
        <v>32047.187114575838</v>
      </c>
      <c r="BV70" s="180">
        <f xml:space="preserve"> Finstat!BV$18</f>
        <v>32445.30408249476</v>
      </c>
      <c r="BW70" s="180">
        <f xml:space="preserve"> Finstat!BW$18</f>
        <v>0</v>
      </c>
      <c r="BX70" s="180">
        <f xml:space="preserve"> Finstat!BX$18</f>
        <v>0</v>
      </c>
      <c r="BY70" s="180">
        <f xml:space="preserve"> Finstat!BY$18</f>
        <v>0</v>
      </c>
      <c r="BZ70" s="180">
        <f xml:space="preserve"> Finstat!BZ$18</f>
        <v>0</v>
      </c>
      <c r="CA70" s="180">
        <f xml:space="preserve"> Finstat!CA$18</f>
        <v>0</v>
      </c>
    </row>
    <row r="71" spans="1:79" x14ac:dyDescent="0.2">
      <c r="E71" s="85" t="s">
        <v>130</v>
      </c>
      <c r="F71" s="81" t="s">
        <v>277</v>
      </c>
      <c r="G71" s="85" t="str">
        <f xml:space="preserve"> SMU</f>
        <v>€ 000s</v>
      </c>
      <c r="J71" s="85">
        <f xml:space="preserve"> MAX( SUM(J69:J70), 0)</f>
        <v>0</v>
      </c>
      <c r="K71" s="85">
        <f t="shared" ref="K71:BV71" si="39" xml:space="preserve"> MAX( SUM(K69:K70), 0)</f>
        <v>0</v>
      </c>
      <c r="L71" s="85">
        <f t="shared" si="39"/>
        <v>0</v>
      </c>
      <c r="M71" s="85">
        <f t="shared" si="39"/>
        <v>0</v>
      </c>
      <c r="N71" s="85">
        <f t="shared" si="39"/>
        <v>0</v>
      </c>
      <c r="O71" s="85">
        <f t="shared" si="39"/>
        <v>0</v>
      </c>
      <c r="P71" s="85">
        <f t="shared" si="39"/>
        <v>0</v>
      </c>
      <c r="Q71" s="85">
        <f t="shared" si="39"/>
        <v>0</v>
      </c>
      <c r="R71" s="85">
        <f t="shared" si="39"/>
        <v>0</v>
      </c>
      <c r="S71" s="85">
        <f t="shared" si="39"/>
        <v>0</v>
      </c>
      <c r="T71" s="85">
        <f t="shared" si="39"/>
        <v>0</v>
      </c>
      <c r="U71" s="85">
        <f t="shared" si="39"/>
        <v>0</v>
      </c>
      <c r="V71" s="85">
        <f t="shared" si="39"/>
        <v>0</v>
      </c>
      <c r="W71" s="85">
        <f t="shared" si="39"/>
        <v>0</v>
      </c>
      <c r="X71" s="85">
        <f t="shared" si="39"/>
        <v>0</v>
      </c>
      <c r="Y71" s="85">
        <f t="shared" si="39"/>
        <v>0</v>
      </c>
      <c r="Z71" s="85">
        <f t="shared" si="39"/>
        <v>1970.0797678486269</v>
      </c>
      <c r="AA71" s="85">
        <f t="shared" si="39"/>
        <v>4571.4349954354102</v>
      </c>
      <c r="AB71" s="85">
        <f t="shared" si="39"/>
        <v>5153.7985360133725</v>
      </c>
      <c r="AC71" s="85">
        <f t="shared" si="39"/>
        <v>3313.8131729521192</v>
      </c>
      <c r="AD71" s="85">
        <f t="shared" si="39"/>
        <v>4039.2993705345834</v>
      </c>
      <c r="AE71" s="85">
        <f t="shared" si="39"/>
        <v>4579.7145224730975</v>
      </c>
      <c r="AF71" s="85">
        <f t="shared" si="39"/>
        <v>4839.8615800047355</v>
      </c>
      <c r="AG71" s="85">
        <f t="shared" si="39"/>
        <v>5406.0394467431033</v>
      </c>
      <c r="AH71" s="85">
        <f t="shared" si="39"/>
        <v>5685.7811955944198</v>
      </c>
      <c r="AI71" s="85">
        <f t="shared" si="39"/>
        <v>6700.7386481415342</v>
      </c>
      <c r="AJ71" s="85">
        <f t="shared" si="39"/>
        <v>7004.2141970656166</v>
      </c>
      <c r="AK71" s="85">
        <f t="shared" si="39"/>
        <v>7630.4762684663965</v>
      </c>
      <c r="AL71" s="85">
        <f t="shared" si="39"/>
        <v>7956.7995555114303</v>
      </c>
      <c r="AM71" s="85">
        <f t="shared" si="39"/>
        <v>8614.7687134445423</v>
      </c>
      <c r="AN71" s="85">
        <f t="shared" si="39"/>
        <v>9321.840997047806</v>
      </c>
      <c r="AO71" s="85">
        <f t="shared" si="39"/>
        <v>10054.792216033982</v>
      </c>
      <c r="AP71" s="85">
        <f t="shared" si="39"/>
        <v>10417.609838565706</v>
      </c>
      <c r="AQ71" s="85">
        <f t="shared" si="39"/>
        <v>11188.790189403744</v>
      </c>
      <c r="AR71" s="85">
        <f t="shared" si="39"/>
        <v>11966.549180164071</v>
      </c>
      <c r="AS71" s="85">
        <f t="shared" si="39"/>
        <v>17361.537401384692</v>
      </c>
      <c r="AT71" s="85">
        <f t="shared" si="39"/>
        <v>22811.48759659029</v>
      </c>
      <c r="AU71" s="85">
        <f t="shared" si="39"/>
        <v>29458.468851811653</v>
      </c>
      <c r="AV71" s="85">
        <f t="shared" si="39"/>
        <v>36185.001953663566</v>
      </c>
      <c r="AW71" s="85">
        <f t="shared" si="39"/>
        <v>44163.93217441153</v>
      </c>
      <c r="AX71" s="85">
        <f t="shared" si="39"/>
        <v>53196.083833296114</v>
      </c>
      <c r="AY71" s="85">
        <f t="shared" si="39"/>
        <v>63064.692025341064</v>
      </c>
      <c r="AZ71" s="85">
        <f t="shared" si="39"/>
        <v>73003.877469738392</v>
      </c>
      <c r="BA71" s="85">
        <f t="shared" si="39"/>
        <v>84426.392294644713</v>
      </c>
      <c r="BB71" s="85">
        <f t="shared" si="39"/>
        <v>95956.221446847136</v>
      </c>
      <c r="BC71" s="85">
        <f t="shared" si="39"/>
        <v>89968.606257547654</v>
      </c>
      <c r="BD71" s="85">
        <f t="shared" si="39"/>
        <v>83722.846460749148</v>
      </c>
      <c r="BE71" s="85">
        <f t="shared" si="39"/>
        <v>78058.530312819246</v>
      </c>
      <c r="BF71" s="85">
        <f t="shared" si="39"/>
        <v>71762.725827104587</v>
      </c>
      <c r="BG71" s="85">
        <f t="shared" si="39"/>
        <v>66182.33519156379</v>
      </c>
      <c r="BH71" s="85">
        <f t="shared" si="39"/>
        <v>60079.019850003519</v>
      </c>
      <c r="BI71" s="85">
        <f t="shared" si="39"/>
        <v>53426.295821651955</v>
      </c>
      <c r="BJ71" s="85">
        <f t="shared" si="39"/>
        <v>49569.656649496057</v>
      </c>
      <c r="BK71" s="85">
        <f t="shared" si="39"/>
        <v>41794.043437080996</v>
      </c>
      <c r="BL71" s="85">
        <f t="shared" si="39"/>
        <v>38181.682179619151</v>
      </c>
      <c r="BM71" s="85">
        <f t="shared" si="39"/>
        <v>35950.944291778731</v>
      </c>
      <c r="BN71" s="85">
        <f t="shared" si="39"/>
        <v>37984.279422831103</v>
      </c>
      <c r="BO71" s="85">
        <f t="shared" si="39"/>
        <v>35756.620328358622</v>
      </c>
      <c r="BP71" s="85">
        <f t="shared" si="39"/>
        <v>37896.69371622301</v>
      </c>
      <c r="BQ71" s="85">
        <f t="shared" si="39"/>
        <v>35666.452778997656</v>
      </c>
      <c r="BR71" s="85">
        <f t="shared" si="39"/>
        <v>36623.909135255934</v>
      </c>
      <c r="BS71" s="85">
        <f t="shared" si="39"/>
        <v>36974.972544544253</v>
      </c>
      <c r="BT71" s="85">
        <f t="shared" si="39"/>
        <v>37027.908135509941</v>
      </c>
      <c r="BU71" s="85">
        <f t="shared" si="39"/>
        <v>37102.442400998043</v>
      </c>
      <c r="BV71" s="85">
        <f t="shared" si="39"/>
        <v>37197.796604595853</v>
      </c>
      <c r="BW71" s="85">
        <f t="shared" ref="BW71:CA71" si="40" xml:space="preserve"> MAX( SUM(BW69:BW70), 0)</f>
        <v>0</v>
      </c>
      <c r="BX71" s="85">
        <f t="shared" si="40"/>
        <v>0</v>
      </c>
      <c r="BY71" s="85">
        <f t="shared" si="40"/>
        <v>0</v>
      </c>
      <c r="BZ71" s="85">
        <f t="shared" si="40"/>
        <v>0</v>
      </c>
      <c r="CA71" s="85">
        <f t="shared" si="40"/>
        <v>0</v>
      </c>
    </row>
    <row r="73" spans="1:79" x14ac:dyDescent="0.2">
      <c r="E73" s="85" t="str">
        <f xml:space="preserve"> E$67</f>
        <v>Aggregate cash available for dividends</v>
      </c>
      <c r="F73" s="85">
        <f t="shared" ref="F73:BQ73" si="41" xml:space="preserve"> F$67</f>
        <v>0</v>
      </c>
      <c r="G73" s="85" t="str">
        <f t="shared" si="41"/>
        <v>€ 000s</v>
      </c>
      <c r="H73" s="85">
        <f t="shared" si="41"/>
        <v>0</v>
      </c>
      <c r="I73" s="85">
        <f t="shared" si="41"/>
        <v>0</v>
      </c>
      <c r="J73" s="85">
        <f t="shared" si="41"/>
        <v>0</v>
      </c>
      <c r="K73" s="85">
        <f t="shared" si="41"/>
        <v>0</v>
      </c>
      <c r="L73" s="85">
        <f t="shared" si="41"/>
        <v>0</v>
      </c>
      <c r="M73" s="85">
        <f t="shared" si="41"/>
        <v>0</v>
      </c>
      <c r="N73" s="85">
        <f t="shared" si="41"/>
        <v>0</v>
      </c>
      <c r="O73" s="85">
        <f t="shared" si="41"/>
        <v>0</v>
      </c>
      <c r="P73" s="85">
        <f t="shared" si="41"/>
        <v>0</v>
      </c>
      <c r="Q73" s="85">
        <f t="shared" si="41"/>
        <v>0</v>
      </c>
      <c r="R73" s="85">
        <f t="shared" si="41"/>
        <v>0</v>
      </c>
      <c r="S73" s="85">
        <f t="shared" si="41"/>
        <v>0</v>
      </c>
      <c r="T73" s="85">
        <f t="shared" si="41"/>
        <v>0</v>
      </c>
      <c r="U73" s="85">
        <f t="shared" si="41"/>
        <v>0</v>
      </c>
      <c r="V73" s="85">
        <f t="shared" si="41"/>
        <v>0</v>
      </c>
      <c r="W73" s="85">
        <f t="shared" si="41"/>
        <v>0</v>
      </c>
      <c r="X73" s="85">
        <f t="shared" si="41"/>
        <v>0</v>
      </c>
      <c r="Y73" s="85">
        <f t="shared" si="41"/>
        <v>0</v>
      </c>
      <c r="Z73" s="85">
        <f t="shared" si="41"/>
        <v>0</v>
      </c>
      <c r="AA73" s="85">
        <f t="shared" si="41"/>
        <v>2254.89230486819</v>
      </c>
      <c r="AB73" s="85">
        <f t="shared" si="41"/>
        <v>6747.6019038196464</v>
      </c>
      <c r="AC73" s="85">
        <f t="shared" si="41"/>
        <v>8201.1679663031973</v>
      </c>
      <c r="AD73" s="85">
        <f t="shared" si="41"/>
        <v>11742.08082995694</v>
      </c>
      <c r="AE73" s="85">
        <f t="shared" si="41"/>
        <v>14808.690294363067</v>
      </c>
      <c r="AF73" s="85">
        <f t="shared" si="41"/>
        <v>17081.566222669979</v>
      </c>
      <c r="AG73" s="85">
        <f t="shared" si="41"/>
        <v>19357.18853055517</v>
      </c>
      <c r="AH73" s="85">
        <f t="shared" si="41"/>
        <v>20938.111644970937</v>
      </c>
      <c r="AI73" s="85">
        <f t="shared" si="41"/>
        <v>22334.244067641495</v>
      </c>
      <c r="AJ73" s="85">
        <f t="shared" si="41"/>
        <v>22454.372716481881</v>
      </c>
      <c r="AK73" s="85">
        <f t="shared" si="41"/>
        <v>22554.774534164655</v>
      </c>
      <c r="AL73" s="85">
        <f t="shared" si="41"/>
        <v>21763.725656556519</v>
      </c>
      <c r="AM73" s="85">
        <f t="shared" si="41"/>
        <v>20682.850622496924</v>
      </c>
      <c r="AN73" s="85">
        <f t="shared" si="41"/>
        <v>19010.26636879296</v>
      </c>
      <c r="AO73" s="85">
        <f t="shared" si="41"/>
        <v>16979.900173489656</v>
      </c>
      <c r="AP73" s="85">
        <f t="shared" si="41"/>
        <v>13892.248211660664</v>
      </c>
      <c r="AQ73" s="85">
        <f t="shared" si="41"/>
        <v>10803.739111954999</v>
      </c>
      <c r="AR73" s="85">
        <f t="shared" si="41"/>
        <v>6998.6032792639417</v>
      </c>
      <c r="AS73" s="85">
        <f t="shared" si="41"/>
        <v>7368.6813497910334</v>
      </c>
      <c r="AT73" s="85">
        <f t="shared" si="41"/>
        <v>7027.5397617001363</v>
      </c>
      <c r="AU73" s="85">
        <f t="shared" si="41"/>
        <v>7408.1870122351065</v>
      </c>
      <c r="AV73" s="85">
        <f t="shared" si="41"/>
        <v>7058.5577560739257</v>
      </c>
      <c r="AW73" s="85">
        <f t="shared" si="41"/>
        <v>7055.2690997261852</v>
      </c>
      <c r="AX73" s="85">
        <f t="shared" si="41"/>
        <v>7222.8107573686211</v>
      </c>
      <c r="AY73" s="85">
        <f t="shared" si="41"/>
        <v>7678.729954429491</v>
      </c>
      <c r="AZ73" s="85">
        <f t="shared" si="41"/>
        <v>7254.9868146571789</v>
      </c>
      <c r="BA73" s="85">
        <f t="shared" si="41"/>
        <v>7718.9019601722684</v>
      </c>
      <c r="BB73" s="85">
        <f t="shared" si="41"/>
        <v>26355.226543934212</v>
      </c>
      <c r="BC73" s="85">
        <f t="shared" si="41"/>
        <v>26665.4957125605</v>
      </c>
      <c r="BD73" s="85">
        <f t="shared" si="41"/>
        <v>26679.509517069491</v>
      </c>
      <c r="BE73" s="85">
        <f t="shared" si="41"/>
        <v>27238.761751659724</v>
      </c>
      <c r="BF73" s="85">
        <f t="shared" si="41"/>
        <v>27132.130690617203</v>
      </c>
      <c r="BG73" s="85">
        <f t="shared" si="41"/>
        <v>27708.238269792957</v>
      </c>
      <c r="BH73" s="85">
        <f t="shared" si="41"/>
        <v>27730.379693491417</v>
      </c>
      <c r="BI73" s="85">
        <f t="shared" si="41"/>
        <v>27173.623053413656</v>
      </c>
      <c r="BJ73" s="85">
        <f t="shared" si="41"/>
        <v>29384.936361395878</v>
      </c>
      <c r="BK73" s="85">
        <f t="shared" si="41"/>
        <v>27650.661466390051</v>
      </c>
      <c r="BL73" s="85">
        <f t="shared" si="41"/>
        <v>30054.355071744991</v>
      </c>
      <c r="BM73" s="85">
        <f t="shared" si="41"/>
        <v>28279.983539298279</v>
      </c>
      <c r="BN73" s="85">
        <f t="shared" si="41"/>
        <v>30746.866707974674</v>
      </c>
      <c r="BO73" s="85">
        <f t="shared" si="41"/>
        <v>28931.078249245016</v>
      </c>
      <c r="BP73" s="85">
        <f t="shared" si="41"/>
        <v>31462.428741065087</v>
      </c>
      <c r="BQ73" s="85">
        <f t="shared" si="41"/>
        <v>29603.901052597634</v>
      </c>
      <c r="BR73" s="85">
        <f t="shared" ref="BR73:CA73" si="42" xml:space="preserve"> BR$67</f>
        <v>30914.484995175917</v>
      </c>
      <c r="BS73" s="85">
        <f t="shared" si="42"/>
        <v>31601.01961146824</v>
      </c>
      <c r="BT73" s="85">
        <f t="shared" si="42"/>
        <v>31972.652849087732</v>
      </c>
      <c r="BU73" s="85">
        <f t="shared" si="42"/>
        <v>32349.94987889695</v>
      </c>
      <c r="BV73" s="85">
        <f t="shared" si="42"/>
        <v>37197.796604595904</v>
      </c>
      <c r="BW73" s="85">
        <f t="shared" si="42"/>
        <v>5.0931703299283981E-11</v>
      </c>
      <c r="BX73" s="85">
        <f t="shared" si="42"/>
        <v>5.0931703299283981E-11</v>
      </c>
      <c r="BY73" s="85">
        <f t="shared" si="42"/>
        <v>5.0931703299283981E-11</v>
      </c>
      <c r="BZ73" s="85">
        <f t="shared" si="42"/>
        <v>5.0931703299283981E-11</v>
      </c>
      <c r="CA73" s="85">
        <f t="shared" si="42"/>
        <v>5.0931703299283981E-11</v>
      </c>
    </row>
    <row r="74" spans="1:79" x14ac:dyDescent="0.2">
      <c r="E74" s="85" t="str">
        <f xml:space="preserve"> E$71</f>
        <v>Aggregate earnings available for dividends</v>
      </c>
      <c r="F74" s="85" t="str">
        <f t="shared" ref="F74:BQ74" si="43" xml:space="preserve"> F$71</f>
        <v>MAX( x, 0 )</v>
      </c>
      <c r="G74" s="85" t="str">
        <f t="shared" si="43"/>
        <v>€ 000s</v>
      </c>
      <c r="H74" s="85">
        <f t="shared" si="43"/>
        <v>0</v>
      </c>
      <c r="I74" s="85">
        <f t="shared" si="43"/>
        <v>0</v>
      </c>
      <c r="J74" s="85">
        <f t="shared" si="43"/>
        <v>0</v>
      </c>
      <c r="K74" s="85">
        <f t="shared" si="43"/>
        <v>0</v>
      </c>
      <c r="L74" s="85">
        <f t="shared" si="43"/>
        <v>0</v>
      </c>
      <c r="M74" s="85">
        <f t="shared" si="43"/>
        <v>0</v>
      </c>
      <c r="N74" s="85">
        <f t="shared" si="43"/>
        <v>0</v>
      </c>
      <c r="O74" s="85">
        <f t="shared" si="43"/>
        <v>0</v>
      </c>
      <c r="P74" s="85">
        <f t="shared" si="43"/>
        <v>0</v>
      </c>
      <c r="Q74" s="85">
        <f t="shared" si="43"/>
        <v>0</v>
      </c>
      <c r="R74" s="85">
        <f t="shared" si="43"/>
        <v>0</v>
      </c>
      <c r="S74" s="85">
        <f t="shared" si="43"/>
        <v>0</v>
      </c>
      <c r="T74" s="85">
        <f t="shared" si="43"/>
        <v>0</v>
      </c>
      <c r="U74" s="85">
        <f t="shared" si="43"/>
        <v>0</v>
      </c>
      <c r="V74" s="85">
        <f t="shared" si="43"/>
        <v>0</v>
      </c>
      <c r="W74" s="85">
        <f t="shared" si="43"/>
        <v>0</v>
      </c>
      <c r="X74" s="85">
        <f t="shared" si="43"/>
        <v>0</v>
      </c>
      <c r="Y74" s="85">
        <f t="shared" si="43"/>
        <v>0</v>
      </c>
      <c r="Z74" s="85">
        <f t="shared" si="43"/>
        <v>1970.0797678486269</v>
      </c>
      <c r="AA74" s="85">
        <f t="shared" si="43"/>
        <v>4571.4349954354102</v>
      </c>
      <c r="AB74" s="85">
        <f t="shared" si="43"/>
        <v>5153.7985360133725</v>
      </c>
      <c r="AC74" s="85">
        <f t="shared" si="43"/>
        <v>3313.8131729521192</v>
      </c>
      <c r="AD74" s="85">
        <f t="shared" si="43"/>
        <v>4039.2993705345834</v>
      </c>
      <c r="AE74" s="85">
        <f t="shared" si="43"/>
        <v>4579.7145224730975</v>
      </c>
      <c r="AF74" s="85">
        <f t="shared" si="43"/>
        <v>4839.8615800047355</v>
      </c>
      <c r="AG74" s="85">
        <f t="shared" si="43"/>
        <v>5406.0394467431033</v>
      </c>
      <c r="AH74" s="85">
        <f t="shared" si="43"/>
        <v>5685.7811955944198</v>
      </c>
      <c r="AI74" s="85">
        <f t="shared" si="43"/>
        <v>6700.7386481415342</v>
      </c>
      <c r="AJ74" s="85">
        <f t="shared" si="43"/>
        <v>7004.2141970656166</v>
      </c>
      <c r="AK74" s="85">
        <f t="shared" si="43"/>
        <v>7630.4762684663965</v>
      </c>
      <c r="AL74" s="85">
        <f t="shared" si="43"/>
        <v>7956.7995555114303</v>
      </c>
      <c r="AM74" s="85">
        <f t="shared" si="43"/>
        <v>8614.7687134445423</v>
      </c>
      <c r="AN74" s="85">
        <f t="shared" si="43"/>
        <v>9321.840997047806</v>
      </c>
      <c r="AO74" s="85">
        <f t="shared" si="43"/>
        <v>10054.792216033982</v>
      </c>
      <c r="AP74" s="85">
        <f t="shared" si="43"/>
        <v>10417.609838565706</v>
      </c>
      <c r="AQ74" s="85">
        <f t="shared" si="43"/>
        <v>11188.790189403744</v>
      </c>
      <c r="AR74" s="85">
        <f t="shared" si="43"/>
        <v>11966.549180164071</v>
      </c>
      <c r="AS74" s="85">
        <f t="shared" si="43"/>
        <v>17361.537401384692</v>
      </c>
      <c r="AT74" s="85">
        <f t="shared" si="43"/>
        <v>22811.48759659029</v>
      </c>
      <c r="AU74" s="85">
        <f t="shared" si="43"/>
        <v>29458.468851811653</v>
      </c>
      <c r="AV74" s="85">
        <f t="shared" si="43"/>
        <v>36185.001953663566</v>
      </c>
      <c r="AW74" s="85">
        <f t="shared" si="43"/>
        <v>44163.93217441153</v>
      </c>
      <c r="AX74" s="85">
        <f t="shared" si="43"/>
        <v>53196.083833296114</v>
      </c>
      <c r="AY74" s="85">
        <f t="shared" si="43"/>
        <v>63064.692025341064</v>
      </c>
      <c r="AZ74" s="85">
        <f t="shared" si="43"/>
        <v>73003.877469738392</v>
      </c>
      <c r="BA74" s="85">
        <f t="shared" si="43"/>
        <v>84426.392294644713</v>
      </c>
      <c r="BB74" s="85">
        <f t="shared" si="43"/>
        <v>95956.221446847136</v>
      </c>
      <c r="BC74" s="85">
        <f t="shared" si="43"/>
        <v>89968.606257547654</v>
      </c>
      <c r="BD74" s="85">
        <f t="shared" si="43"/>
        <v>83722.846460749148</v>
      </c>
      <c r="BE74" s="85">
        <f t="shared" si="43"/>
        <v>78058.530312819246</v>
      </c>
      <c r="BF74" s="85">
        <f t="shared" si="43"/>
        <v>71762.725827104587</v>
      </c>
      <c r="BG74" s="85">
        <f t="shared" si="43"/>
        <v>66182.33519156379</v>
      </c>
      <c r="BH74" s="85">
        <f t="shared" si="43"/>
        <v>60079.019850003519</v>
      </c>
      <c r="BI74" s="85">
        <f t="shared" si="43"/>
        <v>53426.295821651955</v>
      </c>
      <c r="BJ74" s="85">
        <f t="shared" si="43"/>
        <v>49569.656649496057</v>
      </c>
      <c r="BK74" s="85">
        <f t="shared" si="43"/>
        <v>41794.043437080996</v>
      </c>
      <c r="BL74" s="85">
        <f t="shared" si="43"/>
        <v>38181.682179619151</v>
      </c>
      <c r="BM74" s="85">
        <f t="shared" si="43"/>
        <v>35950.944291778731</v>
      </c>
      <c r="BN74" s="85">
        <f t="shared" si="43"/>
        <v>37984.279422831103</v>
      </c>
      <c r="BO74" s="85">
        <f t="shared" si="43"/>
        <v>35756.620328358622</v>
      </c>
      <c r="BP74" s="85">
        <f t="shared" si="43"/>
        <v>37896.69371622301</v>
      </c>
      <c r="BQ74" s="85">
        <f t="shared" si="43"/>
        <v>35666.452778997656</v>
      </c>
      <c r="BR74" s="85">
        <f t="shared" ref="BR74:CA74" si="44" xml:space="preserve"> BR$71</f>
        <v>36623.909135255934</v>
      </c>
      <c r="BS74" s="85">
        <f t="shared" si="44"/>
        <v>36974.972544544253</v>
      </c>
      <c r="BT74" s="85">
        <f t="shared" si="44"/>
        <v>37027.908135509941</v>
      </c>
      <c r="BU74" s="85">
        <f t="shared" si="44"/>
        <v>37102.442400998043</v>
      </c>
      <c r="BV74" s="85">
        <f t="shared" si="44"/>
        <v>37197.796604595853</v>
      </c>
      <c r="BW74" s="85">
        <f t="shared" si="44"/>
        <v>0</v>
      </c>
      <c r="BX74" s="85">
        <f t="shared" si="44"/>
        <v>0</v>
      </c>
      <c r="BY74" s="85">
        <f t="shared" si="44"/>
        <v>0</v>
      </c>
      <c r="BZ74" s="85">
        <f t="shared" si="44"/>
        <v>0</v>
      </c>
      <c r="CA74" s="85">
        <f t="shared" si="44"/>
        <v>0</v>
      </c>
    </row>
    <row r="75" spans="1:79" s="140" customFormat="1" x14ac:dyDescent="0.2">
      <c r="A75" s="137"/>
      <c r="B75" s="145"/>
      <c r="C75" s="146"/>
      <c r="D75" s="139"/>
      <c r="E75" s="172" t="s">
        <v>134</v>
      </c>
      <c r="G75" s="140" t="str">
        <f xml:space="preserve"> SMU</f>
        <v>€ 000s</v>
      </c>
      <c r="H75" s="140">
        <f>SUM(J75:CA75)</f>
        <v>803403.92778230901</v>
      </c>
      <c r="J75" s="140">
        <f xml:space="preserve"> MIN(J73:J74)</f>
        <v>0</v>
      </c>
      <c r="K75" s="140">
        <f t="shared" ref="K75:BV75" si="45" xml:space="preserve"> MIN(K73:K74)</f>
        <v>0</v>
      </c>
      <c r="L75" s="140">
        <f t="shared" si="45"/>
        <v>0</v>
      </c>
      <c r="M75" s="140">
        <f t="shared" si="45"/>
        <v>0</v>
      </c>
      <c r="N75" s="140">
        <f t="shared" si="45"/>
        <v>0</v>
      </c>
      <c r="O75" s="140">
        <f t="shared" si="45"/>
        <v>0</v>
      </c>
      <c r="P75" s="140">
        <f t="shared" si="45"/>
        <v>0</v>
      </c>
      <c r="Q75" s="140">
        <f t="shared" si="45"/>
        <v>0</v>
      </c>
      <c r="R75" s="140">
        <f t="shared" si="45"/>
        <v>0</v>
      </c>
      <c r="S75" s="140">
        <f t="shared" si="45"/>
        <v>0</v>
      </c>
      <c r="T75" s="140">
        <f t="shared" si="45"/>
        <v>0</v>
      </c>
      <c r="U75" s="140">
        <f t="shared" si="45"/>
        <v>0</v>
      </c>
      <c r="V75" s="140">
        <f t="shared" si="45"/>
        <v>0</v>
      </c>
      <c r="W75" s="140">
        <f t="shared" si="45"/>
        <v>0</v>
      </c>
      <c r="X75" s="140">
        <f t="shared" si="45"/>
        <v>0</v>
      </c>
      <c r="Y75" s="140">
        <f t="shared" si="45"/>
        <v>0</v>
      </c>
      <c r="Z75" s="140">
        <f t="shared" si="45"/>
        <v>0</v>
      </c>
      <c r="AA75" s="140">
        <f t="shared" si="45"/>
        <v>2254.89230486819</v>
      </c>
      <c r="AB75" s="140">
        <f t="shared" si="45"/>
        <v>5153.7985360133725</v>
      </c>
      <c r="AC75" s="140">
        <f t="shared" si="45"/>
        <v>3313.8131729521192</v>
      </c>
      <c r="AD75" s="140">
        <f t="shared" si="45"/>
        <v>4039.2993705345834</v>
      </c>
      <c r="AE75" s="140">
        <f t="shared" si="45"/>
        <v>4579.7145224730975</v>
      </c>
      <c r="AF75" s="140">
        <f t="shared" si="45"/>
        <v>4839.8615800047355</v>
      </c>
      <c r="AG75" s="140">
        <f t="shared" si="45"/>
        <v>5406.0394467431033</v>
      </c>
      <c r="AH75" s="140">
        <f t="shared" si="45"/>
        <v>5685.7811955944198</v>
      </c>
      <c r="AI75" s="140">
        <f t="shared" si="45"/>
        <v>6700.7386481415342</v>
      </c>
      <c r="AJ75" s="140">
        <f t="shared" si="45"/>
        <v>7004.2141970656166</v>
      </c>
      <c r="AK75" s="140">
        <f t="shared" si="45"/>
        <v>7630.4762684663965</v>
      </c>
      <c r="AL75" s="140">
        <f t="shared" si="45"/>
        <v>7956.7995555114303</v>
      </c>
      <c r="AM75" s="140">
        <f t="shared" si="45"/>
        <v>8614.7687134445423</v>
      </c>
      <c r="AN75" s="140">
        <f t="shared" si="45"/>
        <v>9321.840997047806</v>
      </c>
      <c r="AO75" s="140">
        <f t="shared" si="45"/>
        <v>10054.792216033982</v>
      </c>
      <c r="AP75" s="140">
        <f t="shared" si="45"/>
        <v>10417.609838565706</v>
      </c>
      <c r="AQ75" s="140">
        <f t="shared" si="45"/>
        <v>10803.739111954999</v>
      </c>
      <c r="AR75" s="140">
        <f t="shared" si="45"/>
        <v>6998.6032792639417</v>
      </c>
      <c r="AS75" s="140">
        <f t="shared" si="45"/>
        <v>7368.6813497910334</v>
      </c>
      <c r="AT75" s="140">
        <f t="shared" si="45"/>
        <v>7027.5397617001363</v>
      </c>
      <c r="AU75" s="140">
        <f t="shared" si="45"/>
        <v>7408.1870122351065</v>
      </c>
      <c r="AV75" s="140">
        <f t="shared" si="45"/>
        <v>7058.5577560739257</v>
      </c>
      <c r="AW75" s="140">
        <f t="shared" si="45"/>
        <v>7055.2690997261852</v>
      </c>
      <c r="AX75" s="140">
        <f t="shared" si="45"/>
        <v>7222.8107573686211</v>
      </c>
      <c r="AY75" s="140">
        <f t="shared" si="45"/>
        <v>7678.729954429491</v>
      </c>
      <c r="AZ75" s="140">
        <f t="shared" si="45"/>
        <v>7254.9868146571789</v>
      </c>
      <c r="BA75" s="140">
        <f t="shared" si="45"/>
        <v>7718.9019601722684</v>
      </c>
      <c r="BB75" s="140">
        <f t="shared" si="45"/>
        <v>26355.226543934212</v>
      </c>
      <c r="BC75" s="140">
        <f t="shared" si="45"/>
        <v>26665.4957125605</v>
      </c>
      <c r="BD75" s="140">
        <f t="shared" si="45"/>
        <v>26679.509517069491</v>
      </c>
      <c r="BE75" s="140">
        <f t="shared" si="45"/>
        <v>27238.761751659724</v>
      </c>
      <c r="BF75" s="140">
        <f t="shared" si="45"/>
        <v>27132.130690617203</v>
      </c>
      <c r="BG75" s="140">
        <f t="shared" si="45"/>
        <v>27708.238269792957</v>
      </c>
      <c r="BH75" s="140">
        <f t="shared" si="45"/>
        <v>27730.379693491417</v>
      </c>
      <c r="BI75" s="140">
        <f t="shared" si="45"/>
        <v>27173.623053413656</v>
      </c>
      <c r="BJ75" s="140">
        <f t="shared" si="45"/>
        <v>29384.936361395878</v>
      </c>
      <c r="BK75" s="140">
        <f t="shared" si="45"/>
        <v>27650.661466390051</v>
      </c>
      <c r="BL75" s="140">
        <f t="shared" si="45"/>
        <v>30054.355071744991</v>
      </c>
      <c r="BM75" s="140">
        <f t="shared" si="45"/>
        <v>28279.983539298279</v>
      </c>
      <c r="BN75" s="140">
        <f t="shared" si="45"/>
        <v>30746.866707974674</v>
      </c>
      <c r="BO75" s="140">
        <f t="shared" si="45"/>
        <v>28931.078249245016</v>
      </c>
      <c r="BP75" s="140">
        <f t="shared" si="45"/>
        <v>31462.428741065087</v>
      </c>
      <c r="BQ75" s="140">
        <f t="shared" si="45"/>
        <v>29603.901052597634</v>
      </c>
      <c r="BR75" s="140">
        <f t="shared" si="45"/>
        <v>30914.484995175917</v>
      </c>
      <c r="BS75" s="140">
        <f t="shared" si="45"/>
        <v>31601.01961146824</v>
      </c>
      <c r="BT75" s="140">
        <f t="shared" si="45"/>
        <v>31972.652849087732</v>
      </c>
      <c r="BU75" s="140">
        <f t="shared" si="45"/>
        <v>32349.94987889695</v>
      </c>
      <c r="BV75" s="140">
        <f t="shared" si="45"/>
        <v>37197.796604595853</v>
      </c>
      <c r="BW75" s="140">
        <f t="shared" ref="BW75:CA75" si="46" xml:space="preserve"> MIN(BW73:BW74)</f>
        <v>0</v>
      </c>
      <c r="BX75" s="140">
        <f t="shared" si="46"/>
        <v>0</v>
      </c>
      <c r="BY75" s="140">
        <f t="shared" si="46"/>
        <v>0</v>
      </c>
      <c r="BZ75" s="140">
        <f t="shared" si="46"/>
        <v>0</v>
      </c>
      <c r="CA75" s="140">
        <f t="shared" si="46"/>
        <v>0</v>
      </c>
    </row>
    <row r="78" spans="1:79" x14ac:dyDescent="0.2">
      <c r="B78" s="82" t="s">
        <v>135</v>
      </c>
    </row>
    <row r="80" spans="1:79" s="150" customFormat="1" x14ac:dyDescent="0.2">
      <c r="A80" s="108"/>
      <c r="B80" s="108"/>
      <c r="C80" s="109"/>
      <c r="D80" s="277"/>
      <c r="E80" s="155" t="s">
        <v>196</v>
      </c>
      <c r="F80" s="278">
        <v>0</v>
      </c>
      <c r="G80" s="155" t="s">
        <v>27</v>
      </c>
    </row>
    <row r="81" spans="1:79" s="118" customFormat="1" x14ac:dyDescent="0.2">
      <c r="A81" s="115"/>
      <c r="B81" s="115"/>
      <c r="C81" s="116"/>
      <c r="D81" s="117"/>
      <c r="E81" s="118" t="str">
        <f>'T&amp;E'!E$19</f>
        <v>Initial operations date flag</v>
      </c>
      <c r="F81" s="118">
        <f>'T&amp;E'!F$19</f>
        <v>0</v>
      </c>
      <c r="G81" s="118" t="str">
        <f>'T&amp;E'!G$19</f>
        <v>flag</v>
      </c>
      <c r="H81" s="118">
        <f>'T&amp;E'!H$19</f>
        <v>1</v>
      </c>
      <c r="I81" s="118">
        <f>'T&amp;E'!I$19</f>
        <v>0</v>
      </c>
      <c r="J81" s="118">
        <f>'T&amp;E'!J$19</f>
        <v>0</v>
      </c>
      <c r="K81" s="118">
        <f>'T&amp;E'!K$19</f>
        <v>0</v>
      </c>
      <c r="L81" s="118">
        <f>'T&amp;E'!L$19</f>
        <v>0</v>
      </c>
      <c r="M81" s="118">
        <f>'T&amp;E'!M$19</f>
        <v>0</v>
      </c>
      <c r="N81" s="118">
        <f>'T&amp;E'!N$19</f>
        <v>1</v>
      </c>
      <c r="O81" s="118">
        <f>'T&amp;E'!O$19</f>
        <v>0</v>
      </c>
      <c r="P81" s="118">
        <f>'T&amp;E'!P$19</f>
        <v>0</v>
      </c>
      <c r="Q81" s="118">
        <f>'T&amp;E'!Q$19</f>
        <v>0</v>
      </c>
      <c r="R81" s="118">
        <f>'T&amp;E'!R$19</f>
        <v>0</v>
      </c>
      <c r="S81" s="118">
        <f>'T&amp;E'!S$19</f>
        <v>0</v>
      </c>
      <c r="T81" s="118">
        <f>'T&amp;E'!T$19</f>
        <v>0</v>
      </c>
      <c r="U81" s="118">
        <f>'T&amp;E'!U$19</f>
        <v>0</v>
      </c>
      <c r="V81" s="118">
        <f>'T&amp;E'!V$19</f>
        <v>0</v>
      </c>
      <c r="W81" s="118">
        <f>'T&amp;E'!W$19</f>
        <v>0</v>
      </c>
      <c r="X81" s="118">
        <f>'T&amp;E'!X$19</f>
        <v>0</v>
      </c>
      <c r="Y81" s="118">
        <f>'T&amp;E'!Y$19</f>
        <v>0</v>
      </c>
      <c r="Z81" s="118">
        <f>'T&amp;E'!Z$19</f>
        <v>0</v>
      </c>
      <c r="AA81" s="118">
        <f>'T&amp;E'!AA$19</f>
        <v>0</v>
      </c>
      <c r="AB81" s="118">
        <f>'T&amp;E'!AB$19</f>
        <v>0</v>
      </c>
      <c r="AC81" s="118">
        <f>'T&amp;E'!AC$19</f>
        <v>0</v>
      </c>
      <c r="AD81" s="118">
        <f>'T&amp;E'!AD$19</f>
        <v>0</v>
      </c>
      <c r="AE81" s="118">
        <f>'T&amp;E'!AE$19</f>
        <v>0</v>
      </c>
      <c r="AF81" s="118">
        <f>'T&amp;E'!AF$19</f>
        <v>0</v>
      </c>
      <c r="AG81" s="118">
        <f>'T&amp;E'!AG$19</f>
        <v>0</v>
      </c>
      <c r="AH81" s="118">
        <f>'T&amp;E'!AH$19</f>
        <v>0</v>
      </c>
      <c r="AI81" s="118">
        <f>'T&amp;E'!AI$19</f>
        <v>0</v>
      </c>
      <c r="AJ81" s="118">
        <f>'T&amp;E'!AJ$19</f>
        <v>0</v>
      </c>
      <c r="AK81" s="118">
        <f>'T&amp;E'!AK$19</f>
        <v>0</v>
      </c>
      <c r="AL81" s="118">
        <f>'T&amp;E'!AL$19</f>
        <v>0</v>
      </c>
      <c r="AM81" s="118">
        <f>'T&amp;E'!AM$19</f>
        <v>0</v>
      </c>
      <c r="AN81" s="118">
        <f>'T&amp;E'!AN$19</f>
        <v>0</v>
      </c>
      <c r="AO81" s="118">
        <f>'T&amp;E'!AO$19</f>
        <v>0</v>
      </c>
      <c r="AP81" s="118">
        <f>'T&amp;E'!AP$19</f>
        <v>0</v>
      </c>
      <c r="AQ81" s="118">
        <f>'T&amp;E'!AQ$19</f>
        <v>0</v>
      </c>
      <c r="AR81" s="118">
        <f>'T&amp;E'!AR$19</f>
        <v>0</v>
      </c>
      <c r="AS81" s="118">
        <f>'T&amp;E'!AS$19</f>
        <v>0</v>
      </c>
      <c r="AT81" s="118">
        <f>'T&amp;E'!AT$19</f>
        <v>0</v>
      </c>
      <c r="AU81" s="118">
        <f>'T&amp;E'!AU$19</f>
        <v>0</v>
      </c>
      <c r="AV81" s="118">
        <f>'T&amp;E'!AV$19</f>
        <v>0</v>
      </c>
      <c r="AW81" s="118">
        <f>'T&amp;E'!AW$19</f>
        <v>0</v>
      </c>
      <c r="AX81" s="118">
        <f>'T&amp;E'!AX$19</f>
        <v>0</v>
      </c>
      <c r="AY81" s="118">
        <f>'T&amp;E'!AY$19</f>
        <v>0</v>
      </c>
      <c r="AZ81" s="118">
        <f>'T&amp;E'!AZ$19</f>
        <v>0</v>
      </c>
      <c r="BA81" s="118">
        <f>'T&amp;E'!BA$19</f>
        <v>0</v>
      </c>
      <c r="BB81" s="118">
        <f>'T&amp;E'!BB$19</f>
        <v>0</v>
      </c>
      <c r="BC81" s="118">
        <f>'T&amp;E'!BC$19</f>
        <v>0</v>
      </c>
      <c r="BD81" s="118">
        <f>'T&amp;E'!BD$19</f>
        <v>0</v>
      </c>
      <c r="BE81" s="118">
        <f>'T&amp;E'!BE$19</f>
        <v>0</v>
      </c>
      <c r="BF81" s="118">
        <f>'T&amp;E'!BF$19</f>
        <v>0</v>
      </c>
      <c r="BG81" s="118">
        <f>'T&amp;E'!BG$19</f>
        <v>0</v>
      </c>
      <c r="BH81" s="118">
        <f>'T&amp;E'!BH$19</f>
        <v>0</v>
      </c>
      <c r="BI81" s="118">
        <f>'T&amp;E'!BI$19</f>
        <v>0</v>
      </c>
      <c r="BJ81" s="118">
        <f>'T&amp;E'!BJ$19</f>
        <v>0</v>
      </c>
      <c r="BK81" s="118">
        <f>'T&amp;E'!BK$19</f>
        <v>0</v>
      </c>
      <c r="BL81" s="118">
        <f>'T&amp;E'!BL$19</f>
        <v>0</v>
      </c>
      <c r="BM81" s="118">
        <f>'T&amp;E'!BM$19</f>
        <v>0</v>
      </c>
      <c r="BN81" s="118">
        <f>'T&amp;E'!BN$19</f>
        <v>0</v>
      </c>
      <c r="BO81" s="118">
        <f>'T&amp;E'!BO$19</f>
        <v>0</v>
      </c>
      <c r="BP81" s="118">
        <f>'T&amp;E'!BP$19</f>
        <v>0</v>
      </c>
      <c r="BQ81" s="118">
        <f>'T&amp;E'!BQ$19</f>
        <v>0</v>
      </c>
      <c r="BR81" s="118">
        <f>'T&amp;E'!BR$19</f>
        <v>0</v>
      </c>
      <c r="BS81" s="118">
        <f>'T&amp;E'!BS$19</f>
        <v>0</v>
      </c>
      <c r="BT81" s="118">
        <f>'T&amp;E'!BT$19</f>
        <v>0</v>
      </c>
      <c r="BU81" s="118">
        <f>'T&amp;E'!BU$19</f>
        <v>0</v>
      </c>
      <c r="BV81" s="118">
        <f>'T&amp;E'!BV$19</f>
        <v>0</v>
      </c>
      <c r="BW81" s="118">
        <f>'T&amp;E'!BW$19</f>
        <v>0</v>
      </c>
      <c r="BX81" s="118">
        <f>'T&amp;E'!BX$19</f>
        <v>0</v>
      </c>
      <c r="BY81" s="118">
        <f>'T&amp;E'!BY$19</f>
        <v>0</v>
      </c>
      <c r="BZ81" s="118">
        <f>'T&amp;E'!BZ$19</f>
        <v>0</v>
      </c>
      <c r="CA81" s="118">
        <f>'T&amp;E'!CA$19</f>
        <v>0</v>
      </c>
    </row>
    <row r="82" spans="1:79" s="122" customFormat="1" x14ac:dyDescent="0.2">
      <c r="A82" s="119"/>
      <c r="B82" s="119"/>
      <c r="C82" s="120"/>
      <c r="D82" s="121"/>
    </row>
    <row r="83" spans="1:79" s="173" customFormat="1" x14ac:dyDescent="0.2">
      <c r="A83" s="169"/>
      <c r="B83" s="169"/>
      <c r="C83" s="170"/>
      <c r="D83" s="171"/>
      <c r="E83" s="172" t="s">
        <v>279</v>
      </c>
      <c r="G83" s="172" t="str">
        <f xml:space="preserve"> SMU</f>
        <v>€ 000s</v>
      </c>
      <c r="J83" s="173">
        <f t="shared" ref="J83:BU83" si="47" xml:space="preserve"> I86</f>
        <v>0</v>
      </c>
      <c r="K83" s="173">
        <f t="shared" si="47"/>
        <v>0</v>
      </c>
      <c r="L83" s="173">
        <f t="shared" si="47"/>
        <v>0</v>
      </c>
      <c r="M83" s="173">
        <f t="shared" si="47"/>
        <v>0</v>
      </c>
      <c r="N83" s="173">
        <f t="shared" si="47"/>
        <v>0</v>
      </c>
      <c r="O83" s="173">
        <f t="shared" si="47"/>
        <v>0</v>
      </c>
      <c r="P83" s="173">
        <f t="shared" si="47"/>
        <v>0</v>
      </c>
      <c r="Q83" s="173">
        <f t="shared" si="47"/>
        <v>0</v>
      </c>
      <c r="R83" s="173">
        <f t="shared" si="47"/>
        <v>0</v>
      </c>
      <c r="S83" s="173">
        <f t="shared" si="47"/>
        <v>0</v>
      </c>
      <c r="T83" s="173">
        <f t="shared" si="47"/>
        <v>0</v>
      </c>
      <c r="U83" s="173">
        <f t="shared" si="47"/>
        <v>0</v>
      </c>
      <c r="V83" s="173">
        <f t="shared" si="47"/>
        <v>0</v>
      </c>
      <c r="W83" s="173">
        <f t="shared" si="47"/>
        <v>0</v>
      </c>
      <c r="X83" s="173">
        <f t="shared" si="47"/>
        <v>0</v>
      </c>
      <c r="Y83" s="173">
        <f t="shared" si="47"/>
        <v>0</v>
      </c>
      <c r="Z83" s="173">
        <f t="shared" si="47"/>
        <v>0</v>
      </c>
      <c r="AA83" s="173">
        <f t="shared" si="47"/>
        <v>0</v>
      </c>
      <c r="AB83" s="173">
        <f t="shared" si="47"/>
        <v>0</v>
      </c>
      <c r="AC83" s="173">
        <f t="shared" si="47"/>
        <v>1593.8033678062739</v>
      </c>
      <c r="AD83" s="173">
        <f t="shared" si="47"/>
        <v>4887.3547933510781</v>
      </c>
      <c r="AE83" s="173">
        <f t="shared" si="47"/>
        <v>7702.7814594223564</v>
      </c>
      <c r="AF83" s="173">
        <f t="shared" si="47"/>
        <v>10228.975771889969</v>
      </c>
      <c r="AG83" s="173">
        <f t="shared" si="47"/>
        <v>12241.704642665243</v>
      </c>
      <c r="AH83" s="173">
        <f t="shared" si="47"/>
        <v>13951.149083812066</v>
      </c>
      <c r="AI83" s="173">
        <f t="shared" si="47"/>
        <v>15252.330449376517</v>
      </c>
      <c r="AJ83" s="173">
        <f t="shared" si="47"/>
        <v>15633.505419499961</v>
      </c>
      <c r="AK83" s="173">
        <f t="shared" si="47"/>
        <v>15450.158519416265</v>
      </c>
      <c r="AL83" s="173">
        <f t="shared" si="47"/>
        <v>14924.298265698259</v>
      </c>
      <c r="AM83" s="173">
        <f t="shared" si="47"/>
        <v>13806.926101045088</v>
      </c>
      <c r="AN83" s="173">
        <f t="shared" si="47"/>
        <v>12068.081909052382</v>
      </c>
      <c r="AO83" s="173">
        <f t="shared" si="47"/>
        <v>9688.4253717451538</v>
      </c>
      <c r="AP83" s="173">
        <f t="shared" si="47"/>
        <v>6925.1079574556734</v>
      </c>
      <c r="AQ83" s="173">
        <f t="shared" si="47"/>
        <v>3474.6383730949583</v>
      </c>
      <c r="AR83" s="173">
        <f t="shared" si="47"/>
        <v>0</v>
      </c>
      <c r="AS83" s="173">
        <f t="shared" si="47"/>
        <v>0</v>
      </c>
      <c r="AT83" s="173">
        <f t="shared" si="47"/>
        <v>0</v>
      </c>
      <c r="AU83" s="173">
        <f t="shared" si="47"/>
        <v>0</v>
      </c>
      <c r="AV83" s="173">
        <f t="shared" si="47"/>
        <v>0</v>
      </c>
      <c r="AW83" s="173">
        <f t="shared" si="47"/>
        <v>0</v>
      </c>
      <c r="AX83" s="173">
        <f t="shared" si="47"/>
        <v>0</v>
      </c>
      <c r="AY83" s="173">
        <f t="shared" si="47"/>
        <v>0</v>
      </c>
      <c r="AZ83" s="173">
        <f t="shared" si="47"/>
        <v>0</v>
      </c>
      <c r="BA83" s="173">
        <f t="shared" si="47"/>
        <v>0</v>
      </c>
      <c r="BB83" s="173">
        <f t="shared" si="47"/>
        <v>0</v>
      </c>
      <c r="BC83" s="173">
        <f t="shared" si="47"/>
        <v>0</v>
      </c>
      <c r="BD83" s="173">
        <f t="shared" si="47"/>
        <v>0</v>
      </c>
      <c r="BE83" s="173">
        <f t="shared" si="47"/>
        <v>0</v>
      </c>
      <c r="BF83" s="173">
        <f t="shared" si="47"/>
        <v>0</v>
      </c>
      <c r="BG83" s="173">
        <f t="shared" si="47"/>
        <v>0</v>
      </c>
      <c r="BH83" s="173">
        <f t="shared" si="47"/>
        <v>0</v>
      </c>
      <c r="BI83" s="173">
        <f t="shared" si="47"/>
        <v>0</v>
      </c>
      <c r="BJ83" s="173">
        <f t="shared" si="47"/>
        <v>0</v>
      </c>
      <c r="BK83" s="173">
        <f t="shared" si="47"/>
        <v>0</v>
      </c>
      <c r="BL83" s="173">
        <f t="shared" si="47"/>
        <v>0</v>
      </c>
      <c r="BM83" s="173">
        <f t="shared" si="47"/>
        <v>0</v>
      </c>
      <c r="BN83" s="173">
        <f t="shared" si="47"/>
        <v>0</v>
      </c>
      <c r="BO83" s="173">
        <f t="shared" si="47"/>
        <v>0</v>
      </c>
      <c r="BP83" s="173">
        <f t="shared" si="47"/>
        <v>0</v>
      </c>
      <c r="BQ83" s="173">
        <f t="shared" si="47"/>
        <v>0</v>
      </c>
      <c r="BR83" s="173">
        <f t="shared" si="47"/>
        <v>0</v>
      </c>
      <c r="BS83" s="173">
        <f t="shared" si="47"/>
        <v>0</v>
      </c>
      <c r="BT83" s="173">
        <f t="shared" si="47"/>
        <v>0</v>
      </c>
      <c r="BU83" s="173">
        <f t="shared" si="47"/>
        <v>0</v>
      </c>
      <c r="BV83" s="173">
        <f t="shared" ref="BV83:CA83" si="48" xml:space="preserve"> BU86</f>
        <v>0</v>
      </c>
      <c r="BW83" s="173">
        <f t="shared" si="48"/>
        <v>5.0931703299283981E-11</v>
      </c>
      <c r="BX83" s="173">
        <f t="shared" si="48"/>
        <v>5.0931703299283981E-11</v>
      </c>
      <c r="BY83" s="173">
        <f t="shared" si="48"/>
        <v>5.0931703299283981E-11</v>
      </c>
      <c r="BZ83" s="173">
        <f t="shared" si="48"/>
        <v>5.0931703299283981E-11</v>
      </c>
      <c r="CA83" s="173">
        <f t="shared" si="48"/>
        <v>5.0931703299283981E-11</v>
      </c>
    </row>
    <row r="84" spans="1:79" s="180" customFormat="1" x14ac:dyDescent="0.2">
      <c r="A84" s="177"/>
      <c r="B84" s="177"/>
      <c r="C84" s="178"/>
      <c r="D84" s="179" t="s">
        <v>23</v>
      </c>
      <c r="E84" s="180" t="str">
        <f>Finstat!E$59</f>
        <v>Cash flow available for dividends</v>
      </c>
      <c r="F84" s="180">
        <f>Finstat!F$59</f>
        <v>0</v>
      </c>
      <c r="G84" s="180" t="str">
        <f>Finstat!G$59</f>
        <v>€ 000s</v>
      </c>
      <c r="H84" s="180">
        <f>Finstat!H$59</f>
        <v>803403.92778230901</v>
      </c>
      <c r="I84" s="180">
        <f>Finstat!I$59</f>
        <v>0</v>
      </c>
      <c r="J84" s="180">
        <f>Finstat!J$59</f>
        <v>0</v>
      </c>
      <c r="K84" s="180">
        <f>Finstat!K$59</f>
        <v>0</v>
      </c>
      <c r="L84" s="180">
        <f>Finstat!L$59</f>
        <v>0</v>
      </c>
      <c r="M84" s="180">
        <f>Finstat!M$59</f>
        <v>0</v>
      </c>
      <c r="N84" s="180">
        <f>Finstat!N$59</f>
        <v>0</v>
      </c>
      <c r="O84" s="180">
        <f>Finstat!O$59</f>
        <v>0</v>
      </c>
      <c r="P84" s="180">
        <f>Finstat!P$59</f>
        <v>0</v>
      </c>
      <c r="Q84" s="180">
        <f>Finstat!Q$59</f>
        <v>0</v>
      </c>
      <c r="R84" s="180">
        <f>Finstat!R$59</f>
        <v>0</v>
      </c>
      <c r="S84" s="180">
        <f>Finstat!S$59</f>
        <v>0</v>
      </c>
      <c r="T84" s="180">
        <f>Finstat!T$59</f>
        <v>0</v>
      </c>
      <c r="U84" s="180">
        <f>Finstat!U$59</f>
        <v>0</v>
      </c>
      <c r="V84" s="180">
        <f>Finstat!V$59</f>
        <v>0</v>
      </c>
      <c r="W84" s="180">
        <f>Finstat!W$59</f>
        <v>0</v>
      </c>
      <c r="X84" s="180">
        <f>Finstat!X$59</f>
        <v>0</v>
      </c>
      <c r="Y84" s="180">
        <f>Finstat!Y$59</f>
        <v>0</v>
      </c>
      <c r="Z84" s="180">
        <f>Finstat!Z$59</f>
        <v>0</v>
      </c>
      <c r="AA84" s="180">
        <f>Finstat!AA$59</f>
        <v>2254.89230486819</v>
      </c>
      <c r="AB84" s="180">
        <f>Finstat!AB$59</f>
        <v>6747.6019038196464</v>
      </c>
      <c r="AC84" s="180">
        <f>Finstat!AC$59</f>
        <v>6607.3645984969226</v>
      </c>
      <c r="AD84" s="180">
        <f>Finstat!AD$59</f>
        <v>6854.7260366058617</v>
      </c>
      <c r="AE84" s="180">
        <f>Finstat!AE$59</f>
        <v>7105.9088349407102</v>
      </c>
      <c r="AF84" s="180">
        <f>Finstat!AF$59</f>
        <v>6852.5904507800078</v>
      </c>
      <c r="AG84" s="180">
        <f>Finstat!AG$59</f>
        <v>7115.4838878899245</v>
      </c>
      <c r="AH84" s="180">
        <f>Finstat!AH$59</f>
        <v>6986.9625611588708</v>
      </c>
      <c r="AI84" s="180">
        <f>Finstat!AI$59</f>
        <v>7081.9136182649781</v>
      </c>
      <c r="AJ84" s="180">
        <f>Finstat!AJ$59</f>
        <v>6820.8672969819199</v>
      </c>
      <c r="AK84" s="180">
        <f>Finstat!AK$59</f>
        <v>7104.6160147483897</v>
      </c>
      <c r="AL84" s="180">
        <f>Finstat!AL$59</f>
        <v>6839.4273908582618</v>
      </c>
      <c r="AM84" s="180">
        <f>Finstat!AM$59</f>
        <v>6875.9245214518378</v>
      </c>
      <c r="AN84" s="180">
        <f>Finstat!AN$59</f>
        <v>6942.1844597405761</v>
      </c>
      <c r="AO84" s="180">
        <f>Finstat!AO$59</f>
        <v>7291.4748017445017</v>
      </c>
      <c r="AP84" s="180">
        <f>Finstat!AP$59</f>
        <v>6967.1402542049909</v>
      </c>
      <c r="AQ84" s="180">
        <f>Finstat!AQ$59</f>
        <v>7329.100738860041</v>
      </c>
      <c r="AR84" s="180">
        <f>Finstat!AR$59</f>
        <v>6998.6032792639417</v>
      </c>
      <c r="AS84" s="180">
        <f>Finstat!AS$59</f>
        <v>7368.6813497910334</v>
      </c>
      <c r="AT84" s="180">
        <f>Finstat!AT$59</f>
        <v>7027.5397617001363</v>
      </c>
      <c r="AU84" s="180">
        <f>Finstat!AU$59</f>
        <v>7408.1870122351065</v>
      </c>
      <c r="AV84" s="180">
        <f>Finstat!AV$59</f>
        <v>7058.5577560739257</v>
      </c>
      <c r="AW84" s="180">
        <f>Finstat!AW$59</f>
        <v>7055.2690997261852</v>
      </c>
      <c r="AX84" s="180">
        <f>Finstat!AX$59</f>
        <v>7222.8107573686211</v>
      </c>
      <c r="AY84" s="180">
        <f>Finstat!AY$59</f>
        <v>7678.729954429491</v>
      </c>
      <c r="AZ84" s="180">
        <f>Finstat!AZ$59</f>
        <v>7254.9868146571789</v>
      </c>
      <c r="BA84" s="180">
        <f>Finstat!BA$59</f>
        <v>7718.9019601722684</v>
      </c>
      <c r="BB84" s="180">
        <f>Finstat!BB$59</f>
        <v>26355.226543934212</v>
      </c>
      <c r="BC84" s="180">
        <f>Finstat!BC$59</f>
        <v>26665.4957125605</v>
      </c>
      <c r="BD84" s="180">
        <f>Finstat!BD$59</f>
        <v>26679.509517069491</v>
      </c>
      <c r="BE84" s="180">
        <f>Finstat!BE$59</f>
        <v>27238.761751659724</v>
      </c>
      <c r="BF84" s="180">
        <f>Finstat!BF$59</f>
        <v>27132.130690617203</v>
      </c>
      <c r="BG84" s="180">
        <f>Finstat!BG$59</f>
        <v>27708.238269792957</v>
      </c>
      <c r="BH84" s="180">
        <f>Finstat!BH$59</f>
        <v>27730.379693491417</v>
      </c>
      <c r="BI84" s="180">
        <f>Finstat!BI$59</f>
        <v>27173.623053413656</v>
      </c>
      <c r="BJ84" s="180">
        <f>Finstat!BJ$59</f>
        <v>29384.936361395878</v>
      </c>
      <c r="BK84" s="180">
        <f>Finstat!BK$59</f>
        <v>27650.661466390051</v>
      </c>
      <c r="BL84" s="180">
        <f>Finstat!BL$59</f>
        <v>30054.355071744991</v>
      </c>
      <c r="BM84" s="180">
        <f>Finstat!BM$59</f>
        <v>28279.983539298279</v>
      </c>
      <c r="BN84" s="180">
        <f>Finstat!BN$59</f>
        <v>30746.866707974674</v>
      </c>
      <c r="BO84" s="180">
        <f>Finstat!BO$59</f>
        <v>28931.078249245016</v>
      </c>
      <c r="BP84" s="180">
        <f>Finstat!BP$59</f>
        <v>31462.428741065087</v>
      </c>
      <c r="BQ84" s="180">
        <f>Finstat!BQ$59</f>
        <v>29603.901052597634</v>
      </c>
      <c r="BR84" s="180">
        <f>Finstat!BR$59</f>
        <v>30914.484995175917</v>
      </c>
      <c r="BS84" s="180">
        <f>Finstat!BS$59</f>
        <v>31601.01961146824</v>
      </c>
      <c r="BT84" s="180">
        <f>Finstat!BT$59</f>
        <v>31972.652849087732</v>
      </c>
      <c r="BU84" s="180">
        <f>Finstat!BU$59</f>
        <v>32349.94987889695</v>
      </c>
      <c r="BV84" s="180">
        <f>Finstat!BV$59</f>
        <v>37197.796604595904</v>
      </c>
      <c r="BW84" s="180">
        <f>Finstat!BW$59</f>
        <v>0</v>
      </c>
      <c r="BX84" s="180">
        <f>Finstat!BX$59</f>
        <v>0</v>
      </c>
      <c r="BY84" s="180">
        <f>Finstat!BY$59</f>
        <v>0</v>
      </c>
      <c r="BZ84" s="180">
        <f>Finstat!BZ$59</f>
        <v>0</v>
      </c>
      <c r="CA84" s="180">
        <f>Finstat!CA$59</f>
        <v>0</v>
      </c>
    </row>
    <row r="85" spans="1:79" s="124" customFormat="1" x14ac:dyDescent="0.2">
      <c r="A85" s="166"/>
      <c r="B85" s="166"/>
      <c r="C85" s="167"/>
      <c r="D85" s="168" t="s">
        <v>24</v>
      </c>
      <c r="E85" s="124" t="str">
        <f t="shared" ref="E85:AJ85" si="49">E$75</f>
        <v>Dividends declared / paid POS</v>
      </c>
      <c r="F85" s="124">
        <f t="shared" si="49"/>
        <v>0</v>
      </c>
      <c r="G85" s="124" t="str">
        <f t="shared" si="49"/>
        <v>€ 000s</v>
      </c>
      <c r="H85" s="124">
        <f t="shared" si="49"/>
        <v>803403.92778230901</v>
      </c>
      <c r="I85" s="124">
        <f t="shared" si="49"/>
        <v>0</v>
      </c>
      <c r="J85" s="124">
        <f t="shared" si="49"/>
        <v>0</v>
      </c>
      <c r="K85" s="124">
        <f t="shared" si="49"/>
        <v>0</v>
      </c>
      <c r="L85" s="124">
        <f t="shared" si="49"/>
        <v>0</v>
      </c>
      <c r="M85" s="124">
        <f t="shared" si="49"/>
        <v>0</v>
      </c>
      <c r="N85" s="124">
        <f t="shared" si="49"/>
        <v>0</v>
      </c>
      <c r="O85" s="124">
        <f t="shared" si="49"/>
        <v>0</v>
      </c>
      <c r="P85" s="124">
        <f t="shared" si="49"/>
        <v>0</v>
      </c>
      <c r="Q85" s="124">
        <f t="shared" si="49"/>
        <v>0</v>
      </c>
      <c r="R85" s="124">
        <f t="shared" si="49"/>
        <v>0</v>
      </c>
      <c r="S85" s="124">
        <f t="shared" si="49"/>
        <v>0</v>
      </c>
      <c r="T85" s="124">
        <f t="shared" si="49"/>
        <v>0</v>
      </c>
      <c r="U85" s="124">
        <f t="shared" si="49"/>
        <v>0</v>
      </c>
      <c r="V85" s="124">
        <f t="shared" si="49"/>
        <v>0</v>
      </c>
      <c r="W85" s="124">
        <f t="shared" si="49"/>
        <v>0</v>
      </c>
      <c r="X85" s="124">
        <f t="shared" si="49"/>
        <v>0</v>
      </c>
      <c r="Y85" s="124">
        <f t="shared" si="49"/>
        <v>0</v>
      </c>
      <c r="Z85" s="124">
        <f t="shared" si="49"/>
        <v>0</v>
      </c>
      <c r="AA85" s="124">
        <f t="shared" si="49"/>
        <v>2254.89230486819</v>
      </c>
      <c r="AB85" s="124">
        <f t="shared" si="49"/>
        <v>5153.7985360133725</v>
      </c>
      <c r="AC85" s="124">
        <f t="shared" si="49"/>
        <v>3313.8131729521192</v>
      </c>
      <c r="AD85" s="124">
        <f t="shared" si="49"/>
        <v>4039.2993705345834</v>
      </c>
      <c r="AE85" s="124">
        <f t="shared" si="49"/>
        <v>4579.7145224730975</v>
      </c>
      <c r="AF85" s="124">
        <f t="shared" si="49"/>
        <v>4839.8615800047355</v>
      </c>
      <c r="AG85" s="124">
        <f t="shared" si="49"/>
        <v>5406.0394467431033</v>
      </c>
      <c r="AH85" s="124">
        <f t="shared" si="49"/>
        <v>5685.7811955944198</v>
      </c>
      <c r="AI85" s="124">
        <f t="shared" si="49"/>
        <v>6700.7386481415342</v>
      </c>
      <c r="AJ85" s="124">
        <f t="shared" si="49"/>
        <v>7004.2141970656166</v>
      </c>
      <c r="AK85" s="124">
        <f t="shared" ref="AK85:BP85" si="50">AK$75</f>
        <v>7630.4762684663965</v>
      </c>
      <c r="AL85" s="124">
        <f t="shared" si="50"/>
        <v>7956.7995555114303</v>
      </c>
      <c r="AM85" s="124">
        <f t="shared" si="50"/>
        <v>8614.7687134445423</v>
      </c>
      <c r="AN85" s="124">
        <f t="shared" si="50"/>
        <v>9321.840997047806</v>
      </c>
      <c r="AO85" s="124">
        <f t="shared" si="50"/>
        <v>10054.792216033982</v>
      </c>
      <c r="AP85" s="124">
        <f t="shared" si="50"/>
        <v>10417.609838565706</v>
      </c>
      <c r="AQ85" s="124">
        <f t="shared" si="50"/>
        <v>10803.739111954999</v>
      </c>
      <c r="AR85" s="124">
        <f t="shared" si="50"/>
        <v>6998.6032792639417</v>
      </c>
      <c r="AS85" s="124">
        <f t="shared" si="50"/>
        <v>7368.6813497910334</v>
      </c>
      <c r="AT85" s="124">
        <f t="shared" si="50"/>
        <v>7027.5397617001363</v>
      </c>
      <c r="AU85" s="124">
        <f t="shared" si="50"/>
        <v>7408.1870122351065</v>
      </c>
      <c r="AV85" s="124">
        <f t="shared" si="50"/>
        <v>7058.5577560739257</v>
      </c>
      <c r="AW85" s="124">
        <f t="shared" si="50"/>
        <v>7055.2690997261852</v>
      </c>
      <c r="AX85" s="124">
        <f t="shared" si="50"/>
        <v>7222.8107573686211</v>
      </c>
      <c r="AY85" s="124">
        <f t="shared" si="50"/>
        <v>7678.729954429491</v>
      </c>
      <c r="AZ85" s="124">
        <f t="shared" si="50"/>
        <v>7254.9868146571789</v>
      </c>
      <c r="BA85" s="124">
        <f t="shared" si="50"/>
        <v>7718.9019601722684</v>
      </c>
      <c r="BB85" s="124">
        <f t="shared" si="50"/>
        <v>26355.226543934212</v>
      </c>
      <c r="BC85" s="124">
        <f t="shared" si="50"/>
        <v>26665.4957125605</v>
      </c>
      <c r="BD85" s="124">
        <f t="shared" si="50"/>
        <v>26679.509517069491</v>
      </c>
      <c r="BE85" s="124">
        <f t="shared" si="50"/>
        <v>27238.761751659724</v>
      </c>
      <c r="BF85" s="124">
        <f t="shared" si="50"/>
        <v>27132.130690617203</v>
      </c>
      <c r="BG85" s="124">
        <f t="shared" si="50"/>
        <v>27708.238269792957</v>
      </c>
      <c r="BH85" s="124">
        <f t="shared" si="50"/>
        <v>27730.379693491417</v>
      </c>
      <c r="BI85" s="124">
        <f t="shared" si="50"/>
        <v>27173.623053413656</v>
      </c>
      <c r="BJ85" s="124">
        <f t="shared" si="50"/>
        <v>29384.936361395878</v>
      </c>
      <c r="BK85" s="124">
        <f t="shared" si="50"/>
        <v>27650.661466390051</v>
      </c>
      <c r="BL85" s="124">
        <f t="shared" si="50"/>
        <v>30054.355071744991</v>
      </c>
      <c r="BM85" s="124">
        <f t="shared" si="50"/>
        <v>28279.983539298279</v>
      </c>
      <c r="BN85" s="124">
        <f t="shared" si="50"/>
        <v>30746.866707974674</v>
      </c>
      <c r="BO85" s="124">
        <f t="shared" si="50"/>
        <v>28931.078249245016</v>
      </c>
      <c r="BP85" s="124">
        <f t="shared" si="50"/>
        <v>31462.428741065087</v>
      </c>
      <c r="BQ85" s="124">
        <f t="shared" ref="BQ85:CA85" si="51">BQ$75</f>
        <v>29603.901052597634</v>
      </c>
      <c r="BR85" s="124">
        <f t="shared" si="51"/>
        <v>30914.484995175917</v>
      </c>
      <c r="BS85" s="124">
        <f t="shared" si="51"/>
        <v>31601.01961146824</v>
      </c>
      <c r="BT85" s="124">
        <f t="shared" si="51"/>
        <v>31972.652849087732</v>
      </c>
      <c r="BU85" s="124">
        <f t="shared" si="51"/>
        <v>32349.94987889695</v>
      </c>
      <c r="BV85" s="124">
        <f t="shared" si="51"/>
        <v>37197.796604595853</v>
      </c>
      <c r="BW85" s="124">
        <f t="shared" si="51"/>
        <v>0</v>
      </c>
      <c r="BX85" s="124">
        <f t="shared" si="51"/>
        <v>0</v>
      </c>
      <c r="BY85" s="124">
        <f t="shared" si="51"/>
        <v>0</v>
      </c>
      <c r="BZ85" s="124">
        <f t="shared" si="51"/>
        <v>0</v>
      </c>
      <c r="CA85" s="124">
        <f t="shared" si="51"/>
        <v>0</v>
      </c>
    </row>
    <row r="86" spans="1:79" s="173" customFormat="1" ht="13.5" thickBot="1" x14ac:dyDescent="0.25">
      <c r="A86" s="169"/>
      <c r="B86" s="169"/>
      <c r="C86" s="170"/>
      <c r="D86" s="171"/>
      <c r="E86" s="172" t="s">
        <v>278</v>
      </c>
      <c r="G86" s="172" t="str">
        <f xml:space="preserve"> SMU</f>
        <v>€ 000s</v>
      </c>
      <c r="I86" s="174"/>
      <c r="J86" s="173">
        <f t="shared" ref="J86:AO86" si="52" xml:space="preserve"> IF( J81 = 1, $F80, J83 + J84 - J85)</f>
        <v>0</v>
      </c>
      <c r="K86" s="173">
        <f t="shared" si="52"/>
        <v>0</v>
      </c>
      <c r="L86" s="173">
        <f t="shared" si="52"/>
        <v>0</v>
      </c>
      <c r="M86" s="173">
        <f t="shared" si="52"/>
        <v>0</v>
      </c>
      <c r="N86" s="173">
        <f t="shared" si="52"/>
        <v>0</v>
      </c>
      <c r="O86" s="173">
        <f t="shared" si="52"/>
        <v>0</v>
      </c>
      <c r="P86" s="173">
        <f t="shared" si="52"/>
        <v>0</v>
      </c>
      <c r="Q86" s="173">
        <f t="shared" si="52"/>
        <v>0</v>
      </c>
      <c r="R86" s="173">
        <f t="shared" si="52"/>
        <v>0</v>
      </c>
      <c r="S86" s="173">
        <f t="shared" si="52"/>
        <v>0</v>
      </c>
      <c r="T86" s="173">
        <f t="shared" si="52"/>
        <v>0</v>
      </c>
      <c r="U86" s="173">
        <f t="shared" si="52"/>
        <v>0</v>
      </c>
      <c r="V86" s="173">
        <f t="shared" si="52"/>
        <v>0</v>
      </c>
      <c r="W86" s="173">
        <f t="shared" si="52"/>
        <v>0</v>
      </c>
      <c r="X86" s="173">
        <f t="shared" si="52"/>
        <v>0</v>
      </c>
      <c r="Y86" s="173">
        <f t="shared" si="52"/>
        <v>0</v>
      </c>
      <c r="Z86" s="173">
        <f t="shared" si="52"/>
        <v>0</v>
      </c>
      <c r="AA86" s="173">
        <f t="shared" si="52"/>
        <v>0</v>
      </c>
      <c r="AB86" s="173">
        <f t="shared" si="52"/>
        <v>1593.8033678062739</v>
      </c>
      <c r="AC86" s="173">
        <f t="shared" si="52"/>
        <v>4887.3547933510781</v>
      </c>
      <c r="AD86" s="173">
        <f t="shared" si="52"/>
        <v>7702.7814594223564</v>
      </c>
      <c r="AE86" s="173">
        <f t="shared" si="52"/>
        <v>10228.975771889969</v>
      </c>
      <c r="AF86" s="173">
        <f t="shared" si="52"/>
        <v>12241.704642665243</v>
      </c>
      <c r="AG86" s="173">
        <f t="shared" si="52"/>
        <v>13951.149083812066</v>
      </c>
      <c r="AH86" s="173">
        <f t="shared" si="52"/>
        <v>15252.330449376517</v>
      </c>
      <c r="AI86" s="173">
        <f t="shared" si="52"/>
        <v>15633.505419499961</v>
      </c>
      <c r="AJ86" s="173">
        <f t="shared" si="52"/>
        <v>15450.158519416265</v>
      </c>
      <c r="AK86" s="173">
        <f t="shared" si="52"/>
        <v>14924.298265698259</v>
      </c>
      <c r="AL86" s="173">
        <f t="shared" si="52"/>
        <v>13806.926101045088</v>
      </c>
      <c r="AM86" s="173">
        <f t="shared" si="52"/>
        <v>12068.081909052382</v>
      </c>
      <c r="AN86" s="173">
        <f t="shared" si="52"/>
        <v>9688.4253717451538</v>
      </c>
      <c r="AO86" s="173">
        <f t="shared" si="52"/>
        <v>6925.1079574556734</v>
      </c>
      <c r="AP86" s="173">
        <f t="shared" ref="AP86:BU86" si="53" xml:space="preserve"> IF( AP81 = 1, $F80, AP83 + AP84 - AP85)</f>
        <v>3474.6383730949583</v>
      </c>
      <c r="AQ86" s="173">
        <f t="shared" si="53"/>
        <v>0</v>
      </c>
      <c r="AR86" s="173">
        <f t="shared" si="53"/>
        <v>0</v>
      </c>
      <c r="AS86" s="173">
        <f t="shared" si="53"/>
        <v>0</v>
      </c>
      <c r="AT86" s="173">
        <f t="shared" si="53"/>
        <v>0</v>
      </c>
      <c r="AU86" s="173">
        <f t="shared" si="53"/>
        <v>0</v>
      </c>
      <c r="AV86" s="173">
        <f t="shared" si="53"/>
        <v>0</v>
      </c>
      <c r="AW86" s="173">
        <f t="shared" si="53"/>
        <v>0</v>
      </c>
      <c r="AX86" s="173">
        <f t="shared" si="53"/>
        <v>0</v>
      </c>
      <c r="AY86" s="173">
        <f t="shared" si="53"/>
        <v>0</v>
      </c>
      <c r="AZ86" s="173">
        <f t="shared" si="53"/>
        <v>0</v>
      </c>
      <c r="BA86" s="173">
        <f t="shared" si="53"/>
        <v>0</v>
      </c>
      <c r="BB86" s="173">
        <f t="shared" si="53"/>
        <v>0</v>
      </c>
      <c r="BC86" s="173">
        <f t="shared" si="53"/>
        <v>0</v>
      </c>
      <c r="BD86" s="173">
        <f t="shared" si="53"/>
        <v>0</v>
      </c>
      <c r="BE86" s="173">
        <f t="shared" si="53"/>
        <v>0</v>
      </c>
      <c r="BF86" s="173">
        <f t="shared" si="53"/>
        <v>0</v>
      </c>
      <c r="BG86" s="173">
        <f t="shared" si="53"/>
        <v>0</v>
      </c>
      <c r="BH86" s="173">
        <f t="shared" si="53"/>
        <v>0</v>
      </c>
      <c r="BI86" s="173">
        <f t="shared" si="53"/>
        <v>0</v>
      </c>
      <c r="BJ86" s="173">
        <f t="shared" si="53"/>
        <v>0</v>
      </c>
      <c r="BK86" s="173">
        <f t="shared" si="53"/>
        <v>0</v>
      </c>
      <c r="BL86" s="173">
        <f t="shared" si="53"/>
        <v>0</v>
      </c>
      <c r="BM86" s="173">
        <f t="shared" si="53"/>
        <v>0</v>
      </c>
      <c r="BN86" s="173">
        <f t="shared" si="53"/>
        <v>0</v>
      </c>
      <c r="BO86" s="173">
        <f t="shared" si="53"/>
        <v>0</v>
      </c>
      <c r="BP86" s="173">
        <f t="shared" si="53"/>
        <v>0</v>
      </c>
      <c r="BQ86" s="173">
        <f t="shared" si="53"/>
        <v>0</v>
      </c>
      <c r="BR86" s="173">
        <f t="shared" si="53"/>
        <v>0</v>
      </c>
      <c r="BS86" s="173">
        <f t="shared" si="53"/>
        <v>0</v>
      </c>
      <c r="BT86" s="173">
        <f t="shared" si="53"/>
        <v>0</v>
      </c>
      <c r="BU86" s="173">
        <f t="shared" si="53"/>
        <v>0</v>
      </c>
      <c r="BV86" s="173">
        <f t="shared" ref="BV86:CA86" si="54" xml:space="preserve"> IF( BV81 = 1, $F80, BV83 + BV84 - BV85)</f>
        <v>5.0931703299283981E-11</v>
      </c>
      <c r="BW86" s="173">
        <f t="shared" si="54"/>
        <v>5.0931703299283981E-11</v>
      </c>
      <c r="BX86" s="173">
        <f t="shared" si="54"/>
        <v>5.0931703299283981E-11</v>
      </c>
      <c r="BY86" s="173">
        <f t="shared" si="54"/>
        <v>5.0931703299283981E-11</v>
      </c>
      <c r="BZ86" s="173">
        <f t="shared" si="54"/>
        <v>5.0931703299283981E-11</v>
      </c>
      <c r="CA86" s="173">
        <f t="shared" si="54"/>
        <v>5.0931703299283981E-11</v>
      </c>
    </row>
    <row r="87" spans="1:79" s="133" customFormat="1" ht="13.5" thickTop="1" x14ac:dyDescent="0.2">
      <c r="A87" s="129"/>
      <c r="B87" s="130"/>
      <c r="C87" s="131"/>
      <c r="D87" s="132"/>
    </row>
    <row r="88" spans="1:79" s="150" customFormat="1" x14ac:dyDescent="0.2">
      <c r="A88" s="108"/>
      <c r="B88" s="108"/>
      <c r="C88" s="109"/>
      <c r="D88" s="277"/>
      <c r="E88" s="155" t="s">
        <v>131</v>
      </c>
      <c r="F88" s="278">
        <v>0</v>
      </c>
      <c r="G88" s="155" t="s">
        <v>27</v>
      </c>
    </row>
    <row r="89" spans="1:79" s="118" customFormat="1" x14ac:dyDescent="0.2">
      <c r="A89" s="115"/>
      <c r="B89" s="115"/>
      <c r="C89" s="116"/>
      <c r="D89" s="117"/>
      <c r="E89" s="118" t="str">
        <f>'T&amp;E'!E$19</f>
        <v>Initial operations date flag</v>
      </c>
      <c r="F89" s="118">
        <f>'T&amp;E'!F$19</f>
        <v>0</v>
      </c>
      <c r="G89" s="118" t="str">
        <f>'T&amp;E'!G$19</f>
        <v>flag</v>
      </c>
      <c r="H89" s="118">
        <f>'T&amp;E'!H$19</f>
        <v>1</v>
      </c>
      <c r="I89" s="118">
        <f>'T&amp;E'!I$19</f>
        <v>0</v>
      </c>
      <c r="J89" s="118">
        <f>'T&amp;E'!J$19</f>
        <v>0</v>
      </c>
      <c r="K89" s="118">
        <f>'T&amp;E'!K$19</f>
        <v>0</v>
      </c>
      <c r="L89" s="118">
        <f>'T&amp;E'!L$19</f>
        <v>0</v>
      </c>
      <c r="M89" s="118">
        <f>'T&amp;E'!M$19</f>
        <v>0</v>
      </c>
      <c r="N89" s="118">
        <f>'T&amp;E'!N$19</f>
        <v>1</v>
      </c>
      <c r="O89" s="118">
        <f>'T&amp;E'!O$19</f>
        <v>0</v>
      </c>
      <c r="P89" s="118">
        <f>'T&amp;E'!P$19</f>
        <v>0</v>
      </c>
      <c r="Q89" s="118">
        <f>'T&amp;E'!Q$19</f>
        <v>0</v>
      </c>
      <c r="R89" s="118">
        <f>'T&amp;E'!R$19</f>
        <v>0</v>
      </c>
      <c r="S89" s="118">
        <f>'T&amp;E'!S$19</f>
        <v>0</v>
      </c>
      <c r="T89" s="118">
        <f>'T&amp;E'!T$19</f>
        <v>0</v>
      </c>
      <c r="U89" s="118">
        <f>'T&amp;E'!U$19</f>
        <v>0</v>
      </c>
      <c r="V89" s="118">
        <f>'T&amp;E'!V$19</f>
        <v>0</v>
      </c>
      <c r="W89" s="118">
        <f>'T&amp;E'!W$19</f>
        <v>0</v>
      </c>
      <c r="X89" s="118">
        <f>'T&amp;E'!X$19</f>
        <v>0</v>
      </c>
      <c r="Y89" s="118">
        <f>'T&amp;E'!Y$19</f>
        <v>0</v>
      </c>
      <c r="Z89" s="118">
        <f>'T&amp;E'!Z$19</f>
        <v>0</v>
      </c>
      <c r="AA89" s="118">
        <f>'T&amp;E'!AA$19</f>
        <v>0</v>
      </c>
      <c r="AB89" s="118">
        <f>'T&amp;E'!AB$19</f>
        <v>0</v>
      </c>
      <c r="AC89" s="118">
        <f>'T&amp;E'!AC$19</f>
        <v>0</v>
      </c>
      <c r="AD89" s="118">
        <f>'T&amp;E'!AD$19</f>
        <v>0</v>
      </c>
      <c r="AE89" s="118">
        <f>'T&amp;E'!AE$19</f>
        <v>0</v>
      </c>
      <c r="AF89" s="118">
        <f>'T&amp;E'!AF$19</f>
        <v>0</v>
      </c>
      <c r="AG89" s="118">
        <f>'T&amp;E'!AG$19</f>
        <v>0</v>
      </c>
      <c r="AH89" s="118">
        <f>'T&amp;E'!AH$19</f>
        <v>0</v>
      </c>
      <c r="AI89" s="118">
        <f>'T&amp;E'!AI$19</f>
        <v>0</v>
      </c>
      <c r="AJ89" s="118">
        <f>'T&amp;E'!AJ$19</f>
        <v>0</v>
      </c>
      <c r="AK89" s="118">
        <f>'T&amp;E'!AK$19</f>
        <v>0</v>
      </c>
      <c r="AL89" s="118">
        <f>'T&amp;E'!AL$19</f>
        <v>0</v>
      </c>
      <c r="AM89" s="118">
        <f>'T&amp;E'!AM$19</f>
        <v>0</v>
      </c>
      <c r="AN89" s="118">
        <f>'T&amp;E'!AN$19</f>
        <v>0</v>
      </c>
      <c r="AO89" s="118">
        <f>'T&amp;E'!AO$19</f>
        <v>0</v>
      </c>
      <c r="AP89" s="118">
        <f>'T&amp;E'!AP$19</f>
        <v>0</v>
      </c>
      <c r="AQ89" s="118">
        <f>'T&amp;E'!AQ$19</f>
        <v>0</v>
      </c>
      <c r="AR89" s="118">
        <f>'T&amp;E'!AR$19</f>
        <v>0</v>
      </c>
      <c r="AS89" s="118">
        <f>'T&amp;E'!AS$19</f>
        <v>0</v>
      </c>
      <c r="AT89" s="118">
        <f>'T&amp;E'!AT$19</f>
        <v>0</v>
      </c>
      <c r="AU89" s="118">
        <f>'T&amp;E'!AU$19</f>
        <v>0</v>
      </c>
      <c r="AV89" s="118">
        <f>'T&amp;E'!AV$19</f>
        <v>0</v>
      </c>
      <c r="AW89" s="118">
        <f>'T&amp;E'!AW$19</f>
        <v>0</v>
      </c>
      <c r="AX89" s="118">
        <f>'T&amp;E'!AX$19</f>
        <v>0</v>
      </c>
      <c r="AY89" s="118">
        <f>'T&amp;E'!AY$19</f>
        <v>0</v>
      </c>
      <c r="AZ89" s="118">
        <f>'T&amp;E'!AZ$19</f>
        <v>0</v>
      </c>
      <c r="BA89" s="118">
        <f>'T&amp;E'!BA$19</f>
        <v>0</v>
      </c>
      <c r="BB89" s="118">
        <f>'T&amp;E'!BB$19</f>
        <v>0</v>
      </c>
      <c r="BC89" s="118">
        <f>'T&amp;E'!BC$19</f>
        <v>0</v>
      </c>
      <c r="BD89" s="118">
        <f>'T&amp;E'!BD$19</f>
        <v>0</v>
      </c>
      <c r="BE89" s="118">
        <f>'T&amp;E'!BE$19</f>
        <v>0</v>
      </c>
      <c r="BF89" s="118">
        <f>'T&amp;E'!BF$19</f>
        <v>0</v>
      </c>
      <c r="BG89" s="118">
        <f>'T&amp;E'!BG$19</f>
        <v>0</v>
      </c>
      <c r="BH89" s="118">
        <f>'T&amp;E'!BH$19</f>
        <v>0</v>
      </c>
      <c r="BI89" s="118">
        <f>'T&amp;E'!BI$19</f>
        <v>0</v>
      </c>
      <c r="BJ89" s="118">
        <f>'T&amp;E'!BJ$19</f>
        <v>0</v>
      </c>
      <c r="BK89" s="118">
        <f>'T&amp;E'!BK$19</f>
        <v>0</v>
      </c>
      <c r="BL89" s="118">
        <f>'T&amp;E'!BL$19</f>
        <v>0</v>
      </c>
      <c r="BM89" s="118">
        <f>'T&amp;E'!BM$19</f>
        <v>0</v>
      </c>
      <c r="BN89" s="118">
        <f>'T&amp;E'!BN$19</f>
        <v>0</v>
      </c>
      <c r="BO89" s="118">
        <f>'T&amp;E'!BO$19</f>
        <v>0</v>
      </c>
      <c r="BP89" s="118">
        <f>'T&amp;E'!BP$19</f>
        <v>0</v>
      </c>
      <c r="BQ89" s="118">
        <f>'T&amp;E'!BQ$19</f>
        <v>0</v>
      </c>
      <c r="BR89" s="118">
        <f>'T&amp;E'!BR$19</f>
        <v>0</v>
      </c>
      <c r="BS89" s="118">
        <f>'T&amp;E'!BS$19</f>
        <v>0</v>
      </c>
      <c r="BT89" s="118">
        <f>'T&amp;E'!BT$19</f>
        <v>0</v>
      </c>
      <c r="BU89" s="118">
        <f>'T&amp;E'!BU$19</f>
        <v>0</v>
      </c>
      <c r="BV89" s="118">
        <f>'T&amp;E'!BV$19</f>
        <v>0</v>
      </c>
      <c r="BW89" s="118">
        <f>'T&amp;E'!BW$19</f>
        <v>0</v>
      </c>
      <c r="BX89" s="118">
        <f>'T&amp;E'!BX$19</f>
        <v>0</v>
      </c>
      <c r="BY89" s="118">
        <f>'T&amp;E'!BY$19</f>
        <v>0</v>
      </c>
      <c r="BZ89" s="118">
        <f>'T&amp;E'!BZ$19</f>
        <v>0</v>
      </c>
      <c r="CA89" s="118">
        <f>'T&amp;E'!CA$19</f>
        <v>0</v>
      </c>
    </row>
    <row r="90" spans="1:79" s="122" customFormat="1" x14ac:dyDescent="0.2">
      <c r="A90" s="119"/>
      <c r="B90" s="119"/>
      <c r="C90" s="120"/>
      <c r="D90" s="121"/>
    </row>
    <row r="91" spans="1:79" s="122" customFormat="1" x14ac:dyDescent="0.2">
      <c r="A91" s="119"/>
      <c r="B91" s="119"/>
      <c r="C91" s="120"/>
      <c r="D91" s="121"/>
      <c r="E91" s="124" t="s">
        <v>132</v>
      </c>
      <c r="G91" s="124" t="str">
        <f xml:space="preserve"> SMU</f>
        <v>€ 000s</v>
      </c>
      <c r="J91" s="122">
        <f t="shared" ref="J91" si="55" xml:space="preserve"> I94</f>
        <v>0</v>
      </c>
      <c r="K91" s="122">
        <f t="shared" ref="K91" si="56" xml:space="preserve"> J94</f>
        <v>0</v>
      </c>
      <c r="L91" s="122">
        <f t="shared" ref="L91" si="57" xml:space="preserve"> K94</f>
        <v>0</v>
      </c>
      <c r="M91" s="122">
        <f t="shared" ref="M91" si="58" xml:space="preserve"> L94</f>
        <v>0</v>
      </c>
      <c r="N91" s="122">
        <f t="shared" ref="N91" si="59" xml:space="preserve"> M94</f>
        <v>0</v>
      </c>
      <c r="O91" s="122">
        <f t="shared" ref="O91" si="60" xml:space="preserve"> N94</f>
        <v>0</v>
      </c>
      <c r="P91" s="122">
        <f t="shared" ref="P91" si="61" xml:space="preserve"> O94</f>
        <v>-1120.9966470153497</v>
      </c>
      <c r="Q91" s="122">
        <f t="shared" ref="Q91" si="62" xml:space="preserve"> P94</f>
        <v>-1692.0317273937849</v>
      </c>
      <c r="R91" s="122">
        <f t="shared" ref="R91" si="63" xml:space="preserve"> Q94</f>
        <v>-1542.955992455652</v>
      </c>
      <c r="S91" s="122">
        <f t="shared" ref="S91" si="64" xml:space="preserve"> R94</f>
        <v>-2584.9745053066067</v>
      </c>
      <c r="T91" s="122">
        <f t="shared" ref="T91" si="65" xml:space="preserve"> S94</f>
        <v>-3095.717876348911</v>
      </c>
      <c r="U91" s="122">
        <f t="shared" ref="U91" si="66" xml:space="preserve"> T94</f>
        <v>-3695.1208153568678</v>
      </c>
      <c r="V91" s="122">
        <f t="shared" ref="V91" si="67" xml:space="preserve"> U94</f>
        <v>-3835.051864055476</v>
      </c>
      <c r="W91" s="122">
        <f t="shared" ref="W91" si="68" xml:space="preserve"> V94</f>
        <v>-3792.518835795202</v>
      </c>
      <c r="X91" s="122">
        <f t="shared" ref="X91" si="69" xml:space="preserve"> W94</f>
        <v>-3311.6776470044924</v>
      </c>
      <c r="Y91" s="122">
        <f t="shared" ref="Y91" si="70" xml:space="preserve"> X94</f>
        <v>-2214.6068471246872</v>
      </c>
      <c r="Z91" s="122">
        <f t="shared" ref="Z91" si="71" xml:space="preserve"> Y94</f>
        <v>-174.50883787189468</v>
      </c>
      <c r="AA91" s="122">
        <f t="shared" ref="AA91" si="72" xml:space="preserve"> Z94</f>
        <v>1970.0797678486269</v>
      </c>
      <c r="AB91" s="122">
        <f t="shared" ref="AB91" si="73" xml:space="preserve"> AA94</f>
        <v>2316.5426905672202</v>
      </c>
      <c r="AC91" s="122">
        <f t="shared" ref="AC91" si="74" xml:space="preserve"> AB94</f>
        <v>0</v>
      </c>
      <c r="AD91" s="122">
        <f t="shared" ref="AD91" si="75" xml:space="preserve"> AC94</f>
        <v>0</v>
      </c>
      <c r="AE91" s="122">
        <f t="shared" ref="AE91" si="76" xml:space="preserve"> AD94</f>
        <v>0</v>
      </c>
      <c r="AF91" s="122">
        <f t="shared" ref="AF91" si="77" xml:space="preserve"> AE94</f>
        <v>0</v>
      </c>
      <c r="AG91" s="122">
        <f t="shared" ref="AG91" si="78" xml:space="preserve"> AF94</f>
        <v>0</v>
      </c>
      <c r="AH91" s="122">
        <f t="shared" ref="AH91" si="79" xml:space="preserve"> AG94</f>
        <v>0</v>
      </c>
      <c r="AI91" s="122">
        <f t="shared" ref="AI91" si="80" xml:space="preserve"> AH94</f>
        <v>0</v>
      </c>
      <c r="AJ91" s="122">
        <f t="shared" ref="AJ91" si="81" xml:space="preserve"> AI94</f>
        <v>0</v>
      </c>
      <c r="AK91" s="122">
        <f t="shared" ref="AK91" si="82" xml:space="preserve"> AJ94</f>
        <v>0</v>
      </c>
      <c r="AL91" s="122">
        <f t="shared" ref="AL91" si="83" xml:space="preserve"> AK94</f>
        <v>0</v>
      </c>
      <c r="AM91" s="122">
        <f t="shared" ref="AM91" si="84" xml:space="preserve"> AL94</f>
        <v>0</v>
      </c>
      <c r="AN91" s="122">
        <f t="shared" ref="AN91" si="85" xml:space="preserve"> AM94</f>
        <v>0</v>
      </c>
      <c r="AO91" s="122">
        <f t="shared" ref="AO91" si="86" xml:space="preserve"> AN94</f>
        <v>0</v>
      </c>
      <c r="AP91" s="122">
        <f t="shared" ref="AP91" si="87" xml:space="preserve"> AO94</f>
        <v>0</v>
      </c>
      <c r="AQ91" s="122">
        <f t="shared" ref="AQ91" si="88" xml:space="preserve"> AP94</f>
        <v>0</v>
      </c>
      <c r="AR91" s="122">
        <f t="shared" ref="AR91" si="89" xml:space="preserve"> AQ94</f>
        <v>385.05107744874476</v>
      </c>
      <c r="AS91" s="122">
        <f t="shared" ref="AS91" si="90" xml:space="preserve"> AR94</f>
        <v>4967.9459009001293</v>
      </c>
      <c r="AT91" s="122">
        <f t="shared" ref="AT91" si="91" xml:space="preserve"> AS94</f>
        <v>9992.8560515936588</v>
      </c>
      <c r="AU91" s="122">
        <f t="shared" ref="AU91" si="92" xml:space="preserve"> AT94</f>
        <v>15783.947834890154</v>
      </c>
      <c r="AV91" s="122">
        <f t="shared" ref="AV91" si="93" xml:space="preserve"> AU94</f>
        <v>22050.281839576546</v>
      </c>
      <c r="AW91" s="122">
        <f t="shared" ref="AW91" si="94" xml:space="preserve"> AV94</f>
        <v>29126.444197589641</v>
      </c>
      <c r="AX91" s="122">
        <f t="shared" ref="AX91" si="95" xml:space="preserve"> AW94</f>
        <v>37108.663074685348</v>
      </c>
      <c r="AY91" s="122">
        <f t="shared" ref="AY91" si="96" xml:space="preserve"> AX94</f>
        <v>45973.273075927493</v>
      </c>
      <c r="AZ91" s="122">
        <f t="shared" ref="AZ91" si="97" xml:space="preserve"> AY94</f>
        <v>55385.96207091157</v>
      </c>
      <c r="BA91" s="122">
        <f t="shared" ref="BA91" si="98" xml:space="preserve"> AZ94</f>
        <v>65748.89065508121</v>
      </c>
      <c r="BB91" s="122">
        <f t="shared" ref="BB91" si="99" xml:space="preserve"> BA94</f>
        <v>76707.490334472444</v>
      </c>
      <c r="BC91" s="122">
        <f t="shared" ref="BC91" si="100" xml:space="preserve"> BB94</f>
        <v>69600.99490291292</v>
      </c>
      <c r="BD91" s="122">
        <f t="shared" ref="BD91" si="101" xml:space="preserve"> BC94</f>
        <v>63303.110544987154</v>
      </c>
      <c r="BE91" s="122">
        <f t="shared" ref="BE91" si="102" xml:space="preserve"> BD94</f>
        <v>57043.336943679657</v>
      </c>
      <c r="BF91" s="122">
        <f t="shared" ref="BF91" si="103" xml:space="preserve"> BE94</f>
        <v>50819.768561159523</v>
      </c>
      <c r="BG91" s="122">
        <f t="shared" ref="BG91" si="104" xml:space="preserve"> BF94</f>
        <v>44630.595136487384</v>
      </c>
      <c r="BH91" s="122">
        <f t="shared" ref="BH91" si="105" xml:space="preserve"> BG94</f>
        <v>38474.096921770833</v>
      </c>
      <c r="BI91" s="122">
        <f t="shared" ref="BI91" si="106" xml:space="preserve"> BH94</f>
        <v>32348.640156512101</v>
      </c>
      <c r="BJ91" s="122">
        <f t="shared" ref="BJ91" si="107" xml:space="preserve"> BI94</f>
        <v>26252.672768238299</v>
      </c>
      <c r="BK91" s="122">
        <f t="shared" ref="BK91" si="108" xml:space="preserve"> BJ94</f>
        <v>20184.720288100179</v>
      </c>
      <c r="BL91" s="122">
        <f t="shared" ref="BL91" si="109" xml:space="preserve"> BK94</f>
        <v>14143.381970690945</v>
      </c>
      <c r="BM91" s="122">
        <f t="shared" ref="BM91" si="110" xml:space="preserve"> BL94</f>
        <v>8127.32710787416</v>
      </c>
      <c r="BN91" s="122">
        <f t="shared" ref="BN91" si="111" xml:space="preserve"> BM94</f>
        <v>7670.9607524804524</v>
      </c>
      <c r="BO91" s="122">
        <f t="shared" ref="BO91" si="112" xml:space="preserve"> BN94</f>
        <v>7237.4127148564294</v>
      </c>
      <c r="BP91" s="122">
        <f t="shared" ref="BP91" si="113" xml:space="preserve"> BO94</f>
        <v>6825.5420791136057</v>
      </c>
      <c r="BQ91" s="122">
        <f t="shared" ref="BQ91" si="114" xml:space="preserve"> BP94</f>
        <v>6434.2649751579229</v>
      </c>
      <c r="BR91" s="122">
        <f t="shared" ref="BR91" si="115" xml:space="preserve"> BQ94</f>
        <v>6062.5517264000227</v>
      </c>
      <c r="BS91" s="122">
        <f t="shared" ref="BS91" si="116" xml:space="preserve"> BR94</f>
        <v>5709.4241400800165</v>
      </c>
      <c r="BT91" s="122">
        <f t="shared" ref="BT91" si="117" xml:space="preserve"> BS94</f>
        <v>5373.9529330760124</v>
      </c>
      <c r="BU91" s="122">
        <f t="shared" ref="BU91" si="118" xml:space="preserve"> BT94</f>
        <v>5055.2552864222089</v>
      </c>
      <c r="BV91" s="122">
        <f t="shared" ref="BV91" si="119" xml:space="preserve"> BU94</f>
        <v>4752.4925221010926</v>
      </c>
      <c r="BW91" s="122">
        <f t="shared" ref="BW91" si="120" xml:space="preserve"> BV94</f>
        <v>0</v>
      </c>
      <c r="BX91" s="122">
        <f t="shared" ref="BX91" si="121" xml:space="preserve"> BW94</f>
        <v>0</v>
      </c>
      <c r="BY91" s="122">
        <f t="shared" ref="BY91" si="122" xml:space="preserve"> BX94</f>
        <v>0</v>
      </c>
      <c r="BZ91" s="122">
        <f t="shared" ref="BZ91" si="123" xml:space="preserve"> BY94</f>
        <v>0</v>
      </c>
      <c r="CA91" s="122">
        <f t="shared" ref="CA91" si="124" xml:space="preserve"> BZ94</f>
        <v>0</v>
      </c>
    </row>
    <row r="92" spans="1:79" s="180" customFormat="1" x14ac:dyDescent="0.2">
      <c r="A92" s="177"/>
      <c r="B92" s="177"/>
      <c r="C92" s="178"/>
      <c r="D92" s="179" t="s">
        <v>23</v>
      </c>
      <c r="E92" s="180" t="str">
        <f xml:space="preserve"> Finstat!E$18</f>
        <v>Profit after tax</v>
      </c>
      <c r="F92" s="180">
        <f xml:space="preserve"> Finstat!F$18</f>
        <v>0</v>
      </c>
      <c r="G92" s="180" t="str">
        <f xml:space="preserve"> Finstat!G$18</f>
        <v>€ 000s</v>
      </c>
      <c r="H92" s="180">
        <f xml:space="preserve"> Finstat!H$18</f>
        <v>803403.92778230913</v>
      </c>
      <c r="I92" s="180">
        <f xml:space="preserve"> Finstat!I$18</f>
        <v>0</v>
      </c>
      <c r="J92" s="180">
        <f xml:space="preserve"> Finstat!J$18</f>
        <v>0</v>
      </c>
      <c r="K92" s="180">
        <f xml:space="preserve"> Finstat!K$18</f>
        <v>0</v>
      </c>
      <c r="L92" s="180">
        <f xml:space="preserve"> Finstat!L$18</f>
        <v>0</v>
      </c>
      <c r="M92" s="180">
        <f xml:space="preserve"> Finstat!M$18</f>
        <v>0</v>
      </c>
      <c r="N92" s="180">
        <f xml:space="preserve"> Finstat!N$18</f>
        <v>0</v>
      </c>
      <c r="O92" s="180">
        <f xml:space="preserve"> Finstat!O$18</f>
        <v>-1120.9966470153497</v>
      </c>
      <c r="P92" s="180">
        <f xml:space="preserve"> Finstat!P$18</f>
        <v>-571.03508037843528</v>
      </c>
      <c r="Q92" s="180">
        <f xml:space="preserve"> Finstat!Q$18</f>
        <v>149.07573493813288</v>
      </c>
      <c r="R92" s="180">
        <f xml:space="preserve"> Finstat!R$18</f>
        <v>-1042.0185128509547</v>
      </c>
      <c r="S92" s="180">
        <f xml:space="preserve"> Finstat!S$18</f>
        <v>-510.74337104230437</v>
      </c>
      <c r="T92" s="180">
        <f xml:space="preserve"> Finstat!T$18</f>
        <v>-599.40293900795655</v>
      </c>
      <c r="U92" s="180">
        <f xml:space="preserve"> Finstat!U$18</f>
        <v>-139.93104869860835</v>
      </c>
      <c r="V92" s="180">
        <f xml:space="preserve"> Finstat!V$18</f>
        <v>42.533028260273937</v>
      </c>
      <c r="W92" s="180">
        <f xml:space="preserve"> Finstat!W$18</f>
        <v>480.84118879070957</v>
      </c>
      <c r="X92" s="180">
        <f xml:space="preserve"> Finstat!X$18</f>
        <v>1097.0707998798055</v>
      </c>
      <c r="Y92" s="180">
        <f xml:space="preserve"> Finstat!Y$18</f>
        <v>2040.0980092527925</v>
      </c>
      <c r="Z92" s="180">
        <f xml:space="preserve"> Finstat!Z$18</f>
        <v>2144.5886057205216</v>
      </c>
      <c r="AA92" s="180">
        <f xml:space="preserve"> Finstat!AA$18</f>
        <v>2601.3552275867833</v>
      </c>
      <c r="AB92" s="180">
        <f xml:space="preserve"> Finstat!AB$18</f>
        <v>2837.2558454461523</v>
      </c>
      <c r="AC92" s="180">
        <f xml:space="preserve"> Finstat!AC$18</f>
        <v>3313.8131729521192</v>
      </c>
      <c r="AD92" s="180">
        <f xml:space="preserve"> Finstat!AD$18</f>
        <v>4039.2993705345834</v>
      </c>
      <c r="AE92" s="180">
        <f xml:space="preserve"> Finstat!AE$18</f>
        <v>4579.7145224730975</v>
      </c>
      <c r="AF92" s="180">
        <f xml:space="preserve"> Finstat!AF$18</f>
        <v>4839.8615800047355</v>
      </c>
      <c r="AG92" s="180">
        <f xml:space="preserve"> Finstat!AG$18</f>
        <v>5406.0394467431033</v>
      </c>
      <c r="AH92" s="180">
        <f xml:space="preserve"> Finstat!AH$18</f>
        <v>5685.7811955944198</v>
      </c>
      <c r="AI92" s="180">
        <f xml:space="preserve"> Finstat!AI$18</f>
        <v>6700.7386481415342</v>
      </c>
      <c r="AJ92" s="180">
        <f xml:space="preserve"> Finstat!AJ$18</f>
        <v>7004.2141970656166</v>
      </c>
      <c r="AK92" s="180">
        <f xml:space="preserve"> Finstat!AK$18</f>
        <v>7630.4762684663965</v>
      </c>
      <c r="AL92" s="180">
        <f xml:space="preserve"> Finstat!AL$18</f>
        <v>7956.7995555114303</v>
      </c>
      <c r="AM92" s="180">
        <f xml:space="preserve"> Finstat!AM$18</f>
        <v>8614.7687134445423</v>
      </c>
      <c r="AN92" s="180">
        <f xml:space="preserve"> Finstat!AN$18</f>
        <v>9321.840997047806</v>
      </c>
      <c r="AO92" s="180">
        <f xml:space="preserve"> Finstat!AO$18</f>
        <v>10054.792216033982</v>
      </c>
      <c r="AP92" s="180">
        <f xml:space="preserve"> Finstat!AP$18</f>
        <v>10417.609838565706</v>
      </c>
      <c r="AQ92" s="180">
        <f xml:space="preserve"> Finstat!AQ$18</f>
        <v>11188.790189403744</v>
      </c>
      <c r="AR92" s="180">
        <f xml:space="preserve"> Finstat!AR$18</f>
        <v>11581.498102715326</v>
      </c>
      <c r="AS92" s="180">
        <f xml:space="preserve"> Finstat!AS$18</f>
        <v>12393.591500484563</v>
      </c>
      <c r="AT92" s="180">
        <f xml:space="preserve"> Finstat!AT$18</f>
        <v>12818.631544996631</v>
      </c>
      <c r="AU92" s="180">
        <f xml:space="preserve"> Finstat!AU$18</f>
        <v>13674.521016921499</v>
      </c>
      <c r="AV92" s="180">
        <f xml:space="preserve"> Finstat!AV$18</f>
        <v>14134.720114087017</v>
      </c>
      <c r="AW92" s="180">
        <f xml:space="preserve"> Finstat!AW$18</f>
        <v>15037.487976821893</v>
      </c>
      <c r="AX92" s="180">
        <f xml:space="preserve"> Finstat!AX$18</f>
        <v>16087.420758610768</v>
      </c>
      <c r="AY92" s="180">
        <f xml:space="preserve"> Finstat!AY$18</f>
        <v>17091.418949413575</v>
      </c>
      <c r="AZ92" s="180">
        <f xml:space="preserve"> Finstat!AZ$18</f>
        <v>17617.915398826823</v>
      </c>
      <c r="BA92" s="180">
        <f xml:space="preserve"> Finstat!BA$18</f>
        <v>18677.501639563503</v>
      </c>
      <c r="BB92" s="180">
        <f xml:space="preserve"> Finstat!BB$18</f>
        <v>19248.731112374691</v>
      </c>
      <c r="BC92" s="180">
        <f xml:space="preserve"> Finstat!BC$18</f>
        <v>20367.61135463473</v>
      </c>
      <c r="BD92" s="180">
        <f xml:space="preserve"> Finstat!BD$18</f>
        <v>20419.735915761994</v>
      </c>
      <c r="BE92" s="180">
        <f xml:space="preserve"> Finstat!BE$18</f>
        <v>21015.19336913959</v>
      </c>
      <c r="BF92" s="180">
        <f xml:space="preserve"> Finstat!BF$18</f>
        <v>20942.957265945064</v>
      </c>
      <c r="BG92" s="180">
        <f xml:space="preserve"> Finstat!BG$18</f>
        <v>21551.740055076414</v>
      </c>
      <c r="BH92" s="180">
        <f xml:space="preserve"> Finstat!BH$18</f>
        <v>21604.922928232689</v>
      </c>
      <c r="BI92" s="180">
        <f xml:space="preserve"> Finstat!BI$18</f>
        <v>21077.655665139853</v>
      </c>
      <c r="BJ92" s="180">
        <f xml:space="preserve"> Finstat!BJ$18</f>
        <v>23316.983881257755</v>
      </c>
      <c r="BK92" s="180">
        <f xml:space="preserve"> Finstat!BK$18</f>
        <v>21609.323148980817</v>
      </c>
      <c r="BL92" s="180">
        <f xml:space="preserve"> Finstat!BL$18</f>
        <v>24038.300208928202</v>
      </c>
      <c r="BM92" s="180">
        <f xml:space="preserve"> Finstat!BM$18</f>
        <v>27823.617183904571</v>
      </c>
      <c r="BN92" s="180">
        <f xml:space="preserve"> Finstat!BN$18</f>
        <v>30313.318670350651</v>
      </c>
      <c r="BO92" s="180">
        <f xml:space="preserve"> Finstat!BO$18</f>
        <v>28519.207613502193</v>
      </c>
      <c r="BP92" s="180">
        <f xml:space="preserve"> Finstat!BP$18</f>
        <v>31071.151637109404</v>
      </c>
      <c r="BQ92" s="180">
        <f xml:space="preserve"> Finstat!BQ$18</f>
        <v>29232.187803839737</v>
      </c>
      <c r="BR92" s="180">
        <f xml:space="preserve"> Finstat!BR$18</f>
        <v>30561.357408855914</v>
      </c>
      <c r="BS92" s="180">
        <f xml:space="preserve"> Finstat!BS$18</f>
        <v>31265.548404464236</v>
      </c>
      <c r="BT92" s="180">
        <f xml:space="preserve"> Finstat!BT$18</f>
        <v>31653.955202433928</v>
      </c>
      <c r="BU92" s="180">
        <f xml:space="preserve"> Finstat!BU$18</f>
        <v>32047.187114575838</v>
      </c>
      <c r="BV92" s="180">
        <f xml:space="preserve"> Finstat!BV$18</f>
        <v>32445.30408249476</v>
      </c>
      <c r="BW92" s="180">
        <f xml:space="preserve"> Finstat!BW$18</f>
        <v>0</v>
      </c>
      <c r="BX92" s="180">
        <f xml:space="preserve"> Finstat!BX$18</f>
        <v>0</v>
      </c>
      <c r="BY92" s="180">
        <f xml:space="preserve"> Finstat!BY$18</f>
        <v>0</v>
      </c>
      <c r="BZ92" s="180">
        <f xml:space="preserve"> Finstat!BZ$18</f>
        <v>0</v>
      </c>
      <c r="CA92" s="180">
        <f xml:space="preserve"> Finstat!CA$18</f>
        <v>0</v>
      </c>
    </row>
    <row r="93" spans="1:79" s="124" customFormat="1" x14ac:dyDescent="0.2">
      <c r="A93" s="166"/>
      <c r="B93" s="166"/>
      <c r="C93" s="167"/>
      <c r="D93" s="168" t="s">
        <v>24</v>
      </c>
      <c r="E93" s="124" t="str">
        <f t="shared" ref="E93:AJ93" si="125">E$75</f>
        <v>Dividends declared / paid POS</v>
      </c>
      <c r="F93" s="124">
        <f t="shared" si="125"/>
        <v>0</v>
      </c>
      <c r="G93" s="124" t="str">
        <f t="shared" si="125"/>
        <v>€ 000s</v>
      </c>
      <c r="H93" s="124">
        <f t="shared" si="125"/>
        <v>803403.92778230901</v>
      </c>
      <c r="I93" s="124">
        <f t="shared" si="125"/>
        <v>0</v>
      </c>
      <c r="J93" s="124">
        <f t="shared" si="125"/>
        <v>0</v>
      </c>
      <c r="K93" s="124">
        <f t="shared" si="125"/>
        <v>0</v>
      </c>
      <c r="L93" s="124">
        <f t="shared" si="125"/>
        <v>0</v>
      </c>
      <c r="M93" s="124">
        <f t="shared" si="125"/>
        <v>0</v>
      </c>
      <c r="N93" s="124">
        <f t="shared" si="125"/>
        <v>0</v>
      </c>
      <c r="O93" s="124">
        <f t="shared" si="125"/>
        <v>0</v>
      </c>
      <c r="P93" s="124">
        <f t="shared" si="125"/>
        <v>0</v>
      </c>
      <c r="Q93" s="124">
        <f t="shared" si="125"/>
        <v>0</v>
      </c>
      <c r="R93" s="124">
        <f t="shared" si="125"/>
        <v>0</v>
      </c>
      <c r="S93" s="124">
        <f t="shared" si="125"/>
        <v>0</v>
      </c>
      <c r="T93" s="124">
        <f t="shared" si="125"/>
        <v>0</v>
      </c>
      <c r="U93" s="124">
        <f t="shared" si="125"/>
        <v>0</v>
      </c>
      <c r="V93" s="124">
        <f t="shared" si="125"/>
        <v>0</v>
      </c>
      <c r="W93" s="124">
        <f t="shared" si="125"/>
        <v>0</v>
      </c>
      <c r="X93" s="124">
        <f t="shared" si="125"/>
        <v>0</v>
      </c>
      <c r="Y93" s="124">
        <f t="shared" si="125"/>
        <v>0</v>
      </c>
      <c r="Z93" s="124">
        <f t="shared" si="125"/>
        <v>0</v>
      </c>
      <c r="AA93" s="124">
        <f t="shared" si="125"/>
        <v>2254.89230486819</v>
      </c>
      <c r="AB93" s="124">
        <f t="shared" si="125"/>
        <v>5153.7985360133725</v>
      </c>
      <c r="AC93" s="124">
        <f t="shared" si="125"/>
        <v>3313.8131729521192</v>
      </c>
      <c r="AD93" s="124">
        <f t="shared" si="125"/>
        <v>4039.2993705345834</v>
      </c>
      <c r="AE93" s="124">
        <f t="shared" si="125"/>
        <v>4579.7145224730975</v>
      </c>
      <c r="AF93" s="124">
        <f t="shared" si="125"/>
        <v>4839.8615800047355</v>
      </c>
      <c r="AG93" s="124">
        <f t="shared" si="125"/>
        <v>5406.0394467431033</v>
      </c>
      <c r="AH93" s="124">
        <f t="shared" si="125"/>
        <v>5685.7811955944198</v>
      </c>
      <c r="AI93" s="124">
        <f t="shared" si="125"/>
        <v>6700.7386481415342</v>
      </c>
      <c r="AJ93" s="124">
        <f t="shared" si="125"/>
        <v>7004.2141970656166</v>
      </c>
      <c r="AK93" s="124">
        <f t="shared" ref="AK93:BP93" si="126">AK$75</f>
        <v>7630.4762684663965</v>
      </c>
      <c r="AL93" s="124">
        <f t="shared" si="126"/>
        <v>7956.7995555114303</v>
      </c>
      <c r="AM93" s="124">
        <f t="shared" si="126"/>
        <v>8614.7687134445423</v>
      </c>
      <c r="AN93" s="124">
        <f t="shared" si="126"/>
        <v>9321.840997047806</v>
      </c>
      <c r="AO93" s="124">
        <f t="shared" si="126"/>
        <v>10054.792216033982</v>
      </c>
      <c r="AP93" s="124">
        <f t="shared" si="126"/>
        <v>10417.609838565706</v>
      </c>
      <c r="AQ93" s="124">
        <f t="shared" si="126"/>
        <v>10803.739111954999</v>
      </c>
      <c r="AR93" s="124">
        <f t="shared" si="126"/>
        <v>6998.6032792639417</v>
      </c>
      <c r="AS93" s="124">
        <f t="shared" si="126"/>
        <v>7368.6813497910334</v>
      </c>
      <c r="AT93" s="124">
        <f t="shared" si="126"/>
        <v>7027.5397617001363</v>
      </c>
      <c r="AU93" s="124">
        <f t="shared" si="126"/>
        <v>7408.1870122351065</v>
      </c>
      <c r="AV93" s="124">
        <f t="shared" si="126"/>
        <v>7058.5577560739257</v>
      </c>
      <c r="AW93" s="124">
        <f t="shared" si="126"/>
        <v>7055.2690997261852</v>
      </c>
      <c r="AX93" s="124">
        <f t="shared" si="126"/>
        <v>7222.8107573686211</v>
      </c>
      <c r="AY93" s="124">
        <f t="shared" si="126"/>
        <v>7678.729954429491</v>
      </c>
      <c r="AZ93" s="124">
        <f t="shared" si="126"/>
        <v>7254.9868146571789</v>
      </c>
      <c r="BA93" s="124">
        <f t="shared" si="126"/>
        <v>7718.9019601722684</v>
      </c>
      <c r="BB93" s="124">
        <f t="shared" si="126"/>
        <v>26355.226543934212</v>
      </c>
      <c r="BC93" s="124">
        <f t="shared" si="126"/>
        <v>26665.4957125605</v>
      </c>
      <c r="BD93" s="124">
        <f t="shared" si="126"/>
        <v>26679.509517069491</v>
      </c>
      <c r="BE93" s="124">
        <f t="shared" si="126"/>
        <v>27238.761751659724</v>
      </c>
      <c r="BF93" s="124">
        <f t="shared" si="126"/>
        <v>27132.130690617203</v>
      </c>
      <c r="BG93" s="124">
        <f t="shared" si="126"/>
        <v>27708.238269792957</v>
      </c>
      <c r="BH93" s="124">
        <f t="shared" si="126"/>
        <v>27730.379693491417</v>
      </c>
      <c r="BI93" s="124">
        <f t="shared" si="126"/>
        <v>27173.623053413656</v>
      </c>
      <c r="BJ93" s="124">
        <f t="shared" si="126"/>
        <v>29384.936361395878</v>
      </c>
      <c r="BK93" s="124">
        <f t="shared" si="126"/>
        <v>27650.661466390051</v>
      </c>
      <c r="BL93" s="124">
        <f t="shared" si="126"/>
        <v>30054.355071744991</v>
      </c>
      <c r="BM93" s="124">
        <f t="shared" si="126"/>
        <v>28279.983539298279</v>
      </c>
      <c r="BN93" s="124">
        <f t="shared" si="126"/>
        <v>30746.866707974674</v>
      </c>
      <c r="BO93" s="124">
        <f t="shared" si="126"/>
        <v>28931.078249245016</v>
      </c>
      <c r="BP93" s="124">
        <f t="shared" si="126"/>
        <v>31462.428741065087</v>
      </c>
      <c r="BQ93" s="124">
        <f t="shared" ref="BQ93:CA93" si="127">BQ$75</f>
        <v>29603.901052597634</v>
      </c>
      <c r="BR93" s="124">
        <f t="shared" si="127"/>
        <v>30914.484995175917</v>
      </c>
      <c r="BS93" s="124">
        <f t="shared" si="127"/>
        <v>31601.01961146824</v>
      </c>
      <c r="BT93" s="124">
        <f t="shared" si="127"/>
        <v>31972.652849087732</v>
      </c>
      <c r="BU93" s="124">
        <f t="shared" si="127"/>
        <v>32349.94987889695</v>
      </c>
      <c r="BV93" s="124">
        <f t="shared" si="127"/>
        <v>37197.796604595853</v>
      </c>
      <c r="BW93" s="124">
        <f t="shared" si="127"/>
        <v>0</v>
      </c>
      <c r="BX93" s="124">
        <f t="shared" si="127"/>
        <v>0</v>
      </c>
      <c r="BY93" s="124">
        <f t="shared" si="127"/>
        <v>0</v>
      </c>
      <c r="BZ93" s="124">
        <f t="shared" si="127"/>
        <v>0</v>
      </c>
      <c r="CA93" s="124">
        <f t="shared" si="127"/>
        <v>0</v>
      </c>
    </row>
    <row r="94" spans="1:79" s="173" customFormat="1" ht="13.5" thickBot="1" x14ac:dyDescent="0.25">
      <c r="A94" s="169"/>
      <c r="B94" s="169"/>
      <c r="C94" s="170"/>
      <c r="D94" s="171"/>
      <c r="E94" s="172" t="s">
        <v>133</v>
      </c>
      <c r="G94" s="172" t="str">
        <f xml:space="preserve"> SMU</f>
        <v>€ 000s</v>
      </c>
      <c r="I94" s="174"/>
      <c r="J94" s="173">
        <f t="shared" ref="J94:BU94" si="128" xml:space="preserve"> IF( J89 = 1, $F88, J91 + J92 - J93)</f>
        <v>0</v>
      </c>
      <c r="K94" s="173">
        <f t="shared" si="128"/>
        <v>0</v>
      </c>
      <c r="L94" s="173">
        <f t="shared" si="128"/>
        <v>0</v>
      </c>
      <c r="M94" s="173">
        <f t="shared" si="128"/>
        <v>0</v>
      </c>
      <c r="N94" s="173">
        <f t="shared" si="128"/>
        <v>0</v>
      </c>
      <c r="O94" s="173">
        <f t="shared" si="128"/>
        <v>-1120.9966470153497</v>
      </c>
      <c r="P94" s="173">
        <f t="shared" si="128"/>
        <v>-1692.0317273937849</v>
      </c>
      <c r="Q94" s="173">
        <f t="shared" si="128"/>
        <v>-1542.955992455652</v>
      </c>
      <c r="R94" s="173">
        <f t="shared" si="128"/>
        <v>-2584.9745053066067</v>
      </c>
      <c r="S94" s="173">
        <f t="shared" si="128"/>
        <v>-3095.717876348911</v>
      </c>
      <c r="T94" s="173">
        <f t="shared" si="128"/>
        <v>-3695.1208153568678</v>
      </c>
      <c r="U94" s="173">
        <f t="shared" si="128"/>
        <v>-3835.051864055476</v>
      </c>
      <c r="V94" s="173">
        <f t="shared" si="128"/>
        <v>-3792.518835795202</v>
      </c>
      <c r="W94" s="173">
        <f t="shared" si="128"/>
        <v>-3311.6776470044924</v>
      </c>
      <c r="X94" s="173">
        <f t="shared" si="128"/>
        <v>-2214.6068471246872</v>
      </c>
      <c r="Y94" s="173">
        <f t="shared" si="128"/>
        <v>-174.50883787189468</v>
      </c>
      <c r="Z94" s="173">
        <f t="shared" si="128"/>
        <v>1970.0797678486269</v>
      </c>
      <c r="AA94" s="173">
        <f t="shared" si="128"/>
        <v>2316.5426905672202</v>
      </c>
      <c r="AB94" s="173">
        <f t="shared" si="128"/>
        <v>0</v>
      </c>
      <c r="AC94" s="173">
        <f t="shared" si="128"/>
        <v>0</v>
      </c>
      <c r="AD94" s="173">
        <f t="shared" si="128"/>
        <v>0</v>
      </c>
      <c r="AE94" s="173">
        <f t="shared" si="128"/>
        <v>0</v>
      </c>
      <c r="AF94" s="173">
        <f t="shared" si="128"/>
        <v>0</v>
      </c>
      <c r="AG94" s="173">
        <f t="shared" si="128"/>
        <v>0</v>
      </c>
      <c r="AH94" s="173">
        <f t="shared" si="128"/>
        <v>0</v>
      </c>
      <c r="AI94" s="173">
        <f t="shared" si="128"/>
        <v>0</v>
      </c>
      <c r="AJ94" s="173">
        <f t="shared" si="128"/>
        <v>0</v>
      </c>
      <c r="AK94" s="173">
        <f t="shared" si="128"/>
        <v>0</v>
      </c>
      <c r="AL94" s="173">
        <f t="shared" si="128"/>
        <v>0</v>
      </c>
      <c r="AM94" s="173">
        <f t="shared" si="128"/>
        <v>0</v>
      </c>
      <c r="AN94" s="173">
        <f t="shared" si="128"/>
        <v>0</v>
      </c>
      <c r="AO94" s="173">
        <f t="shared" si="128"/>
        <v>0</v>
      </c>
      <c r="AP94" s="173">
        <f t="shared" si="128"/>
        <v>0</v>
      </c>
      <c r="AQ94" s="173">
        <f t="shared" si="128"/>
        <v>385.05107744874476</v>
      </c>
      <c r="AR94" s="173">
        <f t="shared" si="128"/>
        <v>4967.9459009001293</v>
      </c>
      <c r="AS94" s="173">
        <f t="shared" si="128"/>
        <v>9992.8560515936588</v>
      </c>
      <c r="AT94" s="173">
        <f t="shared" si="128"/>
        <v>15783.947834890154</v>
      </c>
      <c r="AU94" s="173">
        <f t="shared" si="128"/>
        <v>22050.281839576546</v>
      </c>
      <c r="AV94" s="173">
        <f t="shared" si="128"/>
        <v>29126.444197589641</v>
      </c>
      <c r="AW94" s="173">
        <f t="shared" si="128"/>
        <v>37108.663074685348</v>
      </c>
      <c r="AX94" s="173">
        <f t="shared" si="128"/>
        <v>45973.273075927493</v>
      </c>
      <c r="AY94" s="173">
        <f t="shared" si="128"/>
        <v>55385.96207091157</v>
      </c>
      <c r="AZ94" s="173">
        <f t="shared" si="128"/>
        <v>65748.89065508121</v>
      </c>
      <c r="BA94" s="173">
        <f t="shared" si="128"/>
        <v>76707.490334472444</v>
      </c>
      <c r="BB94" s="173">
        <f t="shared" si="128"/>
        <v>69600.99490291292</v>
      </c>
      <c r="BC94" s="173">
        <f t="shared" si="128"/>
        <v>63303.110544987154</v>
      </c>
      <c r="BD94" s="173">
        <f t="shared" si="128"/>
        <v>57043.336943679657</v>
      </c>
      <c r="BE94" s="173">
        <f t="shared" si="128"/>
        <v>50819.768561159523</v>
      </c>
      <c r="BF94" s="173">
        <f t="shared" si="128"/>
        <v>44630.595136487384</v>
      </c>
      <c r="BG94" s="173">
        <f t="shared" si="128"/>
        <v>38474.096921770833</v>
      </c>
      <c r="BH94" s="173">
        <f t="shared" si="128"/>
        <v>32348.640156512101</v>
      </c>
      <c r="BI94" s="173">
        <f t="shared" si="128"/>
        <v>26252.672768238299</v>
      </c>
      <c r="BJ94" s="173">
        <f t="shared" si="128"/>
        <v>20184.720288100179</v>
      </c>
      <c r="BK94" s="173">
        <f t="shared" si="128"/>
        <v>14143.381970690945</v>
      </c>
      <c r="BL94" s="173">
        <f t="shared" si="128"/>
        <v>8127.32710787416</v>
      </c>
      <c r="BM94" s="173">
        <f t="shared" si="128"/>
        <v>7670.9607524804524</v>
      </c>
      <c r="BN94" s="173">
        <f t="shared" si="128"/>
        <v>7237.4127148564294</v>
      </c>
      <c r="BO94" s="173">
        <f t="shared" si="128"/>
        <v>6825.5420791136057</v>
      </c>
      <c r="BP94" s="173">
        <f t="shared" si="128"/>
        <v>6434.2649751579229</v>
      </c>
      <c r="BQ94" s="173">
        <f t="shared" si="128"/>
        <v>6062.5517264000227</v>
      </c>
      <c r="BR94" s="173">
        <f t="shared" si="128"/>
        <v>5709.4241400800165</v>
      </c>
      <c r="BS94" s="173">
        <f t="shared" si="128"/>
        <v>5373.9529330760124</v>
      </c>
      <c r="BT94" s="173">
        <f t="shared" si="128"/>
        <v>5055.2552864222089</v>
      </c>
      <c r="BU94" s="173">
        <f t="shared" si="128"/>
        <v>4752.4925221010926</v>
      </c>
      <c r="BV94" s="173">
        <f t="shared" ref="BV94:CA94" si="129" xml:space="preserve"> IF( BV89 = 1, $F88, BV91 + BV92 - BV93)</f>
        <v>0</v>
      </c>
      <c r="BW94" s="173">
        <f t="shared" si="129"/>
        <v>0</v>
      </c>
      <c r="BX94" s="173">
        <f t="shared" si="129"/>
        <v>0</v>
      </c>
      <c r="BY94" s="173">
        <f t="shared" si="129"/>
        <v>0</v>
      </c>
      <c r="BZ94" s="173">
        <f t="shared" si="129"/>
        <v>0</v>
      </c>
      <c r="CA94" s="173">
        <f t="shared" si="129"/>
        <v>0</v>
      </c>
    </row>
    <row r="95" spans="1:79" s="133" customFormat="1" ht="13.5" thickTop="1" x14ac:dyDescent="0.2">
      <c r="A95" s="129"/>
      <c r="B95" s="130"/>
      <c r="C95" s="131"/>
      <c r="D95" s="132"/>
    </row>
    <row r="96" spans="1:79" s="122" customFormat="1" x14ac:dyDescent="0.2">
      <c r="A96" s="119"/>
      <c r="B96" s="166"/>
      <c r="C96" s="167"/>
      <c r="D96" s="121"/>
    </row>
  </sheetData>
  <printOptions heading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&amp;L&amp;"Arial,Bold"&amp;14Financial Mechanics Training Model&amp;C&amp;"Arial,Bold"&amp;14Sheet: &amp;A&amp;R&amp;"Arial,Bold"&amp;14STRICTLY NOT CONFIDENTIAL</oddHeader>
    <oddFooter>&amp;L&amp;12&amp;F (Printed on &amp;D at &amp;T) &amp;C&amp;12Page &amp;P of &amp;N&amp;R&amp;12© 2008 Financial Mechanics Ltd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 enableFormatConditionsCalculation="0">
    <tabColor indexed="17"/>
    <outlinePr summaryBelow="0" summaryRight="0"/>
  </sheetPr>
  <dimension ref="A1:CA60"/>
  <sheetViews>
    <sheetView showGridLines="0" defaultGridColor="0" colorId="22" workbookViewId="0">
      <pane xSplit="6" ySplit="4" topLeftCell="G5" activePane="bottomRight" state="frozen"/>
      <selection activeCell="E65" sqref="E1:E1048576"/>
      <selection pane="topRight" activeCell="E65" sqref="E1:E1048576"/>
      <selection pane="bottomLeft" activeCell="E65" sqref="E1:E1048576"/>
      <selection pane="bottomRight" activeCell="G25" sqref="G25"/>
    </sheetView>
  </sheetViews>
  <sheetFormatPr defaultColWidth="0" defaultRowHeight="12.75" x14ac:dyDescent="0.2"/>
  <cols>
    <col min="1" max="1" width="1.28515625" style="81" customWidth="1"/>
    <col min="2" max="2" width="1.28515625" style="82" customWidth="1"/>
    <col min="3" max="3" width="1.28515625" style="83" customWidth="1"/>
    <col min="4" max="4" width="1.28515625" style="86" customWidth="1"/>
    <col min="5" max="5" width="40.7109375" style="87" customWidth="1"/>
    <col min="6" max="6" width="12.7109375" style="87" customWidth="1"/>
    <col min="7" max="8" width="11.7109375" style="87" customWidth="1"/>
    <col min="9" max="9" width="2.7109375" style="87" customWidth="1"/>
    <col min="10" max="79" width="11.7109375" style="87" customWidth="1"/>
    <col min="80" max="16384" width="0" style="87" hidden="1"/>
  </cols>
  <sheetData>
    <row r="1" spans="1:79" s="142" customFormat="1" x14ac:dyDescent="0.2">
      <c r="A1" s="69" t="str">
        <f ca="1" xml:space="preserve"> RIGHT(CELL("filename", A1), LEN(CELL("filename", A1)) - SEARCH("]", CELL("filename", A1)))</f>
        <v>Finstat</v>
      </c>
      <c r="B1" s="69"/>
      <c r="C1" s="70"/>
      <c r="D1" s="141"/>
      <c r="F1" s="73"/>
      <c r="G1" s="73"/>
      <c r="H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</row>
    <row r="2" spans="1:79" s="74" customFormat="1" x14ac:dyDescent="0.2">
      <c r="A2" s="75"/>
      <c r="B2" s="75"/>
      <c r="C2" s="107"/>
      <c r="D2" s="77"/>
      <c r="E2" s="74" t="str">
        <f>'T&amp;E'!E$24</f>
        <v>Operating period flag</v>
      </c>
      <c r="G2" s="74" t="str">
        <f>'T&amp;E'!G$24</f>
        <v>flag</v>
      </c>
      <c r="H2" s="74">
        <f>'T&amp;E'!H$24</f>
        <v>60</v>
      </c>
      <c r="J2" s="74">
        <f>'T&amp;E'!J$24</f>
        <v>0</v>
      </c>
      <c r="K2" s="74">
        <f>'T&amp;E'!K$24</f>
        <v>0</v>
      </c>
      <c r="L2" s="74">
        <f>'T&amp;E'!L$24</f>
        <v>0</v>
      </c>
      <c r="M2" s="74">
        <f>'T&amp;E'!M$24</f>
        <v>0</v>
      </c>
      <c r="N2" s="74">
        <f>'T&amp;E'!N$24</f>
        <v>0</v>
      </c>
      <c r="O2" s="74">
        <f>'T&amp;E'!O$24</f>
        <v>1</v>
      </c>
      <c r="P2" s="74">
        <f>'T&amp;E'!P$24</f>
        <v>1</v>
      </c>
      <c r="Q2" s="74">
        <f>'T&amp;E'!Q$24</f>
        <v>1</v>
      </c>
      <c r="R2" s="74">
        <f>'T&amp;E'!R$24</f>
        <v>1</v>
      </c>
      <c r="S2" s="74">
        <f>'T&amp;E'!S$24</f>
        <v>1</v>
      </c>
      <c r="T2" s="74">
        <f>'T&amp;E'!T$24</f>
        <v>1</v>
      </c>
      <c r="U2" s="74">
        <f>'T&amp;E'!U$24</f>
        <v>1</v>
      </c>
      <c r="V2" s="74">
        <f>'T&amp;E'!V$24</f>
        <v>1</v>
      </c>
      <c r="W2" s="74">
        <f>'T&amp;E'!W$24</f>
        <v>1</v>
      </c>
      <c r="X2" s="74">
        <f>'T&amp;E'!X$24</f>
        <v>1</v>
      </c>
      <c r="Y2" s="74">
        <f>'T&amp;E'!Y$24</f>
        <v>1</v>
      </c>
      <c r="Z2" s="74">
        <f>'T&amp;E'!Z$24</f>
        <v>1</v>
      </c>
      <c r="AA2" s="74">
        <f>'T&amp;E'!AA$24</f>
        <v>1</v>
      </c>
      <c r="AB2" s="74">
        <f>'T&amp;E'!AB$24</f>
        <v>1</v>
      </c>
      <c r="AC2" s="74">
        <f>'T&amp;E'!AC$24</f>
        <v>1</v>
      </c>
      <c r="AD2" s="74">
        <f>'T&amp;E'!AD$24</f>
        <v>1</v>
      </c>
      <c r="AE2" s="74">
        <f>'T&amp;E'!AE$24</f>
        <v>1</v>
      </c>
      <c r="AF2" s="74">
        <f>'T&amp;E'!AF$24</f>
        <v>1</v>
      </c>
      <c r="AG2" s="74">
        <f>'T&amp;E'!AG$24</f>
        <v>1</v>
      </c>
      <c r="AH2" s="74">
        <f>'T&amp;E'!AH$24</f>
        <v>1</v>
      </c>
      <c r="AI2" s="74">
        <f>'T&amp;E'!AI$24</f>
        <v>1</v>
      </c>
      <c r="AJ2" s="74">
        <f>'T&amp;E'!AJ$24</f>
        <v>1</v>
      </c>
      <c r="AK2" s="74">
        <f>'T&amp;E'!AK$24</f>
        <v>1</v>
      </c>
      <c r="AL2" s="74">
        <f>'T&amp;E'!AL$24</f>
        <v>1</v>
      </c>
      <c r="AM2" s="74">
        <f>'T&amp;E'!AM$24</f>
        <v>1</v>
      </c>
      <c r="AN2" s="74">
        <f>'T&amp;E'!AN$24</f>
        <v>1</v>
      </c>
      <c r="AO2" s="74">
        <f>'T&amp;E'!AO$24</f>
        <v>1</v>
      </c>
      <c r="AP2" s="74">
        <f>'T&amp;E'!AP$24</f>
        <v>1</v>
      </c>
      <c r="AQ2" s="74">
        <f>'T&amp;E'!AQ$24</f>
        <v>1</v>
      </c>
      <c r="AR2" s="74">
        <f>'T&amp;E'!AR$24</f>
        <v>1</v>
      </c>
      <c r="AS2" s="74">
        <f>'T&amp;E'!AS$24</f>
        <v>1</v>
      </c>
      <c r="AT2" s="74">
        <f>'T&amp;E'!AT$24</f>
        <v>1</v>
      </c>
      <c r="AU2" s="74">
        <f>'T&amp;E'!AU$24</f>
        <v>1</v>
      </c>
      <c r="AV2" s="74">
        <f>'T&amp;E'!AV$24</f>
        <v>1</v>
      </c>
      <c r="AW2" s="74">
        <f>'T&amp;E'!AW$24</f>
        <v>1</v>
      </c>
      <c r="AX2" s="74">
        <f>'T&amp;E'!AX$24</f>
        <v>1</v>
      </c>
      <c r="AY2" s="74">
        <f>'T&amp;E'!AY$24</f>
        <v>1</v>
      </c>
      <c r="AZ2" s="74">
        <f>'T&amp;E'!AZ$24</f>
        <v>1</v>
      </c>
      <c r="BA2" s="74">
        <f>'T&amp;E'!BA$24</f>
        <v>1</v>
      </c>
      <c r="BB2" s="74">
        <f>'T&amp;E'!BB$24</f>
        <v>1</v>
      </c>
      <c r="BC2" s="74">
        <f>'T&amp;E'!BC$24</f>
        <v>1</v>
      </c>
      <c r="BD2" s="74">
        <f>'T&amp;E'!BD$24</f>
        <v>1</v>
      </c>
      <c r="BE2" s="74">
        <f>'T&amp;E'!BE$24</f>
        <v>1</v>
      </c>
      <c r="BF2" s="74">
        <f>'T&amp;E'!BF$24</f>
        <v>1</v>
      </c>
      <c r="BG2" s="74">
        <f>'T&amp;E'!BG$24</f>
        <v>1</v>
      </c>
      <c r="BH2" s="74">
        <f>'T&amp;E'!BH$24</f>
        <v>1</v>
      </c>
      <c r="BI2" s="74">
        <f>'T&amp;E'!BI$24</f>
        <v>1</v>
      </c>
      <c r="BJ2" s="74">
        <f>'T&amp;E'!BJ$24</f>
        <v>1</v>
      </c>
      <c r="BK2" s="74">
        <f>'T&amp;E'!BK$24</f>
        <v>1</v>
      </c>
      <c r="BL2" s="74">
        <f>'T&amp;E'!BL$24</f>
        <v>1</v>
      </c>
      <c r="BM2" s="74">
        <f>'T&amp;E'!BM$24</f>
        <v>1</v>
      </c>
      <c r="BN2" s="74">
        <f>'T&amp;E'!BN$24</f>
        <v>1</v>
      </c>
      <c r="BO2" s="74">
        <f>'T&amp;E'!BO$24</f>
        <v>1</v>
      </c>
      <c r="BP2" s="74">
        <f>'T&amp;E'!BP$24</f>
        <v>1</v>
      </c>
      <c r="BQ2" s="74">
        <f>'T&amp;E'!BQ$24</f>
        <v>1</v>
      </c>
      <c r="BR2" s="74">
        <f>'T&amp;E'!BR$24</f>
        <v>1</v>
      </c>
      <c r="BS2" s="74">
        <f>'T&amp;E'!BS$24</f>
        <v>1</v>
      </c>
      <c r="BT2" s="74">
        <f>'T&amp;E'!BT$24</f>
        <v>1</v>
      </c>
      <c r="BU2" s="74">
        <f>'T&amp;E'!BU$24</f>
        <v>1</v>
      </c>
      <c r="BV2" s="74">
        <f>'T&amp;E'!BV$24</f>
        <v>1</v>
      </c>
      <c r="BW2" s="74">
        <f>'T&amp;E'!BW$24</f>
        <v>0</v>
      </c>
      <c r="BX2" s="74">
        <f>'T&amp;E'!BX$24</f>
        <v>0</v>
      </c>
      <c r="BY2" s="74">
        <f>'T&amp;E'!BY$24</f>
        <v>0</v>
      </c>
      <c r="BZ2" s="74">
        <f>'T&amp;E'!BZ$24</f>
        <v>0</v>
      </c>
      <c r="CA2" s="74">
        <f>'T&amp;E'!CA$24</f>
        <v>0</v>
      </c>
    </row>
    <row r="3" spans="1:79" s="74" customFormat="1" x14ac:dyDescent="0.2">
      <c r="A3" s="75"/>
      <c r="B3" s="75"/>
      <c r="C3" s="107"/>
      <c r="D3" s="77"/>
      <c r="E3" s="74" t="str">
        <f>'T&amp;E'!E$8</f>
        <v>Model column counter</v>
      </c>
      <c r="J3" s="74">
        <f>'T&amp;E'!J$8</f>
        <v>1</v>
      </c>
      <c r="K3" s="74">
        <f>'T&amp;E'!K$8</f>
        <v>2</v>
      </c>
      <c r="L3" s="74">
        <f>'T&amp;E'!L$8</f>
        <v>3</v>
      </c>
      <c r="M3" s="74">
        <f>'T&amp;E'!M$8</f>
        <v>4</v>
      </c>
      <c r="N3" s="74">
        <f>'T&amp;E'!N$8</f>
        <v>5</v>
      </c>
      <c r="O3" s="74">
        <f>'T&amp;E'!O$8</f>
        <v>6</v>
      </c>
      <c r="P3" s="74">
        <f>'T&amp;E'!P$8</f>
        <v>7</v>
      </c>
      <c r="Q3" s="74">
        <f>'T&amp;E'!Q$8</f>
        <v>8</v>
      </c>
      <c r="R3" s="74">
        <f>'T&amp;E'!R$8</f>
        <v>9</v>
      </c>
      <c r="S3" s="74">
        <f>'T&amp;E'!S$8</f>
        <v>10</v>
      </c>
      <c r="T3" s="74">
        <f>'T&amp;E'!T$8</f>
        <v>11</v>
      </c>
      <c r="U3" s="74">
        <f>'T&amp;E'!U$8</f>
        <v>12</v>
      </c>
      <c r="V3" s="74">
        <f>'T&amp;E'!V$8</f>
        <v>13</v>
      </c>
      <c r="W3" s="74">
        <f>'T&amp;E'!W$8</f>
        <v>14</v>
      </c>
      <c r="X3" s="74">
        <f>'T&amp;E'!X$8</f>
        <v>15</v>
      </c>
      <c r="Y3" s="74">
        <f>'T&amp;E'!Y$8</f>
        <v>16</v>
      </c>
      <c r="Z3" s="74">
        <f>'T&amp;E'!Z$8</f>
        <v>17</v>
      </c>
      <c r="AA3" s="74">
        <f>'T&amp;E'!AA$8</f>
        <v>18</v>
      </c>
      <c r="AB3" s="74">
        <f>'T&amp;E'!AB$8</f>
        <v>19</v>
      </c>
      <c r="AC3" s="74">
        <f>'T&amp;E'!AC$8</f>
        <v>20</v>
      </c>
      <c r="AD3" s="74">
        <f>'T&amp;E'!AD$8</f>
        <v>21</v>
      </c>
      <c r="AE3" s="74">
        <f>'T&amp;E'!AE$8</f>
        <v>22</v>
      </c>
      <c r="AF3" s="74">
        <f>'T&amp;E'!AF$8</f>
        <v>23</v>
      </c>
      <c r="AG3" s="74">
        <f>'T&amp;E'!AG$8</f>
        <v>24</v>
      </c>
      <c r="AH3" s="74">
        <f>'T&amp;E'!AH$8</f>
        <v>25</v>
      </c>
      <c r="AI3" s="74">
        <f>'T&amp;E'!AI$8</f>
        <v>26</v>
      </c>
      <c r="AJ3" s="74">
        <f>'T&amp;E'!AJ$8</f>
        <v>27</v>
      </c>
      <c r="AK3" s="74">
        <f>'T&amp;E'!AK$8</f>
        <v>28</v>
      </c>
      <c r="AL3" s="74">
        <f>'T&amp;E'!AL$8</f>
        <v>29</v>
      </c>
      <c r="AM3" s="74">
        <f>'T&amp;E'!AM$8</f>
        <v>30</v>
      </c>
      <c r="AN3" s="74">
        <f>'T&amp;E'!AN$8</f>
        <v>31</v>
      </c>
      <c r="AO3" s="74">
        <f>'T&amp;E'!AO$8</f>
        <v>32</v>
      </c>
      <c r="AP3" s="74">
        <f>'T&amp;E'!AP$8</f>
        <v>33</v>
      </c>
      <c r="AQ3" s="74">
        <f>'T&amp;E'!AQ$8</f>
        <v>34</v>
      </c>
      <c r="AR3" s="74">
        <f>'T&amp;E'!AR$8</f>
        <v>35</v>
      </c>
      <c r="AS3" s="74">
        <f>'T&amp;E'!AS$8</f>
        <v>36</v>
      </c>
      <c r="AT3" s="74">
        <f>'T&amp;E'!AT$8</f>
        <v>37</v>
      </c>
      <c r="AU3" s="74">
        <f>'T&amp;E'!AU$8</f>
        <v>38</v>
      </c>
      <c r="AV3" s="74">
        <f>'T&amp;E'!AV$8</f>
        <v>39</v>
      </c>
      <c r="AW3" s="74">
        <f>'T&amp;E'!AW$8</f>
        <v>40</v>
      </c>
      <c r="AX3" s="74">
        <f>'T&amp;E'!AX$8</f>
        <v>41</v>
      </c>
      <c r="AY3" s="74">
        <f>'T&amp;E'!AY$8</f>
        <v>42</v>
      </c>
      <c r="AZ3" s="74">
        <f>'T&amp;E'!AZ$8</f>
        <v>43</v>
      </c>
      <c r="BA3" s="74">
        <f>'T&amp;E'!BA$8</f>
        <v>44</v>
      </c>
      <c r="BB3" s="74">
        <f>'T&amp;E'!BB$8</f>
        <v>45</v>
      </c>
      <c r="BC3" s="74">
        <f>'T&amp;E'!BC$8</f>
        <v>46</v>
      </c>
      <c r="BD3" s="74">
        <f>'T&amp;E'!BD$8</f>
        <v>47</v>
      </c>
      <c r="BE3" s="74">
        <f>'T&amp;E'!BE$8</f>
        <v>48</v>
      </c>
      <c r="BF3" s="74">
        <f>'T&amp;E'!BF$8</f>
        <v>49</v>
      </c>
      <c r="BG3" s="74">
        <f>'T&amp;E'!BG$8</f>
        <v>50</v>
      </c>
      <c r="BH3" s="74">
        <f>'T&amp;E'!BH$8</f>
        <v>51</v>
      </c>
      <c r="BI3" s="74">
        <f>'T&amp;E'!BI$8</f>
        <v>52</v>
      </c>
      <c r="BJ3" s="74">
        <f>'T&amp;E'!BJ$8</f>
        <v>53</v>
      </c>
      <c r="BK3" s="74">
        <f>'T&amp;E'!BK$8</f>
        <v>54</v>
      </c>
      <c r="BL3" s="74">
        <f>'T&amp;E'!BL$8</f>
        <v>55</v>
      </c>
      <c r="BM3" s="74">
        <f>'T&amp;E'!BM$8</f>
        <v>56</v>
      </c>
      <c r="BN3" s="74">
        <f>'T&amp;E'!BN$8</f>
        <v>57</v>
      </c>
      <c r="BO3" s="74">
        <f>'T&amp;E'!BO$8</f>
        <v>58</v>
      </c>
      <c r="BP3" s="74">
        <f>'T&amp;E'!BP$8</f>
        <v>59</v>
      </c>
      <c r="BQ3" s="74">
        <f>'T&amp;E'!BQ$8</f>
        <v>60</v>
      </c>
      <c r="BR3" s="74">
        <f>'T&amp;E'!BR$8</f>
        <v>61</v>
      </c>
      <c r="BS3" s="74">
        <f>'T&amp;E'!BS$8</f>
        <v>62</v>
      </c>
      <c r="BT3" s="74">
        <f>'T&amp;E'!BT$8</f>
        <v>63</v>
      </c>
      <c r="BU3" s="74">
        <f>'T&amp;E'!BU$8</f>
        <v>64</v>
      </c>
      <c r="BV3" s="74">
        <f>'T&amp;E'!BV$8</f>
        <v>65</v>
      </c>
      <c r="BW3" s="74">
        <f>'T&amp;E'!BW$8</f>
        <v>66</v>
      </c>
      <c r="BX3" s="74">
        <f>'T&amp;E'!BX$8</f>
        <v>67</v>
      </c>
      <c r="BY3" s="74">
        <f>'T&amp;E'!BY$8</f>
        <v>68</v>
      </c>
      <c r="BZ3" s="74">
        <f>'T&amp;E'!BZ$8</f>
        <v>69</v>
      </c>
      <c r="CA3" s="74">
        <f>'T&amp;E'!CA$8</f>
        <v>70</v>
      </c>
    </row>
    <row r="4" spans="1:79" s="78" customFormat="1" x14ac:dyDescent="0.2">
      <c r="C4" s="79"/>
      <c r="D4" s="80"/>
      <c r="E4" s="78" t="str">
        <f>'T&amp;E'!E$12</f>
        <v>Model period ending</v>
      </c>
      <c r="F4" s="80" t="str">
        <f>'T&amp;E'!F$12</f>
        <v>constant</v>
      </c>
      <c r="G4" s="78" t="str">
        <f>'T&amp;E'!G$12</f>
        <v>unit</v>
      </c>
      <c r="H4" s="80" t="str">
        <f>'T&amp;E'!H$12</f>
        <v>total</v>
      </c>
      <c r="J4" s="78">
        <f>'T&amp;E'!J$12</f>
        <v>41639</v>
      </c>
      <c r="K4" s="78">
        <f>'T&amp;E'!K$12</f>
        <v>41820</v>
      </c>
      <c r="L4" s="78">
        <f>'T&amp;E'!L$12</f>
        <v>42004</v>
      </c>
      <c r="M4" s="78">
        <f>'T&amp;E'!M$12</f>
        <v>42185</v>
      </c>
      <c r="N4" s="78">
        <f>'T&amp;E'!N$12</f>
        <v>42369</v>
      </c>
      <c r="O4" s="78">
        <f>'T&amp;E'!O$12</f>
        <v>42551</v>
      </c>
      <c r="P4" s="78">
        <f>'T&amp;E'!P$12</f>
        <v>42735</v>
      </c>
      <c r="Q4" s="78">
        <f>'T&amp;E'!Q$12</f>
        <v>42916</v>
      </c>
      <c r="R4" s="78">
        <f>'T&amp;E'!R$12</f>
        <v>43100</v>
      </c>
      <c r="S4" s="78">
        <f>'T&amp;E'!S$12</f>
        <v>43281</v>
      </c>
      <c r="T4" s="78">
        <f>'T&amp;E'!T$12</f>
        <v>43465</v>
      </c>
      <c r="U4" s="78">
        <f>'T&amp;E'!U$12</f>
        <v>43646</v>
      </c>
      <c r="V4" s="78">
        <f>'T&amp;E'!V$12</f>
        <v>43830</v>
      </c>
      <c r="W4" s="78">
        <f>'T&amp;E'!W$12</f>
        <v>44012</v>
      </c>
      <c r="X4" s="78">
        <f>'T&amp;E'!X$12</f>
        <v>44196</v>
      </c>
      <c r="Y4" s="78">
        <f>'T&amp;E'!Y$12</f>
        <v>44377</v>
      </c>
      <c r="Z4" s="78">
        <f>'T&amp;E'!Z$12</f>
        <v>44561</v>
      </c>
      <c r="AA4" s="78">
        <f>'T&amp;E'!AA$12</f>
        <v>44742</v>
      </c>
      <c r="AB4" s="78">
        <f>'T&amp;E'!AB$12</f>
        <v>44926</v>
      </c>
      <c r="AC4" s="78">
        <f>'T&amp;E'!AC$12</f>
        <v>45107</v>
      </c>
      <c r="AD4" s="78">
        <f>'T&amp;E'!AD$12</f>
        <v>45291</v>
      </c>
      <c r="AE4" s="78">
        <f>'T&amp;E'!AE$12</f>
        <v>45473</v>
      </c>
      <c r="AF4" s="78">
        <f>'T&amp;E'!AF$12</f>
        <v>45657</v>
      </c>
      <c r="AG4" s="78">
        <f>'T&amp;E'!AG$12</f>
        <v>45838</v>
      </c>
      <c r="AH4" s="78">
        <f>'T&amp;E'!AH$12</f>
        <v>46022</v>
      </c>
      <c r="AI4" s="78">
        <f>'T&amp;E'!AI$12</f>
        <v>46203</v>
      </c>
      <c r="AJ4" s="78">
        <f>'T&amp;E'!AJ$12</f>
        <v>46387</v>
      </c>
      <c r="AK4" s="78">
        <f>'T&amp;E'!AK$12</f>
        <v>46568</v>
      </c>
      <c r="AL4" s="78">
        <f>'T&amp;E'!AL$12</f>
        <v>46752</v>
      </c>
      <c r="AM4" s="78">
        <f>'T&amp;E'!AM$12</f>
        <v>46934</v>
      </c>
      <c r="AN4" s="78">
        <f>'T&amp;E'!AN$12</f>
        <v>47118</v>
      </c>
      <c r="AO4" s="78">
        <f>'T&amp;E'!AO$12</f>
        <v>47299</v>
      </c>
      <c r="AP4" s="78">
        <f>'T&amp;E'!AP$12</f>
        <v>47483</v>
      </c>
      <c r="AQ4" s="78">
        <f>'T&amp;E'!AQ$12</f>
        <v>47664</v>
      </c>
      <c r="AR4" s="78">
        <f>'T&amp;E'!AR$12</f>
        <v>47848</v>
      </c>
      <c r="AS4" s="78">
        <f>'T&amp;E'!AS$12</f>
        <v>48029</v>
      </c>
      <c r="AT4" s="78">
        <f>'T&amp;E'!AT$12</f>
        <v>48213</v>
      </c>
      <c r="AU4" s="78">
        <f>'T&amp;E'!AU$12</f>
        <v>48395</v>
      </c>
      <c r="AV4" s="78">
        <f>'T&amp;E'!AV$12</f>
        <v>48579</v>
      </c>
      <c r="AW4" s="78">
        <f>'T&amp;E'!AW$12</f>
        <v>48760</v>
      </c>
      <c r="AX4" s="78">
        <f>'T&amp;E'!AX$12</f>
        <v>48944</v>
      </c>
      <c r="AY4" s="78">
        <f>'T&amp;E'!AY$12</f>
        <v>49125</v>
      </c>
      <c r="AZ4" s="78">
        <f>'T&amp;E'!AZ$12</f>
        <v>49309</v>
      </c>
      <c r="BA4" s="78">
        <f>'T&amp;E'!BA$12</f>
        <v>49490</v>
      </c>
      <c r="BB4" s="78">
        <f>'T&amp;E'!BB$12</f>
        <v>49674</v>
      </c>
      <c r="BC4" s="78">
        <f>'T&amp;E'!BC$12</f>
        <v>49856</v>
      </c>
      <c r="BD4" s="78">
        <f>'T&amp;E'!BD$12</f>
        <v>50040</v>
      </c>
      <c r="BE4" s="78">
        <f>'T&amp;E'!BE$12</f>
        <v>50221</v>
      </c>
      <c r="BF4" s="78">
        <f>'T&amp;E'!BF$12</f>
        <v>50405</v>
      </c>
      <c r="BG4" s="78">
        <f>'T&amp;E'!BG$12</f>
        <v>50586</v>
      </c>
      <c r="BH4" s="78">
        <f>'T&amp;E'!BH$12</f>
        <v>50770</v>
      </c>
      <c r="BI4" s="78">
        <f>'T&amp;E'!BI$12</f>
        <v>50951</v>
      </c>
      <c r="BJ4" s="78">
        <f>'T&amp;E'!BJ$12</f>
        <v>51135</v>
      </c>
      <c r="BK4" s="78">
        <f>'T&amp;E'!BK$12</f>
        <v>51317</v>
      </c>
      <c r="BL4" s="78">
        <f>'T&amp;E'!BL$12</f>
        <v>51501</v>
      </c>
      <c r="BM4" s="78">
        <f>'T&amp;E'!BM$12</f>
        <v>51682</v>
      </c>
      <c r="BN4" s="78">
        <f>'T&amp;E'!BN$12</f>
        <v>51866</v>
      </c>
      <c r="BO4" s="78">
        <f>'T&amp;E'!BO$12</f>
        <v>52047</v>
      </c>
      <c r="BP4" s="78">
        <f>'T&amp;E'!BP$12</f>
        <v>52231</v>
      </c>
      <c r="BQ4" s="78">
        <f>'T&amp;E'!BQ$12</f>
        <v>52412</v>
      </c>
      <c r="BR4" s="78">
        <f>'T&amp;E'!BR$12</f>
        <v>52596</v>
      </c>
      <c r="BS4" s="78">
        <f>'T&amp;E'!BS$12</f>
        <v>52778</v>
      </c>
      <c r="BT4" s="78">
        <f>'T&amp;E'!BT$12</f>
        <v>52962</v>
      </c>
      <c r="BU4" s="78">
        <f>'T&amp;E'!BU$12</f>
        <v>53143</v>
      </c>
      <c r="BV4" s="78">
        <f>'T&amp;E'!BV$12</f>
        <v>53327</v>
      </c>
      <c r="BW4" s="78">
        <f>'T&amp;E'!BW$12</f>
        <v>53508</v>
      </c>
      <c r="BX4" s="78">
        <f>'T&amp;E'!BX$12</f>
        <v>53692</v>
      </c>
      <c r="BY4" s="78">
        <f>'T&amp;E'!BY$12</f>
        <v>53873</v>
      </c>
      <c r="BZ4" s="78">
        <f>'T&amp;E'!BZ$12</f>
        <v>54057</v>
      </c>
      <c r="CA4" s="78">
        <f>'T&amp;E'!CA$12</f>
        <v>54239</v>
      </c>
    </row>
    <row r="6" spans="1:79" x14ac:dyDescent="0.2">
      <c r="A6" s="81" t="s">
        <v>14</v>
      </c>
    </row>
    <row r="8" spans="1:79" s="90" customFormat="1" x14ac:dyDescent="0.2">
      <c r="A8" s="82"/>
      <c r="B8" s="82"/>
      <c r="C8" s="83"/>
      <c r="D8" s="89"/>
      <c r="E8" s="90" t="str">
        <f>Rev!E$114</f>
        <v>Operating revenue</v>
      </c>
      <c r="G8" s="90" t="str">
        <f>Rev!G$114</f>
        <v>€ 000s</v>
      </c>
      <c r="H8" s="90">
        <f>Rev!H$114</f>
        <v>2496071.6230094829</v>
      </c>
      <c r="J8" s="90">
        <f>Rev!J$114</f>
        <v>0</v>
      </c>
      <c r="K8" s="90">
        <f>Rev!K$114</f>
        <v>0</v>
      </c>
      <c r="L8" s="90">
        <f>Rev!L$114</f>
        <v>0</v>
      </c>
      <c r="M8" s="90">
        <f>Rev!M$114</f>
        <v>0</v>
      </c>
      <c r="N8" s="90">
        <f>Rev!N$114</f>
        <v>0</v>
      </c>
      <c r="O8" s="90">
        <f>Rev!O$114</f>
        <v>28320.769635156234</v>
      </c>
      <c r="P8" s="90">
        <f>Rev!P$114</f>
        <v>28958.426471637678</v>
      </c>
      <c r="Q8" s="90">
        <f>Rev!Q$114</f>
        <v>30091.227628847631</v>
      </c>
      <c r="R8" s="90">
        <f>Rev!R$114</f>
        <v>27748.148997131044</v>
      </c>
      <c r="S8" s="90">
        <f>Rev!S$114</f>
        <v>28613.131574876927</v>
      </c>
      <c r="T8" s="90">
        <f>Rev!T$114</f>
        <v>28339.057848639008</v>
      </c>
      <c r="U8" s="90">
        <f>Rev!U$114</f>
        <v>29106.24846271659</v>
      </c>
      <c r="V8" s="90">
        <f>Rev!V$114</f>
        <v>29106.974544247565</v>
      </c>
      <c r="W8" s="90">
        <f>Rev!W$114</f>
        <v>29838.907301767311</v>
      </c>
      <c r="X8" s="90">
        <f>Rev!X$114</f>
        <v>30560.848165026353</v>
      </c>
      <c r="Y8" s="90">
        <f>Rev!Y$114</f>
        <v>31263.545256796431</v>
      </c>
      <c r="Z8" s="90">
        <f>Rev!Z$114</f>
        <v>31113.243733315645</v>
      </c>
      <c r="AA8" s="90">
        <f>Rev!AA$114</f>
        <v>31830.879261692833</v>
      </c>
      <c r="AB8" s="90">
        <f>Rev!AB$114</f>
        <v>31891.074826648532</v>
      </c>
      <c r="AC8" s="90">
        <f>Rev!AC$114</f>
        <v>32626.651243235148</v>
      </c>
      <c r="AD8" s="90">
        <f>Rev!AD$114</f>
        <v>33366.213497050572</v>
      </c>
      <c r="AE8" s="90">
        <f>Rev!AE$114</f>
        <v>34164.980293150256</v>
      </c>
      <c r="AF8" s="90">
        <f>Rev!AF$114</f>
        <v>34200.368834476823</v>
      </c>
      <c r="AG8" s="90">
        <f>Rev!AG$114</f>
        <v>35019.104800479006</v>
      </c>
      <c r="AH8" s="90">
        <f>Rev!AH$114</f>
        <v>35055.378055338733</v>
      </c>
      <c r="AI8" s="90">
        <f>Rev!AI$114</f>
        <v>35894.582420490966</v>
      </c>
      <c r="AJ8" s="90">
        <f>Rev!AJ$114</f>
        <v>35931.762506722189</v>
      </c>
      <c r="AK8" s="90">
        <f>Rev!AK$114</f>
        <v>36791.946981003231</v>
      </c>
      <c r="AL8" s="90">
        <f>Rev!AL$114</f>
        <v>36830.056569390239</v>
      </c>
      <c r="AM8" s="90">
        <f>Rev!AM$114</f>
        <v>37711.745655528306</v>
      </c>
      <c r="AN8" s="90">
        <f>Rev!AN$114</f>
        <v>38259.00268752328</v>
      </c>
      <c r="AO8" s="90">
        <f>Rev!AO$114</f>
        <v>39210.207854456828</v>
      </c>
      <c r="AP8" s="90">
        <f>Rev!AP$114</f>
        <v>39215.477754711355</v>
      </c>
      <c r="AQ8" s="90">
        <f>Rev!AQ$114</f>
        <v>40190.463050818231</v>
      </c>
      <c r="AR8" s="90">
        <f>Rev!AR$114</f>
        <v>40195.86469857912</v>
      </c>
      <c r="AS8" s="90">
        <f>Rev!AS$114</f>
        <v>41195.224627088675</v>
      </c>
      <c r="AT8" s="90">
        <f>Rev!AT$114</f>
        <v>41200.761316043587</v>
      </c>
      <c r="AU8" s="90">
        <f>Rev!AU$114</f>
        <v>42225.105242765872</v>
      </c>
      <c r="AV8" s="90">
        <f>Rev!AV$114</f>
        <v>42230.780348944667</v>
      </c>
      <c r="AW8" s="90">
        <f>Rev!AW$114</f>
        <v>43280.732873835012</v>
      </c>
      <c r="AX8" s="90">
        <f>Rev!AX$114</f>
        <v>44074.759350530898</v>
      </c>
      <c r="AY8" s="90">
        <f>Rev!AY$114</f>
        <v>45207.321965486022</v>
      </c>
      <c r="AZ8" s="90">
        <f>Rev!AZ$114</f>
        <v>45176.628334294161</v>
      </c>
      <c r="BA8" s="90">
        <f>Rev!BA$114</f>
        <v>46337.505014623166</v>
      </c>
      <c r="BB8" s="90">
        <f>Rev!BB$114</f>
        <v>46306.044042651505</v>
      </c>
      <c r="BC8" s="90">
        <f>Rev!BC$114</f>
        <v>47495.942639988731</v>
      </c>
      <c r="BD8" s="90">
        <f>Rev!BD$114</f>
        <v>47463.695143717778</v>
      </c>
      <c r="BE8" s="90">
        <f>Rev!BE$114</f>
        <v>48683.341205988429</v>
      </c>
      <c r="BF8" s="90">
        <f>Rev!BF$114</f>
        <v>48470.767838953594</v>
      </c>
      <c r="BG8" s="90">
        <f>Rev!BG$114</f>
        <v>49718.674909094319</v>
      </c>
      <c r="BH8" s="90">
        <f>Rev!BH$114</f>
        <v>49682.537034927424</v>
      </c>
      <c r="BI8" s="90">
        <f>Rev!BI$114</f>
        <v>49064.834495946321</v>
      </c>
      <c r="BJ8" s="90">
        <f>Rev!BJ$114</f>
        <v>52656.363606258179</v>
      </c>
      <c r="BK8" s="90">
        <f>Rev!BK$114</f>
        <v>50100.504446307066</v>
      </c>
      <c r="BL8" s="90">
        <f>Rev!BL$114</f>
        <v>53972.772696414628</v>
      </c>
      <c r="BM8" s="90">
        <f>Rev!BM$114</f>
        <v>51353.01705746472</v>
      </c>
      <c r="BN8" s="90">
        <f>Rev!BN$114</f>
        <v>55322.092013824978</v>
      </c>
      <c r="BO8" s="90">
        <f>Rev!BO$114</f>
        <v>52636.842483901331</v>
      </c>
      <c r="BP8" s="90">
        <f>Rev!BP$114</f>
        <v>56705.144314170589</v>
      </c>
      <c r="BQ8" s="90">
        <f>Rev!BQ$114</f>
        <v>53952.763545998852</v>
      </c>
      <c r="BR8" s="90">
        <f>Rev!BR$114</f>
        <v>56003.042643330555</v>
      </c>
      <c r="BS8" s="90">
        <f>Rev!BS$114</f>
        <v>57447.645976158958</v>
      </c>
      <c r="BT8" s="90">
        <f>Rev!BT$114</f>
        <v>58161.308693212399</v>
      </c>
      <c r="BU8" s="90">
        <f>Rev!BU$114</f>
        <v>58883.837125562917</v>
      </c>
      <c r="BV8" s="90">
        <f>Rev!BV$114</f>
        <v>59615.341410542693</v>
      </c>
      <c r="BW8" s="90">
        <f>Rev!BW$114</f>
        <v>0</v>
      </c>
      <c r="BX8" s="90">
        <f>Rev!BX$114</f>
        <v>0</v>
      </c>
      <c r="BY8" s="90">
        <f>Rev!BY$114</f>
        <v>0</v>
      </c>
      <c r="BZ8" s="90">
        <f>Rev!BZ$114</f>
        <v>0</v>
      </c>
      <c r="CA8" s="90">
        <f>Rev!CA$114</f>
        <v>0</v>
      </c>
    </row>
    <row r="9" spans="1:79" s="90" customFormat="1" x14ac:dyDescent="0.2">
      <c r="A9" s="82"/>
      <c r="B9" s="82"/>
      <c r="C9" s="83"/>
      <c r="D9" s="89"/>
      <c r="E9" s="90" t="str">
        <f>Opex!E$34</f>
        <v>Operating costs</v>
      </c>
      <c r="G9" s="90" t="str">
        <f>Opex!G$34</f>
        <v>€ 000s</v>
      </c>
      <c r="H9" s="90">
        <f>Opex!H$34</f>
        <v>-560672.48116026679</v>
      </c>
      <c r="J9" s="90">
        <f>Opex!J$34</f>
        <v>0</v>
      </c>
      <c r="K9" s="90">
        <f>Opex!K$34</f>
        <v>0</v>
      </c>
      <c r="L9" s="90">
        <f>Opex!L$34</f>
        <v>0</v>
      </c>
      <c r="M9" s="90">
        <f>Opex!M$34</f>
        <v>0</v>
      </c>
      <c r="N9" s="90">
        <f>Opex!N$34</f>
        <v>0</v>
      </c>
      <c r="O9" s="90">
        <f>Opex!O$34</f>
        <v>-6684.7066249999962</v>
      </c>
      <c r="P9" s="90">
        <f>Opex!P$34</f>
        <v>-6680.9536206912626</v>
      </c>
      <c r="Q9" s="90">
        <f>Opex!Q$34</f>
        <v>-6939.6985656249954</v>
      </c>
      <c r="R9" s="90">
        <f>Opex!R$34</f>
        <v>-6469.8722894927132</v>
      </c>
      <c r="S9" s="90">
        <f>Opex!S$34</f>
        <v>-6700.3650086718681</v>
      </c>
      <c r="T9" s="90">
        <f>Opex!T$34</f>
        <v>-6688.612890996018</v>
      </c>
      <c r="U9" s="90">
        <f>Opex!U$34</f>
        <v>-6925.575952746085</v>
      </c>
      <c r="V9" s="90">
        <f>Opex!V$34</f>
        <v>-6801.304150089788</v>
      </c>
      <c r="W9" s="90">
        <f>Opex!W$34</f>
        <v>-7043.5139448578011</v>
      </c>
      <c r="X9" s="90">
        <f>Opex!X$34</f>
        <v>-7031.2158589427345</v>
      </c>
      <c r="Y9" s="90">
        <f>Opex!Y$34</f>
        <v>-7280.2247669163235</v>
      </c>
      <c r="Z9" s="90">
        <f>Opex!Z$34</f>
        <v>-7170.170605779369</v>
      </c>
      <c r="AA9" s="90">
        <f>Opex!AA$34</f>
        <v>-7424.947257425426</v>
      </c>
      <c r="AB9" s="90">
        <f>Opex!AB$34</f>
        <v>-7349.4248709238509</v>
      </c>
      <c r="AC9" s="90">
        <f>Opex!AC$34</f>
        <v>-7610.5709388610594</v>
      </c>
      <c r="AD9" s="90">
        <f>Opex!AD$34</f>
        <v>-7533.1604926969439</v>
      </c>
      <c r="AE9" s="90">
        <f>Opex!AE$34</f>
        <v>-7800.8352123325831</v>
      </c>
      <c r="AF9" s="90">
        <f>Opex!AF$34</f>
        <v>-7721.489505014365</v>
      </c>
      <c r="AG9" s="90">
        <f>Opex!AG$34</f>
        <v>-7995.8560926408963</v>
      </c>
      <c r="AH9" s="90">
        <f>Opex!AH$34</f>
        <v>-7914.5267426397222</v>
      </c>
      <c r="AI9" s="90">
        <f>Opex!AI$34</f>
        <v>-8195.7524949569161</v>
      </c>
      <c r="AJ9" s="90">
        <f>Opex!AJ$34</f>
        <v>-8112.3899112057125</v>
      </c>
      <c r="AK9" s="90">
        <f>Opex!AK$34</f>
        <v>-8400.646307330835</v>
      </c>
      <c r="AL9" s="90">
        <f>Opex!AL$34</f>
        <v>-8315.1996589858518</v>
      </c>
      <c r="AM9" s="90">
        <f>Opex!AM$34</f>
        <v>-8610.6624650141039</v>
      </c>
      <c r="AN9" s="90">
        <f>Opex!AN$34</f>
        <v>-8523.079650460495</v>
      </c>
      <c r="AO9" s="90">
        <f>Opex!AO$34</f>
        <v>-8825.9290266394528</v>
      </c>
      <c r="AP9" s="90">
        <f>Opex!AP$34</f>
        <v>-8736.1566417220056</v>
      </c>
      <c r="AQ9" s="90">
        <f>Opex!AQ$34</f>
        <v>-9046.5772523054366</v>
      </c>
      <c r="AR9" s="90">
        <f>Opex!AR$34</f>
        <v>-8954.5605577650531</v>
      </c>
      <c r="AS9" s="90">
        <f>Opex!AS$34</f>
        <v>-9272.7416836130706</v>
      </c>
      <c r="AT9" s="90">
        <f>Opex!AT$34</f>
        <v>-9178.4245717091762</v>
      </c>
      <c r="AU9" s="90">
        <f>Opex!AU$34</f>
        <v>-9504.5602257033952</v>
      </c>
      <c r="AV9" s="90">
        <f>Opex!AV$34</f>
        <v>-9407.885186001904</v>
      </c>
      <c r="AW9" s="90">
        <f>Opex!AW$34</f>
        <v>-9742.1742313459763</v>
      </c>
      <c r="AX9" s="90">
        <f>Opex!AX$34</f>
        <v>-9643.0823156519491</v>
      </c>
      <c r="AY9" s="90">
        <f>Opex!AY$34</f>
        <v>-9985.7285871296226</v>
      </c>
      <c r="AZ9" s="90">
        <f>Opex!AZ$34</f>
        <v>-9884.1593735432434</v>
      </c>
      <c r="BA9" s="90">
        <f>Opex!BA$34</f>
        <v>-10235.371801807862</v>
      </c>
      <c r="BB9" s="90">
        <f>Opex!BB$34</f>
        <v>-10131.263357881822</v>
      </c>
      <c r="BC9" s="90">
        <f>Opex!BC$34</f>
        <v>-10491.256096853054</v>
      </c>
      <c r="BD9" s="90">
        <f>Opex!BD$34</f>
        <v>-10384.544941828864</v>
      </c>
      <c r="BE9" s="90">
        <f>Opex!BE$34</f>
        <v>-10753.537499274376</v>
      </c>
      <c r="BF9" s="90">
        <f>Opex!BF$34</f>
        <v>-10644.158565374582</v>
      </c>
      <c r="BG9" s="90">
        <f>Opex!BG$34</f>
        <v>-11022.375936756232</v>
      </c>
      <c r="BH9" s="90">
        <f>Opex!BH$34</f>
        <v>-10910.262529508944</v>
      </c>
      <c r="BI9" s="90">
        <f>Opex!BI$34</f>
        <v>-11045.798937803323</v>
      </c>
      <c r="BJ9" s="90">
        <f>Opex!BJ$34</f>
        <v>-11438.287739375324</v>
      </c>
      <c r="BK9" s="90">
        <f>Opex!BK$34</f>
        <v>-11321.943911248403</v>
      </c>
      <c r="BL9" s="90">
        <f>Opex!BL$34</f>
        <v>-11724.244932859703</v>
      </c>
      <c r="BM9" s="90">
        <f>Opex!BM$34</f>
        <v>-11604.992509029613</v>
      </c>
      <c r="BN9" s="90">
        <f>Opex!BN$34</f>
        <v>-12017.351056181191</v>
      </c>
      <c r="BO9" s="90">
        <f>Opex!BO$34</f>
        <v>-11895.117321755348</v>
      </c>
      <c r="BP9" s="90">
        <f>Opex!BP$34</f>
        <v>-12317.784832585723</v>
      </c>
      <c r="BQ9" s="90">
        <f>Opex!BQ$34</f>
        <v>-12192.495254799231</v>
      </c>
      <c r="BR9" s="90">
        <f>Opex!BR$34</f>
        <v>-12343.96063067925</v>
      </c>
      <c r="BS9" s="90">
        <f>Opex!BS$34</f>
        <v>-12782.576826924331</v>
      </c>
      <c r="BT9" s="90">
        <f>Opex!BT$34</f>
        <v>-12941.372689735366</v>
      </c>
      <c r="BU9" s="90">
        <f>Opex!BU$34</f>
        <v>-13102.141247597436</v>
      </c>
      <c r="BV9" s="90">
        <f>Opex!BV$34</f>
        <v>-13264.907006978749</v>
      </c>
      <c r="BW9" s="90">
        <f>Opex!BW$34</f>
        <v>0</v>
      </c>
      <c r="BX9" s="90">
        <f>Opex!BX$34</f>
        <v>0</v>
      </c>
      <c r="BY9" s="90">
        <f>Opex!BY$34</f>
        <v>0</v>
      </c>
      <c r="BZ9" s="90">
        <f>Opex!BZ$34</f>
        <v>0</v>
      </c>
      <c r="CA9" s="90">
        <f>Opex!CA$34</f>
        <v>0</v>
      </c>
    </row>
    <row r="10" spans="1:79" s="85" customFormat="1" x14ac:dyDescent="0.2">
      <c r="A10" s="81"/>
      <c r="B10" s="82"/>
      <c r="C10" s="83"/>
      <c r="D10" s="84"/>
      <c r="E10" s="135" t="s">
        <v>42</v>
      </c>
      <c r="G10" s="85" t="str">
        <f xml:space="preserve"> SMU</f>
        <v>€ 000s</v>
      </c>
      <c r="H10" s="85">
        <f>SUM(J10:CA10)</f>
        <v>1935399.1418492154</v>
      </c>
      <c r="J10" s="114">
        <f>SUM(J8:J9)</f>
        <v>0</v>
      </c>
      <c r="K10" s="114">
        <f t="shared" ref="K10:BV10" si="0">SUM(K8:K9)</f>
        <v>0</v>
      </c>
      <c r="L10" s="114">
        <f t="shared" si="0"/>
        <v>0</v>
      </c>
      <c r="M10" s="114">
        <f t="shared" si="0"/>
        <v>0</v>
      </c>
      <c r="N10" s="114">
        <f t="shared" si="0"/>
        <v>0</v>
      </c>
      <c r="O10" s="114">
        <f t="shared" si="0"/>
        <v>21636.063010156238</v>
      </c>
      <c r="P10" s="114">
        <f t="shared" si="0"/>
        <v>22277.472850946415</v>
      </c>
      <c r="Q10" s="114">
        <f t="shared" si="0"/>
        <v>23151.529063222635</v>
      </c>
      <c r="R10" s="114">
        <f t="shared" si="0"/>
        <v>21278.276707638332</v>
      </c>
      <c r="S10" s="114">
        <f t="shared" si="0"/>
        <v>21912.766566205057</v>
      </c>
      <c r="T10" s="114">
        <f t="shared" si="0"/>
        <v>21650.444957642991</v>
      </c>
      <c r="U10" s="114">
        <f t="shared" si="0"/>
        <v>22180.672509970507</v>
      </c>
      <c r="V10" s="114">
        <f t="shared" si="0"/>
        <v>22305.670394157776</v>
      </c>
      <c r="W10" s="114">
        <f t="shared" si="0"/>
        <v>22795.39335690951</v>
      </c>
      <c r="X10" s="114">
        <f t="shared" si="0"/>
        <v>23529.632306083618</v>
      </c>
      <c r="Y10" s="114">
        <f t="shared" si="0"/>
        <v>23983.320489880109</v>
      </c>
      <c r="Z10" s="114">
        <f t="shared" si="0"/>
        <v>23943.073127536278</v>
      </c>
      <c r="AA10" s="114">
        <f t="shared" si="0"/>
        <v>24405.932004267408</v>
      </c>
      <c r="AB10" s="114">
        <f t="shared" si="0"/>
        <v>24541.649955724679</v>
      </c>
      <c r="AC10" s="114">
        <f t="shared" si="0"/>
        <v>25016.080304374089</v>
      </c>
      <c r="AD10" s="114">
        <f t="shared" si="0"/>
        <v>25833.053004353627</v>
      </c>
      <c r="AE10" s="114">
        <f t="shared" si="0"/>
        <v>26364.145080817674</v>
      </c>
      <c r="AF10" s="114">
        <f t="shared" si="0"/>
        <v>26478.879329462459</v>
      </c>
      <c r="AG10" s="114">
        <f t="shared" si="0"/>
        <v>27023.248707838109</v>
      </c>
      <c r="AH10" s="114">
        <f t="shared" si="0"/>
        <v>27140.851312699011</v>
      </c>
      <c r="AI10" s="114">
        <f t="shared" si="0"/>
        <v>27698.82992553405</v>
      </c>
      <c r="AJ10" s="114">
        <f t="shared" si="0"/>
        <v>27819.372595516477</v>
      </c>
      <c r="AK10" s="114">
        <f t="shared" si="0"/>
        <v>28391.300673672398</v>
      </c>
      <c r="AL10" s="114">
        <f t="shared" si="0"/>
        <v>28514.856910404385</v>
      </c>
      <c r="AM10" s="114">
        <f t="shared" si="0"/>
        <v>29101.083190514204</v>
      </c>
      <c r="AN10" s="114">
        <f t="shared" si="0"/>
        <v>29735.923037062785</v>
      </c>
      <c r="AO10" s="114">
        <f t="shared" si="0"/>
        <v>30384.278827817376</v>
      </c>
      <c r="AP10" s="114">
        <f t="shared" si="0"/>
        <v>30479.32111298935</v>
      </c>
      <c r="AQ10" s="114">
        <f t="shared" si="0"/>
        <v>31143.885798512794</v>
      </c>
      <c r="AR10" s="114">
        <f t="shared" si="0"/>
        <v>31241.304140814067</v>
      </c>
      <c r="AS10" s="114">
        <f t="shared" si="0"/>
        <v>31922.482943475603</v>
      </c>
      <c r="AT10" s="114">
        <f t="shared" si="0"/>
        <v>32022.33674433441</v>
      </c>
      <c r="AU10" s="114">
        <f t="shared" si="0"/>
        <v>32720.545017062475</v>
      </c>
      <c r="AV10" s="114">
        <f t="shared" si="0"/>
        <v>32822.895162942761</v>
      </c>
      <c r="AW10" s="114">
        <f t="shared" si="0"/>
        <v>33538.558642489035</v>
      </c>
      <c r="AX10" s="114">
        <f t="shared" si="0"/>
        <v>34431.677034878951</v>
      </c>
      <c r="AY10" s="114">
        <f t="shared" si="0"/>
        <v>35221.593378356396</v>
      </c>
      <c r="AZ10" s="114">
        <f t="shared" si="0"/>
        <v>35292.468960750921</v>
      </c>
      <c r="BA10" s="114">
        <f t="shared" si="0"/>
        <v>36102.133212815301</v>
      </c>
      <c r="BB10" s="114">
        <f t="shared" si="0"/>
        <v>36174.780684769685</v>
      </c>
      <c r="BC10" s="114">
        <f t="shared" si="0"/>
        <v>37004.686543135678</v>
      </c>
      <c r="BD10" s="114">
        <f t="shared" si="0"/>
        <v>37079.150201888915</v>
      </c>
      <c r="BE10" s="114">
        <f t="shared" si="0"/>
        <v>37929.803706714054</v>
      </c>
      <c r="BF10" s="114">
        <f t="shared" si="0"/>
        <v>37826.609273579015</v>
      </c>
      <c r="BG10" s="114">
        <f t="shared" si="0"/>
        <v>38696.298972338089</v>
      </c>
      <c r="BH10" s="114">
        <f t="shared" si="0"/>
        <v>38772.274505418478</v>
      </c>
      <c r="BI10" s="114">
        <f t="shared" si="0"/>
        <v>38019.035558142998</v>
      </c>
      <c r="BJ10" s="114">
        <f t="shared" si="0"/>
        <v>41218.075866882857</v>
      </c>
      <c r="BK10" s="114">
        <f t="shared" si="0"/>
        <v>38778.560535058663</v>
      </c>
      <c r="BL10" s="114">
        <f t="shared" si="0"/>
        <v>42248.527763554928</v>
      </c>
      <c r="BM10" s="114">
        <f t="shared" si="0"/>
        <v>39748.024548435103</v>
      </c>
      <c r="BN10" s="114">
        <f t="shared" si="0"/>
        <v>43304.740957643786</v>
      </c>
      <c r="BO10" s="114">
        <f t="shared" si="0"/>
        <v>40741.725162145987</v>
      </c>
      <c r="BP10" s="114">
        <f t="shared" si="0"/>
        <v>44387.359481584863</v>
      </c>
      <c r="BQ10" s="114">
        <f t="shared" si="0"/>
        <v>41760.268291199623</v>
      </c>
      <c r="BR10" s="114">
        <f t="shared" si="0"/>
        <v>43659.082012651306</v>
      </c>
      <c r="BS10" s="114">
        <f t="shared" si="0"/>
        <v>44665.069149234623</v>
      </c>
      <c r="BT10" s="114">
        <f t="shared" si="0"/>
        <v>45219.936003477036</v>
      </c>
      <c r="BU10" s="114">
        <f t="shared" si="0"/>
        <v>45781.695877965481</v>
      </c>
      <c r="BV10" s="114">
        <f t="shared" si="0"/>
        <v>46350.434403563944</v>
      </c>
      <c r="BW10" s="114">
        <f t="shared" ref="BW10:CA10" si="1">SUM(BW8:BW9)</f>
        <v>0</v>
      </c>
      <c r="BX10" s="114">
        <f t="shared" si="1"/>
        <v>0</v>
      </c>
      <c r="BY10" s="114">
        <f t="shared" si="1"/>
        <v>0</v>
      </c>
      <c r="BZ10" s="114">
        <f t="shared" si="1"/>
        <v>0</v>
      </c>
      <c r="CA10" s="114">
        <f t="shared" si="1"/>
        <v>0</v>
      </c>
    </row>
    <row r="12" spans="1:79" s="90" customFormat="1" x14ac:dyDescent="0.2">
      <c r="A12" s="82"/>
      <c r="B12" s="82"/>
      <c r="C12" s="83"/>
      <c r="D12" s="89"/>
      <c r="E12" s="90" t="str">
        <f>FixAsst!E$15</f>
        <v>Book depreciation</v>
      </c>
      <c r="G12" s="90" t="str">
        <f>FixAsst!G$15</f>
        <v>€ 000s</v>
      </c>
      <c r="H12" s="90">
        <f>FixAsst!H$15</f>
        <v>-395404.94468287501</v>
      </c>
      <c r="J12" s="90">
        <f>FixAsst!J$15</f>
        <v>0</v>
      </c>
      <c r="K12" s="90">
        <f>FixAsst!K$15</f>
        <v>0</v>
      </c>
      <c r="L12" s="90">
        <f>FixAsst!L$15</f>
        <v>0</v>
      </c>
      <c r="M12" s="90">
        <f>FixAsst!M$15</f>
        <v>0</v>
      </c>
      <c r="N12" s="90">
        <f>FixAsst!N$15</f>
        <v>0</v>
      </c>
      <c r="O12" s="90">
        <f>FixAsst!O$15</f>
        <v>-7908.0988936574959</v>
      </c>
      <c r="P12" s="90">
        <f>FixAsst!P$15</f>
        <v>-7908.0988936574959</v>
      </c>
      <c r="Q12" s="90">
        <f>FixAsst!Q$15</f>
        <v>-7908.0988936574959</v>
      </c>
      <c r="R12" s="90">
        <f>FixAsst!R$15</f>
        <v>-7908.0988936574959</v>
      </c>
      <c r="S12" s="90">
        <f>FixAsst!S$15</f>
        <v>-7908.0988936574959</v>
      </c>
      <c r="T12" s="90">
        <f>FixAsst!T$15</f>
        <v>-7908.0988936574959</v>
      </c>
      <c r="U12" s="90">
        <f>FixAsst!U$15</f>
        <v>-7908.0988936574959</v>
      </c>
      <c r="V12" s="90">
        <f>FixAsst!V$15</f>
        <v>-7908.0988936574959</v>
      </c>
      <c r="W12" s="90">
        <f>FixAsst!W$15</f>
        <v>-7908.0988936574959</v>
      </c>
      <c r="X12" s="90">
        <f>FixAsst!X$15</f>
        <v>-7908.0988936574959</v>
      </c>
      <c r="Y12" s="90">
        <f>FixAsst!Y$15</f>
        <v>-7908.0988936574959</v>
      </c>
      <c r="Z12" s="90">
        <f>FixAsst!Z$15</f>
        <v>-7908.0988936574959</v>
      </c>
      <c r="AA12" s="90">
        <f>FixAsst!AA$15</f>
        <v>-7908.0988936574959</v>
      </c>
      <c r="AB12" s="90">
        <f>FixAsst!AB$15</f>
        <v>-7908.0988936574959</v>
      </c>
      <c r="AC12" s="90">
        <f>FixAsst!AC$15</f>
        <v>-7908.0988936574959</v>
      </c>
      <c r="AD12" s="90">
        <f>FixAsst!AD$15</f>
        <v>-7908.0988936574959</v>
      </c>
      <c r="AE12" s="90">
        <f>FixAsst!AE$15</f>
        <v>-7908.0988936574959</v>
      </c>
      <c r="AF12" s="90">
        <f>FixAsst!AF$15</f>
        <v>-7908.0988936574959</v>
      </c>
      <c r="AG12" s="90">
        <f>FixAsst!AG$15</f>
        <v>-7908.0988936574959</v>
      </c>
      <c r="AH12" s="90">
        <f>FixAsst!AH$15</f>
        <v>-7908.0988936574959</v>
      </c>
      <c r="AI12" s="90">
        <f>FixAsst!AI$15</f>
        <v>-7908.0988936574959</v>
      </c>
      <c r="AJ12" s="90">
        <f>FixAsst!AJ$15</f>
        <v>-7908.0988936574959</v>
      </c>
      <c r="AK12" s="90">
        <f>FixAsst!AK$15</f>
        <v>-7908.0988936574959</v>
      </c>
      <c r="AL12" s="90">
        <f>FixAsst!AL$15</f>
        <v>-7908.0988936574959</v>
      </c>
      <c r="AM12" s="90">
        <f>FixAsst!AM$15</f>
        <v>-7908.0988936574959</v>
      </c>
      <c r="AN12" s="90">
        <f>FixAsst!AN$15</f>
        <v>-7908.0988936574959</v>
      </c>
      <c r="AO12" s="90">
        <f>FixAsst!AO$15</f>
        <v>-7908.0988936574959</v>
      </c>
      <c r="AP12" s="90">
        <f>FixAsst!AP$15</f>
        <v>-7908.0988936574959</v>
      </c>
      <c r="AQ12" s="90">
        <f>FixAsst!AQ$15</f>
        <v>-7908.0988936574959</v>
      </c>
      <c r="AR12" s="90">
        <f>FixAsst!AR$15</f>
        <v>-7908.0988936574959</v>
      </c>
      <c r="AS12" s="90">
        <f>FixAsst!AS$15</f>
        <v>-7908.0988936574959</v>
      </c>
      <c r="AT12" s="90">
        <f>FixAsst!AT$15</f>
        <v>-7908.0988936574959</v>
      </c>
      <c r="AU12" s="90">
        <f>FixAsst!AU$15</f>
        <v>-7908.0988936574959</v>
      </c>
      <c r="AV12" s="90">
        <f>FixAsst!AV$15</f>
        <v>-7908.0988936574959</v>
      </c>
      <c r="AW12" s="90">
        <f>FixAsst!AW$15</f>
        <v>-7908.0988936574959</v>
      </c>
      <c r="AX12" s="90">
        <f>FixAsst!AX$15</f>
        <v>-7908.0988936574959</v>
      </c>
      <c r="AY12" s="90">
        <f>FixAsst!AY$15</f>
        <v>-7908.0988936574959</v>
      </c>
      <c r="AZ12" s="90">
        <f>FixAsst!AZ$15</f>
        <v>-7908.0988936574959</v>
      </c>
      <c r="BA12" s="90">
        <f>FixAsst!BA$15</f>
        <v>-7908.0988936574959</v>
      </c>
      <c r="BB12" s="90">
        <f>FixAsst!BB$15</f>
        <v>-7908.0988936574959</v>
      </c>
      <c r="BC12" s="90">
        <f>FixAsst!BC$15</f>
        <v>-7908.0988936574959</v>
      </c>
      <c r="BD12" s="90">
        <f>FixAsst!BD$15</f>
        <v>-7908.0988936574959</v>
      </c>
      <c r="BE12" s="90">
        <f>FixAsst!BE$15</f>
        <v>-7908.0988936574959</v>
      </c>
      <c r="BF12" s="90">
        <f>FixAsst!BF$15</f>
        <v>-7908.0988936574959</v>
      </c>
      <c r="BG12" s="90">
        <f>FixAsst!BG$15</f>
        <v>-7908.0988936574959</v>
      </c>
      <c r="BH12" s="90">
        <f>FixAsst!BH$15</f>
        <v>-7908.0988936574959</v>
      </c>
      <c r="BI12" s="90">
        <f>FixAsst!BI$15</f>
        <v>-7908.0988936574959</v>
      </c>
      <c r="BJ12" s="90">
        <f>FixAsst!BJ$15</f>
        <v>-7908.0988936574959</v>
      </c>
      <c r="BK12" s="90">
        <f>FixAsst!BK$15</f>
        <v>-7908.0988936574959</v>
      </c>
      <c r="BL12" s="90">
        <f>FixAsst!BL$15</f>
        <v>-7908.0988936574959</v>
      </c>
      <c r="BM12" s="90">
        <f>FixAsst!BM$15</f>
        <v>0</v>
      </c>
      <c r="BN12" s="90">
        <f>FixAsst!BN$15</f>
        <v>0</v>
      </c>
      <c r="BO12" s="90">
        <f>FixAsst!BO$15</f>
        <v>0</v>
      </c>
      <c r="BP12" s="90">
        <f>FixAsst!BP$15</f>
        <v>0</v>
      </c>
      <c r="BQ12" s="90">
        <f>FixAsst!BQ$15</f>
        <v>0</v>
      </c>
      <c r="BR12" s="90">
        <f>FixAsst!BR$15</f>
        <v>0</v>
      </c>
      <c r="BS12" s="90">
        <f>FixAsst!BS$15</f>
        <v>0</v>
      </c>
      <c r="BT12" s="90">
        <f>FixAsst!BT$15</f>
        <v>0</v>
      </c>
      <c r="BU12" s="90">
        <f>FixAsst!BU$15</f>
        <v>0</v>
      </c>
      <c r="BV12" s="90">
        <f>FixAsst!BV$15</f>
        <v>0</v>
      </c>
      <c r="BW12" s="90">
        <f>FixAsst!BW$15</f>
        <v>0</v>
      </c>
      <c r="BX12" s="90">
        <f>FixAsst!BX$15</f>
        <v>0</v>
      </c>
      <c r="BY12" s="90">
        <f>FixAsst!BY$15</f>
        <v>0</v>
      </c>
      <c r="BZ12" s="90">
        <f>FixAsst!BZ$15</f>
        <v>0</v>
      </c>
      <c r="CA12" s="90">
        <f>FixAsst!CA$15</f>
        <v>0</v>
      </c>
    </row>
    <row r="13" spans="1:79" s="90" customFormat="1" x14ac:dyDescent="0.2">
      <c r="A13" s="82"/>
      <c r="B13" s="82"/>
      <c r="C13" s="83"/>
      <c r="D13" s="89"/>
      <c r="E13" s="90" t="str">
        <f>SrDebt!E$31</f>
        <v>Senior debt interest expense</v>
      </c>
      <c r="G13" s="90" t="str">
        <f>SrDebt!G$31</f>
        <v>€ 000s</v>
      </c>
      <c r="H13" s="90">
        <f>SrDebt!H$31</f>
        <v>-392274.30033447064</v>
      </c>
      <c r="J13" s="90">
        <f>SrDebt!J$31</f>
        <v>0</v>
      </c>
      <c r="K13" s="90">
        <f>SrDebt!K$31</f>
        <v>0</v>
      </c>
      <c r="L13" s="90">
        <f>SrDebt!L$31</f>
        <v>0</v>
      </c>
      <c r="M13" s="90">
        <f>SrDebt!M$31</f>
        <v>0</v>
      </c>
      <c r="N13" s="90">
        <f>SrDebt!N$31</f>
        <v>0</v>
      </c>
      <c r="O13" s="90">
        <f>SrDebt!O$31</f>
        <v>-15329.387897949242</v>
      </c>
      <c r="P13" s="90">
        <f>SrDebt!P$31</f>
        <v>-15185.138357829541</v>
      </c>
      <c r="Q13" s="90">
        <f>SrDebt!Q$31</f>
        <v>-15030.464833939233</v>
      </c>
      <c r="R13" s="90">
        <f>SrDebt!R$31</f>
        <v>-14858.7756894822</v>
      </c>
      <c r="S13" s="90">
        <f>SrDebt!S$31</f>
        <v>-14734.301059750853</v>
      </c>
      <c r="T13" s="90">
        <f>SrDebt!T$31</f>
        <v>-14598.635976854002</v>
      </c>
      <c r="U13" s="90">
        <f>SrDebt!U$31</f>
        <v>-14472.475114453882</v>
      </c>
      <c r="V13" s="90">
        <f>SrDebt!V$31</f>
        <v>-14336.810031557032</v>
      </c>
      <c r="W13" s="90">
        <f>SrDebt!W$31</f>
        <v>-14200.378479265284</v>
      </c>
      <c r="X13" s="90">
        <f>SrDebt!X$31</f>
        <v>-14054.289412597829</v>
      </c>
      <c r="Y13" s="90">
        <f>SrDebt!Y$31</f>
        <v>-13160.795868718624</v>
      </c>
      <c r="Z13" s="90">
        <f>SrDebt!Z$31</f>
        <v>-12971.276225706608</v>
      </c>
      <c r="AA13" s="90">
        <f>SrDebt!AA$31</f>
        <v>-12781.611356914507</v>
      </c>
      <c r="AB13" s="90">
        <f>SrDebt!AB$31</f>
        <v>-12580.328425715539</v>
      </c>
      <c r="AC13" s="90">
        <f>SrDebt!AC$31</f>
        <v>-12373.962592213567</v>
      </c>
      <c r="AD13" s="90">
        <f>SrDebt!AD$31</f>
        <v>-12154.52643850387</v>
      </c>
      <c r="AE13" s="90">
        <f>SrDebt!AE$31</f>
        <v>-11913.596869341469</v>
      </c>
      <c r="AF13" s="90">
        <f>SrDebt!AF$31</f>
        <v>-11656.692464369627</v>
      </c>
      <c r="AG13" s="90">
        <f>SrDebt!AG$31</f>
        <v>-11392.236318833322</v>
      </c>
      <c r="AH13" s="90">
        <f>SrDebt!AH$31</f>
        <v>-11110.20785390663</v>
      </c>
      <c r="AI13" s="90">
        <f>SrDebt!AI$31</f>
        <v>-10218.247248817219</v>
      </c>
      <c r="AJ13" s="90">
        <f>SrDebt!AJ$31</f>
        <v>-9905.2534203366704</v>
      </c>
      <c r="AK13" s="90">
        <f>SrDebt!AK$31</f>
        <v>-9582.5213964914765</v>
      </c>
      <c r="AL13" s="90">
        <f>SrDebt!AL$31</f>
        <v>-9239.9015088734177</v>
      </c>
      <c r="AM13" s="90">
        <f>SrDebt!AM$31</f>
        <v>-8886.1718490787916</v>
      </c>
      <c r="AN13" s="90">
        <f>SrDebt!AN$31</f>
        <v>-8510.9084333369938</v>
      </c>
      <c r="AO13" s="90">
        <f>SrDebt!AO$31</f>
        <v>-8112.1910541113348</v>
      </c>
      <c r="AP13" s="90">
        <f>SrDebt!AP$31</f>
        <v>-7688.9224499522752</v>
      </c>
      <c r="AQ13" s="90">
        <f>SrDebt!AQ$31</f>
        <v>-7251.8009199928065</v>
      </c>
      <c r="AR13" s="90">
        <f>SrDebt!AR$31</f>
        <v>-6788.2079575632461</v>
      </c>
      <c r="AS13" s="90">
        <f>SrDebt!AS$31</f>
        <v>-6309.253334840163</v>
      </c>
      <c r="AT13" s="90">
        <f>SrDebt!AT$31</f>
        <v>-5801.9070721102989</v>
      </c>
      <c r="AU13" s="90">
        <f>SrDebt!AU$31</f>
        <v>-5277.4160992314128</v>
      </c>
      <c r="AV13" s="90">
        <f>SrDebt!AV$31</f>
        <v>-4722.3389634466703</v>
      </c>
      <c r="AW13" s="90">
        <f>SrDebt!AW$31</f>
        <v>-4148.334067657408</v>
      </c>
      <c r="AX13" s="90">
        <f>SrDebt!AX$31</f>
        <v>-3541.5484860632146</v>
      </c>
      <c r="AY13" s="90">
        <f>SrDebt!AY$31</f>
        <v>-2897.1816998223653</v>
      </c>
      <c r="AZ13" s="90">
        <f>SrDebt!AZ$31</f>
        <v>-2215.9194973408198</v>
      </c>
      <c r="BA13" s="90">
        <f>SrDebt!BA$31</f>
        <v>-1511.8891197813734</v>
      </c>
      <c r="BB13" s="90">
        <f>SrDebt!BB$31</f>
        <v>-768.49448771977177</v>
      </c>
      <c r="BC13" s="90">
        <f>SrDebt!BC$31</f>
        <v>0</v>
      </c>
      <c r="BD13" s="90">
        <f>SrDebt!BD$31</f>
        <v>0</v>
      </c>
      <c r="BE13" s="90">
        <f>SrDebt!BE$31</f>
        <v>0</v>
      </c>
      <c r="BF13" s="90">
        <f>SrDebt!BF$31</f>
        <v>0</v>
      </c>
      <c r="BG13" s="90">
        <f>SrDebt!BG$31</f>
        <v>0</v>
      </c>
      <c r="BH13" s="90">
        <f>SrDebt!BH$31</f>
        <v>0</v>
      </c>
      <c r="BI13" s="90">
        <f>SrDebt!BI$31</f>
        <v>0</v>
      </c>
      <c r="BJ13" s="90">
        <f>SrDebt!BJ$31</f>
        <v>0</v>
      </c>
      <c r="BK13" s="90">
        <f>SrDebt!BK$31</f>
        <v>0</v>
      </c>
      <c r="BL13" s="90">
        <f>SrDebt!BL$31</f>
        <v>0</v>
      </c>
      <c r="BM13" s="90">
        <f>SrDebt!BM$31</f>
        <v>0</v>
      </c>
      <c r="BN13" s="90">
        <f>SrDebt!BN$31</f>
        <v>0</v>
      </c>
      <c r="BO13" s="90">
        <f>SrDebt!BO$31</f>
        <v>0</v>
      </c>
      <c r="BP13" s="90">
        <f>SrDebt!BP$31</f>
        <v>0</v>
      </c>
      <c r="BQ13" s="90">
        <f>SrDebt!BQ$31</f>
        <v>0</v>
      </c>
      <c r="BR13" s="90">
        <f>SrDebt!BR$31</f>
        <v>0</v>
      </c>
      <c r="BS13" s="90">
        <f>SrDebt!BS$31</f>
        <v>0</v>
      </c>
      <c r="BT13" s="90">
        <f>SrDebt!BT$31</f>
        <v>0</v>
      </c>
      <c r="BU13" s="90">
        <f>SrDebt!BU$31</f>
        <v>0</v>
      </c>
      <c r="BV13" s="90">
        <f>SrDebt!BV$31</f>
        <v>0</v>
      </c>
      <c r="BW13" s="90">
        <f>SrDebt!BW$31</f>
        <v>0</v>
      </c>
      <c r="BX13" s="90">
        <f>SrDebt!BX$31</f>
        <v>0</v>
      </c>
      <c r="BY13" s="90">
        <f>SrDebt!BY$31</f>
        <v>0</v>
      </c>
      <c r="BZ13" s="90">
        <f>SrDebt!BZ$31</f>
        <v>0</v>
      </c>
      <c r="CA13" s="90">
        <f>SrDebt!CA$31</f>
        <v>0</v>
      </c>
    </row>
    <row r="14" spans="1:79" s="219" customFormat="1" x14ac:dyDescent="0.2">
      <c r="A14" s="148"/>
      <c r="B14" s="148"/>
      <c r="C14" s="149"/>
      <c r="D14" s="218"/>
      <c r="E14" s="219" t="s">
        <v>346</v>
      </c>
    </row>
    <row r="15" spans="1:79" x14ac:dyDescent="0.2">
      <c r="E15" s="87" t="s">
        <v>15</v>
      </c>
      <c r="G15" s="87" t="str">
        <f xml:space="preserve"> SMU</f>
        <v>€ 000s</v>
      </c>
      <c r="H15" s="87">
        <f>SUM(J15:CA15)</f>
        <v>1147719.8968318698</v>
      </c>
      <c r="J15" s="150">
        <f xml:space="preserve"> J10 + SUM(J12:J14)</f>
        <v>0</v>
      </c>
      <c r="K15" s="150">
        <f t="shared" ref="K15:BV15" si="2" xml:space="preserve"> K10 + SUM(K12:K14)</f>
        <v>0</v>
      </c>
      <c r="L15" s="150">
        <f t="shared" si="2"/>
        <v>0</v>
      </c>
      <c r="M15" s="150">
        <f t="shared" si="2"/>
        <v>0</v>
      </c>
      <c r="N15" s="150">
        <f t="shared" si="2"/>
        <v>0</v>
      </c>
      <c r="O15" s="150">
        <f t="shared" si="2"/>
        <v>-1601.4237814504995</v>
      </c>
      <c r="P15" s="150">
        <f t="shared" si="2"/>
        <v>-815.76440054062186</v>
      </c>
      <c r="Q15" s="150">
        <f t="shared" si="2"/>
        <v>212.96533562590412</v>
      </c>
      <c r="R15" s="150">
        <f t="shared" si="2"/>
        <v>-1488.5978755013639</v>
      </c>
      <c r="S15" s="150">
        <f t="shared" si="2"/>
        <v>-729.63338720329193</v>
      </c>
      <c r="T15" s="150">
        <f t="shared" si="2"/>
        <v>-856.28991286850942</v>
      </c>
      <c r="U15" s="150">
        <f t="shared" si="2"/>
        <v>-199.90149814086908</v>
      </c>
      <c r="V15" s="150">
        <f t="shared" si="2"/>
        <v>60.761468943248474</v>
      </c>
      <c r="W15" s="150">
        <f t="shared" si="2"/>
        <v>686.91598398672795</v>
      </c>
      <c r="X15" s="150">
        <f t="shared" si="2"/>
        <v>1567.2439998282935</v>
      </c>
      <c r="Y15" s="150">
        <f t="shared" si="2"/>
        <v>2914.425727503989</v>
      </c>
      <c r="Z15" s="150">
        <f t="shared" si="2"/>
        <v>3063.698008172174</v>
      </c>
      <c r="AA15" s="150">
        <f t="shared" si="2"/>
        <v>3716.2217536954049</v>
      </c>
      <c r="AB15" s="150">
        <f t="shared" si="2"/>
        <v>4053.2226363516456</v>
      </c>
      <c r="AC15" s="150">
        <f t="shared" si="2"/>
        <v>4734.0188185030274</v>
      </c>
      <c r="AD15" s="150">
        <f t="shared" si="2"/>
        <v>5770.4276721922615</v>
      </c>
      <c r="AE15" s="150">
        <f t="shared" si="2"/>
        <v>6542.4493178187113</v>
      </c>
      <c r="AF15" s="150">
        <f t="shared" si="2"/>
        <v>6914.0879714353359</v>
      </c>
      <c r="AG15" s="150">
        <f t="shared" si="2"/>
        <v>7722.9134953472894</v>
      </c>
      <c r="AH15" s="150">
        <f t="shared" si="2"/>
        <v>8122.5445651348855</v>
      </c>
      <c r="AI15" s="150">
        <f t="shared" si="2"/>
        <v>9572.4837830593351</v>
      </c>
      <c r="AJ15" s="150">
        <f t="shared" si="2"/>
        <v>10006.020281522309</v>
      </c>
      <c r="AK15" s="150">
        <f t="shared" si="2"/>
        <v>10900.680383523424</v>
      </c>
      <c r="AL15" s="150">
        <f t="shared" si="2"/>
        <v>11366.856507873472</v>
      </c>
      <c r="AM15" s="150">
        <f t="shared" si="2"/>
        <v>12306.812447777917</v>
      </c>
      <c r="AN15" s="150">
        <f t="shared" si="2"/>
        <v>13316.915710068293</v>
      </c>
      <c r="AO15" s="150">
        <f t="shared" si="2"/>
        <v>14363.988880048546</v>
      </c>
      <c r="AP15" s="150">
        <f t="shared" si="2"/>
        <v>14882.299769379579</v>
      </c>
      <c r="AQ15" s="150">
        <f t="shared" si="2"/>
        <v>15983.985984862491</v>
      </c>
      <c r="AR15" s="150">
        <f t="shared" si="2"/>
        <v>16544.997289593324</v>
      </c>
      <c r="AS15" s="150">
        <f t="shared" si="2"/>
        <v>17705.130714977946</v>
      </c>
      <c r="AT15" s="150">
        <f t="shared" si="2"/>
        <v>18312.330778566615</v>
      </c>
      <c r="AU15" s="150">
        <f t="shared" si="2"/>
        <v>19535.030024173568</v>
      </c>
      <c r="AV15" s="150">
        <f t="shared" si="2"/>
        <v>20192.457305838594</v>
      </c>
      <c r="AW15" s="150">
        <f t="shared" si="2"/>
        <v>21482.125681174133</v>
      </c>
      <c r="AX15" s="150">
        <f t="shared" si="2"/>
        <v>22982.02965515824</v>
      </c>
      <c r="AY15" s="150">
        <f t="shared" si="2"/>
        <v>24416.312784876536</v>
      </c>
      <c r="AZ15" s="150">
        <f t="shared" si="2"/>
        <v>25168.450569752604</v>
      </c>
      <c r="BA15" s="150">
        <f t="shared" si="2"/>
        <v>26682.145199376431</v>
      </c>
      <c r="BB15" s="150">
        <f t="shared" si="2"/>
        <v>27498.187303392417</v>
      </c>
      <c r="BC15" s="150">
        <f t="shared" si="2"/>
        <v>29096.587649478184</v>
      </c>
      <c r="BD15" s="150">
        <f t="shared" si="2"/>
        <v>29171.051308231421</v>
      </c>
      <c r="BE15" s="150">
        <f t="shared" si="2"/>
        <v>30021.70481305656</v>
      </c>
      <c r="BF15" s="150">
        <f t="shared" si="2"/>
        <v>29918.510379921521</v>
      </c>
      <c r="BG15" s="150">
        <f t="shared" si="2"/>
        <v>30788.200078680595</v>
      </c>
      <c r="BH15" s="150">
        <f t="shared" si="2"/>
        <v>30864.175611760984</v>
      </c>
      <c r="BI15" s="150">
        <f t="shared" si="2"/>
        <v>30110.936664485504</v>
      </c>
      <c r="BJ15" s="150">
        <f t="shared" si="2"/>
        <v>33309.976973225363</v>
      </c>
      <c r="BK15" s="150">
        <f t="shared" si="2"/>
        <v>30870.461641401169</v>
      </c>
      <c r="BL15" s="150">
        <f t="shared" si="2"/>
        <v>34340.428869897434</v>
      </c>
      <c r="BM15" s="150">
        <f t="shared" si="2"/>
        <v>39748.024548435103</v>
      </c>
      <c r="BN15" s="150">
        <f t="shared" si="2"/>
        <v>43304.740957643786</v>
      </c>
      <c r="BO15" s="150">
        <f t="shared" si="2"/>
        <v>40741.725162145987</v>
      </c>
      <c r="BP15" s="150">
        <f t="shared" si="2"/>
        <v>44387.359481584863</v>
      </c>
      <c r="BQ15" s="150">
        <f t="shared" si="2"/>
        <v>41760.268291199623</v>
      </c>
      <c r="BR15" s="150">
        <f t="shared" si="2"/>
        <v>43659.082012651306</v>
      </c>
      <c r="BS15" s="150">
        <f t="shared" si="2"/>
        <v>44665.069149234623</v>
      </c>
      <c r="BT15" s="150">
        <f t="shared" si="2"/>
        <v>45219.936003477036</v>
      </c>
      <c r="BU15" s="150">
        <f t="shared" si="2"/>
        <v>45781.695877965481</v>
      </c>
      <c r="BV15" s="150">
        <f t="shared" si="2"/>
        <v>46350.434403563944</v>
      </c>
      <c r="BW15" s="150">
        <f t="shared" ref="BW15:CA15" si="3" xml:space="preserve"> BW10 + SUM(BW12:BW14)</f>
        <v>0</v>
      </c>
      <c r="BX15" s="150">
        <f t="shared" si="3"/>
        <v>0</v>
      </c>
      <c r="BY15" s="150">
        <f t="shared" si="3"/>
        <v>0</v>
      </c>
      <c r="BZ15" s="150">
        <f t="shared" si="3"/>
        <v>0</v>
      </c>
      <c r="CA15" s="150">
        <f t="shared" si="3"/>
        <v>0</v>
      </c>
    </row>
    <row r="17" spans="1:79" s="90" customFormat="1" x14ac:dyDescent="0.2">
      <c r="A17" s="82"/>
      <c r="B17" s="82"/>
      <c r="C17" s="83"/>
      <c r="D17" s="89"/>
      <c r="E17" s="90" t="str">
        <f>Tax!E$41</f>
        <v>P&amp;L tax charge</v>
      </c>
      <c r="G17" s="90" t="str">
        <f>Tax!G$41</f>
        <v>€ 000s</v>
      </c>
      <c r="H17" s="90">
        <f>Tax!H$41</f>
        <v>-344315.96904956095</v>
      </c>
      <c r="J17" s="90">
        <f>Tax!J$41</f>
        <v>0</v>
      </c>
      <c r="K17" s="90">
        <f>Tax!K$41</f>
        <v>0</v>
      </c>
      <c r="L17" s="90">
        <f>Tax!L$41</f>
        <v>0</v>
      </c>
      <c r="M17" s="90">
        <f>Tax!M$41</f>
        <v>0</v>
      </c>
      <c r="N17" s="90">
        <f>Tax!N$41</f>
        <v>0</v>
      </c>
      <c r="O17" s="90">
        <f>Tax!O$41</f>
        <v>480.42713443514981</v>
      </c>
      <c r="P17" s="90">
        <f>Tax!P$41</f>
        <v>244.72932016218655</v>
      </c>
      <c r="Q17" s="90">
        <f>Tax!Q$41</f>
        <v>-63.889600687771235</v>
      </c>
      <c r="R17" s="90">
        <f>Tax!R$41</f>
        <v>446.57936265040917</v>
      </c>
      <c r="S17" s="90">
        <f>Tax!S$41</f>
        <v>218.89001616098759</v>
      </c>
      <c r="T17" s="90">
        <f>Tax!T$41</f>
        <v>256.88697386055281</v>
      </c>
      <c r="U17" s="90">
        <f>Tax!U$41</f>
        <v>59.970449442260723</v>
      </c>
      <c r="V17" s="90">
        <f>Tax!V$41</f>
        <v>-18.22844068297454</v>
      </c>
      <c r="W17" s="90">
        <f>Tax!W$41</f>
        <v>-206.07479519601839</v>
      </c>
      <c r="X17" s="90">
        <f>Tax!X$41</f>
        <v>-470.17319994848799</v>
      </c>
      <c r="Y17" s="90">
        <f>Tax!Y$41</f>
        <v>-874.32771825119664</v>
      </c>
      <c r="Z17" s="90">
        <f>Tax!Z$41</f>
        <v>-919.10940245165216</v>
      </c>
      <c r="AA17" s="90">
        <f>Tax!AA$41</f>
        <v>-1114.8665261086214</v>
      </c>
      <c r="AB17" s="90">
        <f>Tax!AB$41</f>
        <v>-1215.9667909054936</v>
      </c>
      <c r="AC17" s="90">
        <f>Tax!AC$41</f>
        <v>-1420.2056455509082</v>
      </c>
      <c r="AD17" s="90">
        <f>Tax!AD$41</f>
        <v>-1731.1283016576783</v>
      </c>
      <c r="AE17" s="90">
        <f>Tax!AE$41</f>
        <v>-1962.7347953456133</v>
      </c>
      <c r="AF17" s="90">
        <f>Tax!AF$41</f>
        <v>-2074.2263914306009</v>
      </c>
      <c r="AG17" s="90">
        <f>Tax!AG$41</f>
        <v>-2316.8740486041866</v>
      </c>
      <c r="AH17" s="90">
        <f>Tax!AH$41</f>
        <v>-2436.7633695404656</v>
      </c>
      <c r="AI17" s="90">
        <f>Tax!AI$41</f>
        <v>-2871.7451349178004</v>
      </c>
      <c r="AJ17" s="90">
        <f>Tax!AJ$41</f>
        <v>-3001.8060844566926</v>
      </c>
      <c r="AK17" s="90">
        <f>Tax!AK$41</f>
        <v>-3270.2041150570271</v>
      </c>
      <c r="AL17" s="90">
        <f>Tax!AL$41</f>
        <v>-3410.0569523620416</v>
      </c>
      <c r="AM17" s="90">
        <f>Tax!AM$41</f>
        <v>-3692.0437343333747</v>
      </c>
      <c r="AN17" s="90">
        <f>Tax!AN$41</f>
        <v>-3995.0747130204877</v>
      </c>
      <c r="AO17" s="90">
        <f>Tax!AO$41</f>
        <v>-4309.1966640145638</v>
      </c>
      <c r="AP17" s="90">
        <f>Tax!AP$41</f>
        <v>-4464.6899308138736</v>
      </c>
      <c r="AQ17" s="90">
        <f>Tax!AQ$41</f>
        <v>-4795.1957954587469</v>
      </c>
      <c r="AR17" s="90">
        <f>Tax!AR$41</f>
        <v>-4963.4991868779971</v>
      </c>
      <c r="AS17" s="90">
        <f>Tax!AS$41</f>
        <v>-5311.539214493384</v>
      </c>
      <c r="AT17" s="90">
        <f>Tax!AT$41</f>
        <v>-5493.6992335699842</v>
      </c>
      <c r="AU17" s="90">
        <f>Tax!AU$41</f>
        <v>-5860.5090072520698</v>
      </c>
      <c r="AV17" s="90">
        <f>Tax!AV$41</f>
        <v>-6057.7371917515784</v>
      </c>
      <c r="AW17" s="90">
        <f>Tax!AW$41</f>
        <v>-6444.6377043522398</v>
      </c>
      <c r="AX17" s="90">
        <f>Tax!AX$41</f>
        <v>-6894.6088965474719</v>
      </c>
      <c r="AY17" s="90">
        <f>Tax!AY$41</f>
        <v>-7324.8938354629609</v>
      </c>
      <c r="AZ17" s="90">
        <f>Tax!AZ$41</f>
        <v>-7550.5351709257811</v>
      </c>
      <c r="BA17" s="90">
        <f>Tax!BA$41</f>
        <v>-8004.6435598129292</v>
      </c>
      <c r="BB17" s="90">
        <f>Tax!BB$41</f>
        <v>-8249.4561910177254</v>
      </c>
      <c r="BC17" s="90">
        <f>Tax!BC$41</f>
        <v>-8728.9762948434545</v>
      </c>
      <c r="BD17" s="90">
        <f>Tax!BD$41</f>
        <v>-8751.3153924694252</v>
      </c>
      <c r="BE17" s="90">
        <f>Tax!BE$41</f>
        <v>-9006.5114439169683</v>
      </c>
      <c r="BF17" s="90">
        <f>Tax!BF$41</f>
        <v>-8975.5531139764553</v>
      </c>
      <c r="BG17" s="90">
        <f>Tax!BG$41</f>
        <v>-9236.4600236041788</v>
      </c>
      <c r="BH17" s="90">
        <f>Tax!BH$41</f>
        <v>-9259.2526835282952</v>
      </c>
      <c r="BI17" s="90">
        <f>Tax!BI$41</f>
        <v>-9033.2809993456503</v>
      </c>
      <c r="BJ17" s="90">
        <f>Tax!BJ$41</f>
        <v>-9992.9930919676081</v>
      </c>
      <c r="BK17" s="90">
        <f>Tax!BK$41</f>
        <v>-9261.1384924203503</v>
      </c>
      <c r="BL17" s="90">
        <f>Tax!BL$41</f>
        <v>-10302.128660969231</v>
      </c>
      <c r="BM17" s="90">
        <f>Tax!BM$41</f>
        <v>-11924.407364530531</v>
      </c>
      <c r="BN17" s="90">
        <f>Tax!BN$41</f>
        <v>-12991.422287293135</v>
      </c>
      <c r="BO17" s="90">
        <f>Tax!BO$41</f>
        <v>-12222.517548643797</v>
      </c>
      <c r="BP17" s="90">
        <f>Tax!BP$41</f>
        <v>-13316.207844475459</v>
      </c>
      <c r="BQ17" s="90">
        <f>Tax!BQ$41</f>
        <v>-12528.080487359886</v>
      </c>
      <c r="BR17" s="90">
        <f>Tax!BR$41</f>
        <v>-13097.724603795392</v>
      </c>
      <c r="BS17" s="90">
        <f>Tax!BS$41</f>
        <v>-13399.520744770387</v>
      </c>
      <c r="BT17" s="90">
        <f>Tax!BT$41</f>
        <v>-13565.98080104311</v>
      </c>
      <c r="BU17" s="90">
        <f>Tax!BU$41</f>
        <v>-13734.508763389644</v>
      </c>
      <c r="BV17" s="90">
        <f>Tax!BV$41</f>
        <v>-13905.130321069182</v>
      </c>
      <c r="BW17" s="90">
        <f>Tax!BW$41</f>
        <v>0</v>
      </c>
      <c r="BX17" s="90">
        <f>Tax!BX$41</f>
        <v>0</v>
      </c>
      <c r="BY17" s="90">
        <f>Tax!BY$41</f>
        <v>0</v>
      </c>
      <c r="BZ17" s="90">
        <f>Tax!BZ$41</f>
        <v>0</v>
      </c>
      <c r="CA17" s="90">
        <f>Tax!CA$41</f>
        <v>0</v>
      </c>
    </row>
    <row r="18" spans="1:79" x14ac:dyDescent="0.2">
      <c r="E18" s="87" t="s">
        <v>16</v>
      </c>
      <c r="G18" s="87" t="str">
        <f xml:space="preserve"> SMU</f>
        <v>€ 000s</v>
      </c>
      <c r="H18" s="87">
        <f>SUM(J18:CA18)</f>
        <v>803403.92778230913</v>
      </c>
      <c r="J18" s="150">
        <f xml:space="preserve"> J15 + J17</f>
        <v>0</v>
      </c>
      <c r="K18" s="150">
        <f t="shared" ref="K18:BV18" si="4" xml:space="preserve"> K15 + K17</f>
        <v>0</v>
      </c>
      <c r="L18" s="150">
        <f t="shared" si="4"/>
        <v>0</v>
      </c>
      <c r="M18" s="150">
        <f t="shared" si="4"/>
        <v>0</v>
      </c>
      <c r="N18" s="150">
        <f t="shared" si="4"/>
        <v>0</v>
      </c>
      <c r="O18" s="150">
        <f t="shared" si="4"/>
        <v>-1120.9966470153497</v>
      </c>
      <c r="P18" s="150">
        <f t="shared" si="4"/>
        <v>-571.03508037843528</v>
      </c>
      <c r="Q18" s="150">
        <f t="shared" si="4"/>
        <v>149.07573493813288</v>
      </c>
      <c r="R18" s="150">
        <f t="shared" si="4"/>
        <v>-1042.0185128509547</v>
      </c>
      <c r="S18" s="150">
        <f t="shared" si="4"/>
        <v>-510.74337104230437</v>
      </c>
      <c r="T18" s="150">
        <f t="shared" si="4"/>
        <v>-599.40293900795655</v>
      </c>
      <c r="U18" s="150">
        <f t="shared" si="4"/>
        <v>-139.93104869860835</v>
      </c>
      <c r="V18" s="150">
        <f t="shared" si="4"/>
        <v>42.533028260273937</v>
      </c>
      <c r="W18" s="150">
        <f t="shared" si="4"/>
        <v>480.84118879070957</v>
      </c>
      <c r="X18" s="150">
        <f t="shared" si="4"/>
        <v>1097.0707998798055</v>
      </c>
      <c r="Y18" s="150">
        <f t="shared" si="4"/>
        <v>2040.0980092527925</v>
      </c>
      <c r="Z18" s="150">
        <f t="shared" si="4"/>
        <v>2144.5886057205216</v>
      </c>
      <c r="AA18" s="150">
        <f t="shared" si="4"/>
        <v>2601.3552275867833</v>
      </c>
      <c r="AB18" s="150">
        <f t="shared" si="4"/>
        <v>2837.2558454461523</v>
      </c>
      <c r="AC18" s="150">
        <f t="shared" si="4"/>
        <v>3313.8131729521192</v>
      </c>
      <c r="AD18" s="150">
        <f t="shared" si="4"/>
        <v>4039.2993705345834</v>
      </c>
      <c r="AE18" s="150">
        <f t="shared" si="4"/>
        <v>4579.7145224730975</v>
      </c>
      <c r="AF18" s="150">
        <f t="shared" si="4"/>
        <v>4839.8615800047355</v>
      </c>
      <c r="AG18" s="150">
        <f t="shared" si="4"/>
        <v>5406.0394467431033</v>
      </c>
      <c r="AH18" s="150">
        <f t="shared" si="4"/>
        <v>5685.7811955944198</v>
      </c>
      <c r="AI18" s="150">
        <f t="shared" si="4"/>
        <v>6700.7386481415342</v>
      </c>
      <c r="AJ18" s="150">
        <f t="shared" si="4"/>
        <v>7004.2141970656166</v>
      </c>
      <c r="AK18" s="150">
        <f t="shared" si="4"/>
        <v>7630.4762684663965</v>
      </c>
      <c r="AL18" s="150">
        <f t="shared" si="4"/>
        <v>7956.7995555114303</v>
      </c>
      <c r="AM18" s="150">
        <f t="shared" si="4"/>
        <v>8614.7687134445423</v>
      </c>
      <c r="AN18" s="150">
        <f t="shared" si="4"/>
        <v>9321.840997047806</v>
      </c>
      <c r="AO18" s="150">
        <f t="shared" si="4"/>
        <v>10054.792216033982</v>
      </c>
      <c r="AP18" s="150">
        <f t="shared" si="4"/>
        <v>10417.609838565706</v>
      </c>
      <c r="AQ18" s="150">
        <f t="shared" si="4"/>
        <v>11188.790189403744</v>
      </c>
      <c r="AR18" s="150">
        <f t="shared" si="4"/>
        <v>11581.498102715326</v>
      </c>
      <c r="AS18" s="150">
        <f t="shared" si="4"/>
        <v>12393.591500484563</v>
      </c>
      <c r="AT18" s="150">
        <f t="shared" si="4"/>
        <v>12818.631544996631</v>
      </c>
      <c r="AU18" s="150">
        <f t="shared" si="4"/>
        <v>13674.521016921499</v>
      </c>
      <c r="AV18" s="150">
        <f t="shared" si="4"/>
        <v>14134.720114087017</v>
      </c>
      <c r="AW18" s="150">
        <f t="shared" si="4"/>
        <v>15037.487976821893</v>
      </c>
      <c r="AX18" s="150">
        <f t="shared" si="4"/>
        <v>16087.420758610768</v>
      </c>
      <c r="AY18" s="150">
        <f t="shared" si="4"/>
        <v>17091.418949413575</v>
      </c>
      <c r="AZ18" s="150">
        <f t="shared" si="4"/>
        <v>17617.915398826823</v>
      </c>
      <c r="BA18" s="150">
        <f t="shared" si="4"/>
        <v>18677.501639563503</v>
      </c>
      <c r="BB18" s="150">
        <f t="shared" si="4"/>
        <v>19248.731112374691</v>
      </c>
      <c r="BC18" s="150">
        <f t="shared" si="4"/>
        <v>20367.61135463473</v>
      </c>
      <c r="BD18" s="150">
        <f t="shared" si="4"/>
        <v>20419.735915761994</v>
      </c>
      <c r="BE18" s="150">
        <f t="shared" si="4"/>
        <v>21015.19336913959</v>
      </c>
      <c r="BF18" s="150">
        <f t="shared" si="4"/>
        <v>20942.957265945064</v>
      </c>
      <c r="BG18" s="150">
        <f t="shared" si="4"/>
        <v>21551.740055076414</v>
      </c>
      <c r="BH18" s="150">
        <f t="shared" si="4"/>
        <v>21604.922928232689</v>
      </c>
      <c r="BI18" s="150">
        <f t="shared" si="4"/>
        <v>21077.655665139853</v>
      </c>
      <c r="BJ18" s="150">
        <f t="shared" si="4"/>
        <v>23316.983881257755</v>
      </c>
      <c r="BK18" s="150">
        <f t="shared" si="4"/>
        <v>21609.323148980817</v>
      </c>
      <c r="BL18" s="150">
        <f t="shared" si="4"/>
        <v>24038.300208928202</v>
      </c>
      <c r="BM18" s="150">
        <f t="shared" si="4"/>
        <v>27823.617183904571</v>
      </c>
      <c r="BN18" s="150">
        <f t="shared" si="4"/>
        <v>30313.318670350651</v>
      </c>
      <c r="BO18" s="150">
        <f t="shared" si="4"/>
        <v>28519.207613502193</v>
      </c>
      <c r="BP18" s="150">
        <f t="shared" si="4"/>
        <v>31071.151637109404</v>
      </c>
      <c r="BQ18" s="150">
        <f t="shared" si="4"/>
        <v>29232.187803839737</v>
      </c>
      <c r="BR18" s="150">
        <f t="shared" si="4"/>
        <v>30561.357408855914</v>
      </c>
      <c r="BS18" s="150">
        <f t="shared" si="4"/>
        <v>31265.548404464236</v>
      </c>
      <c r="BT18" s="150">
        <f t="shared" si="4"/>
        <v>31653.955202433928</v>
      </c>
      <c r="BU18" s="150">
        <f t="shared" si="4"/>
        <v>32047.187114575838</v>
      </c>
      <c r="BV18" s="150">
        <f t="shared" si="4"/>
        <v>32445.30408249476</v>
      </c>
      <c r="BW18" s="150">
        <f t="shared" ref="BW18:CA18" si="5" xml:space="preserve"> BW15 + BW17</f>
        <v>0</v>
      </c>
      <c r="BX18" s="150">
        <f t="shared" si="5"/>
        <v>0</v>
      </c>
      <c r="BY18" s="150">
        <f t="shared" si="5"/>
        <v>0</v>
      </c>
      <c r="BZ18" s="150">
        <f t="shared" si="5"/>
        <v>0</v>
      </c>
      <c r="CA18" s="150">
        <f t="shared" si="5"/>
        <v>0</v>
      </c>
    </row>
    <row r="19" spans="1:79" x14ac:dyDescent="0.2">
      <c r="H19" s="251"/>
    </row>
    <row r="21" spans="1:79" x14ac:dyDescent="0.2">
      <c r="A21" s="81" t="s">
        <v>17</v>
      </c>
    </row>
    <row r="23" spans="1:79" s="90" customFormat="1" x14ac:dyDescent="0.2">
      <c r="A23" s="82"/>
      <c r="B23" s="82"/>
      <c r="C23" s="83"/>
      <c r="D23" s="89"/>
      <c r="E23" s="90" t="str">
        <f>FixAsst!E$26</f>
        <v>Net fixed assets balance</v>
      </c>
      <c r="G23" s="90" t="str">
        <f>FixAsst!G$26</f>
        <v>€ 000s</v>
      </c>
      <c r="J23" s="90">
        <f>FixAsst!J$26</f>
        <v>0</v>
      </c>
      <c r="K23" s="90">
        <f>FixAsst!K$26</f>
        <v>0</v>
      </c>
      <c r="L23" s="90">
        <f>FixAsst!L$26</f>
        <v>0</v>
      </c>
      <c r="M23" s="90">
        <f>FixAsst!M$26</f>
        <v>0</v>
      </c>
      <c r="N23" s="90">
        <f>FixAsst!N$26</f>
        <v>395404.94468287478</v>
      </c>
      <c r="O23" s="90">
        <f>FixAsst!O$26</f>
        <v>387496.84578921727</v>
      </c>
      <c r="P23" s="90">
        <f>FixAsst!P$26</f>
        <v>379588.74689555977</v>
      </c>
      <c r="Q23" s="90">
        <f>FixAsst!Q$26</f>
        <v>371680.64800190227</v>
      </c>
      <c r="R23" s="90">
        <f>FixAsst!R$26</f>
        <v>363772.54910824477</v>
      </c>
      <c r="S23" s="90">
        <f>FixAsst!S$26</f>
        <v>355864.45021458727</v>
      </c>
      <c r="T23" s="90">
        <f>FixAsst!T$26</f>
        <v>347956.35132092977</v>
      </c>
      <c r="U23" s="90">
        <f>FixAsst!U$26</f>
        <v>340048.25242727227</v>
      </c>
      <c r="V23" s="90">
        <f>FixAsst!V$26</f>
        <v>332140.15353361476</v>
      </c>
      <c r="W23" s="90">
        <f>FixAsst!W$26</f>
        <v>324232.05463995726</v>
      </c>
      <c r="X23" s="90">
        <f>FixAsst!X$26</f>
        <v>316323.95574629976</v>
      </c>
      <c r="Y23" s="90">
        <f>FixAsst!Y$26</f>
        <v>308415.85685264226</v>
      </c>
      <c r="Z23" s="90">
        <f>FixAsst!Z$26</f>
        <v>300507.75795898476</v>
      </c>
      <c r="AA23" s="90">
        <f>FixAsst!AA$26</f>
        <v>292599.65906532726</v>
      </c>
      <c r="AB23" s="90">
        <f>FixAsst!AB$26</f>
        <v>284691.56017166976</v>
      </c>
      <c r="AC23" s="90">
        <f>FixAsst!AC$26</f>
        <v>276783.46127801226</v>
      </c>
      <c r="AD23" s="90">
        <f>FixAsst!AD$26</f>
        <v>268875.36238435475</v>
      </c>
      <c r="AE23" s="90">
        <f>FixAsst!AE$26</f>
        <v>260967.26349069725</v>
      </c>
      <c r="AF23" s="90">
        <f>FixAsst!AF$26</f>
        <v>253059.16459703975</v>
      </c>
      <c r="AG23" s="90">
        <f>FixAsst!AG$26</f>
        <v>245151.06570338225</v>
      </c>
      <c r="AH23" s="90">
        <f>FixAsst!AH$26</f>
        <v>237242.96680972475</v>
      </c>
      <c r="AI23" s="90">
        <f>FixAsst!AI$26</f>
        <v>229334.86791606725</v>
      </c>
      <c r="AJ23" s="90">
        <f>FixAsst!AJ$26</f>
        <v>221426.76902240975</v>
      </c>
      <c r="AK23" s="90">
        <f>FixAsst!AK$26</f>
        <v>213518.67012875224</v>
      </c>
      <c r="AL23" s="90">
        <f>FixAsst!AL$26</f>
        <v>205610.57123509474</v>
      </c>
      <c r="AM23" s="90">
        <f>FixAsst!AM$26</f>
        <v>197702.47234143724</v>
      </c>
      <c r="AN23" s="90">
        <f>FixAsst!AN$26</f>
        <v>189794.37344777974</v>
      </c>
      <c r="AO23" s="90">
        <f>FixAsst!AO$26</f>
        <v>181886.27455412224</v>
      </c>
      <c r="AP23" s="90">
        <f>FixAsst!AP$26</f>
        <v>173978.17566046474</v>
      </c>
      <c r="AQ23" s="90">
        <f>FixAsst!AQ$26</f>
        <v>166070.07676680724</v>
      </c>
      <c r="AR23" s="90">
        <f>FixAsst!AR$26</f>
        <v>158161.97787314974</v>
      </c>
      <c r="AS23" s="90">
        <f>FixAsst!AS$26</f>
        <v>150253.87897949223</v>
      </c>
      <c r="AT23" s="90">
        <f>FixAsst!AT$26</f>
        <v>142345.78008583473</v>
      </c>
      <c r="AU23" s="90">
        <f>FixAsst!AU$26</f>
        <v>134437.68119217723</v>
      </c>
      <c r="AV23" s="90">
        <f>FixAsst!AV$26</f>
        <v>126529.58229851973</v>
      </c>
      <c r="AW23" s="90">
        <f>FixAsst!AW$26</f>
        <v>118621.48340486223</v>
      </c>
      <c r="AX23" s="90">
        <f>FixAsst!AX$26</f>
        <v>110713.38451120473</v>
      </c>
      <c r="AY23" s="90">
        <f>FixAsst!AY$26</f>
        <v>102805.28561754723</v>
      </c>
      <c r="AZ23" s="90">
        <f>FixAsst!AZ$26</f>
        <v>94897.186723889725</v>
      </c>
      <c r="BA23" s="90">
        <f>FixAsst!BA$26</f>
        <v>86989.087830232223</v>
      </c>
      <c r="BB23" s="90">
        <f>FixAsst!BB$26</f>
        <v>79080.988936574722</v>
      </c>
      <c r="BC23" s="90">
        <f>FixAsst!BC$26</f>
        <v>71172.890042917221</v>
      </c>
      <c r="BD23" s="90">
        <f>FixAsst!BD$26</f>
        <v>63264.791149259727</v>
      </c>
      <c r="BE23" s="90">
        <f>FixAsst!BE$26</f>
        <v>55356.692255602233</v>
      </c>
      <c r="BF23" s="90">
        <f>FixAsst!BF$26</f>
        <v>47448.593361944739</v>
      </c>
      <c r="BG23" s="90">
        <f>FixAsst!BG$26</f>
        <v>39540.494468287245</v>
      </c>
      <c r="BH23" s="90">
        <f>FixAsst!BH$26</f>
        <v>31632.395574629751</v>
      </c>
      <c r="BI23" s="90">
        <f>FixAsst!BI$26</f>
        <v>23724.296680972257</v>
      </c>
      <c r="BJ23" s="90">
        <f>FixAsst!BJ$26</f>
        <v>15816.197787314761</v>
      </c>
      <c r="BK23" s="90">
        <f>FixAsst!BK$26</f>
        <v>7908.0988936572649</v>
      </c>
      <c r="BL23" s="90">
        <f>FixAsst!BL$26</f>
        <v>-2.3101165425032377E-10</v>
      </c>
      <c r="BM23" s="90">
        <f>FixAsst!BM$26</f>
        <v>-2.3101165425032377E-10</v>
      </c>
      <c r="BN23" s="90">
        <f>FixAsst!BN$26</f>
        <v>-2.3101165425032377E-10</v>
      </c>
      <c r="BO23" s="90">
        <f>FixAsst!BO$26</f>
        <v>-2.3101165425032377E-10</v>
      </c>
      <c r="BP23" s="90">
        <f>FixAsst!BP$26</f>
        <v>-2.3101165425032377E-10</v>
      </c>
      <c r="BQ23" s="90">
        <f>FixAsst!BQ$26</f>
        <v>-2.3101165425032377E-10</v>
      </c>
      <c r="BR23" s="90">
        <f>FixAsst!BR$26</f>
        <v>-2.3101165425032377E-10</v>
      </c>
      <c r="BS23" s="90">
        <f>FixAsst!BS$26</f>
        <v>-2.3101165425032377E-10</v>
      </c>
      <c r="BT23" s="90">
        <f>FixAsst!BT$26</f>
        <v>-2.3101165425032377E-10</v>
      </c>
      <c r="BU23" s="90">
        <f>FixAsst!BU$26</f>
        <v>-2.3101165425032377E-10</v>
      </c>
      <c r="BV23" s="90">
        <f>FixAsst!BV$26</f>
        <v>-2.3101165425032377E-10</v>
      </c>
      <c r="BW23" s="90">
        <f>FixAsst!BW$26</f>
        <v>-2.3101165425032377E-10</v>
      </c>
      <c r="BX23" s="90">
        <f>FixAsst!BX$26</f>
        <v>-2.3101165425032377E-10</v>
      </c>
      <c r="BY23" s="90">
        <f>FixAsst!BY$26</f>
        <v>-2.3101165425032377E-10</v>
      </c>
      <c r="BZ23" s="90">
        <f>FixAsst!BZ$26</f>
        <v>-2.3101165425032377E-10</v>
      </c>
      <c r="CA23" s="90">
        <f>FixAsst!CA$26</f>
        <v>-2.3101165425032377E-10</v>
      </c>
    </row>
    <row r="24" spans="1:79" s="90" customFormat="1" x14ac:dyDescent="0.2">
      <c r="A24" s="82"/>
      <c r="B24" s="82"/>
      <c r="C24" s="83"/>
      <c r="D24" s="89"/>
      <c r="E24" s="90" t="str">
        <f>DSRA!E$60</f>
        <v>Senior DSRA balance</v>
      </c>
      <c r="F24" s="90">
        <f>DSRA!F$60</f>
        <v>0</v>
      </c>
      <c r="G24" s="90" t="str">
        <f>DSRA!G$60</f>
        <v>€ 000s</v>
      </c>
      <c r="H24" s="90">
        <f>DSRA!H$60</f>
        <v>0</v>
      </c>
      <c r="I24" s="90">
        <f>DSRA!I$60</f>
        <v>0</v>
      </c>
      <c r="J24" s="90">
        <f>DSRA!J$60</f>
        <v>0</v>
      </c>
      <c r="K24" s="90">
        <f>DSRA!K$60</f>
        <v>0</v>
      </c>
      <c r="L24" s="90">
        <f>DSRA!L$60</f>
        <v>0</v>
      </c>
      <c r="M24" s="90">
        <f>DSRA!M$60</f>
        <v>0</v>
      </c>
      <c r="N24" s="90">
        <f>DSRA!N$60</f>
        <v>8000</v>
      </c>
      <c r="O24" s="90">
        <f>DSRA!O$60</f>
        <v>15308.914325215337</v>
      </c>
      <c r="P24" s="90">
        <f>DSRA!P$60</f>
        <v>18644.973138297792</v>
      </c>
      <c r="Q24" s="90">
        <f>DSRA!Q$60</f>
        <v>17479.294210142154</v>
      </c>
      <c r="R24" s="90">
        <f>DSRA!R$60</f>
        <v>17590.408068105608</v>
      </c>
      <c r="S24" s="90">
        <f>DSRA!S$60</f>
        <v>17254.65413264605</v>
      </c>
      <c r="T24" s="90">
        <f>DSRA!T$60</f>
        <v>17328.582122808635</v>
      </c>
      <c r="U24" s="90">
        <f>DSRA!U$60</f>
        <v>17209.0532376991</v>
      </c>
      <c r="V24" s="90">
        <f>DSRA!V$60</f>
        <v>17275.937777527521</v>
      </c>
      <c r="W24" s="90">
        <f>DSRA!W$60</f>
        <v>17471.936103951146</v>
      </c>
      <c r="X24" s="90">
        <f>DSRA!X$60</f>
        <v>17372.343491207837</v>
      </c>
      <c r="Y24" s="90">
        <f>DSRA!Y$60</f>
        <v>17186.051087753283</v>
      </c>
      <c r="Z24" s="90">
        <f>DSRA!Z$60</f>
        <v>17254.565383558223</v>
      </c>
      <c r="AA24" s="90">
        <f>DSRA!AA$60</f>
        <v>17166.235836870459</v>
      </c>
      <c r="AB24" s="90">
        <f>DSRA!AB$60</f>
        <v>17250.321563540158</v>
      </c>
      <c r="AC24" s="90">
        <f>DSRA!AC$60</f>
        <v>17508.516864334983</v>
      </c>
      <c r="AD24" s="90">
        <f>DSRA!AD$60</f>
        <v>17622.583646493513</v>
      </c>
      <c r="AE24" s="90">
        <f>DSRA!AE$60</f>
        <v>17533.495698509745</v>
      </c>
      <c r="AF24" s="90">
        <f>DSRA!AF$60</f>
        <v>17659.535539426462</v>
      </c>
      <c r="AG24" s="90">
        <f>DSRA!AG$60</f>
        <v>17574.368687505015</v>
      </c>
      <c r="AH24" s="90">
        <f>DSRA!AH$60</f>
        <v>17582.807918947779</v>
      </c>
      <c r="AI24" s="90">
        <f>DSRA!AI$60</f>
        <v>17498.948099047106</v>
      </c>
      <c r="AJ24" s="90">
        <f>DSRA!AJ$60</f>
        <v>17644.165811034047</v>
      </c>
      <c r="AK24" s="90">
        <f>DSRA!AK$60</f>
        <v>17562.952327570492</v>
      </c>
      <c r="AL24" s="90">
        <f>DSRA!AL$60</f>
        <v>17715.899278297555</v>
      </c>
      <c r="AM24" s="90">
        <f>DSRA!AM$60</f>
        <v>17892.493826881931</v>
      </c>
      <c r="AN24" s="90">
        <f>DSRA!AN$60</f>
        <v>18071.452328442148</v>
      </c>
      <c r="AO24" s="90">
        <f>DSRA!AO$60</f>
        <v>17974.134919586853</v>
      </c>
      <c r="AP24" s="90">
        <f>DSRA!AP$60</f>
        <v>18159.87062421774</v>
      </c>
      <c r="AQ24" s="90">
        <f>DSRA!AQ$60</f>
        <v>18057.728492224036</v>
      </c>
      <c r="AR24" s="90">
        <f>DSRA!AR$60</f>
        <v>18246.812457895794</v>
      </c>
      <c r="AS24" s="90">
        <f>DSRA!AS$60</f>
        <v>18142.871139848805</v>
      </c>
      <c r="AT24" s="90">
        <f>DSRA!AT$60</f>
        <v>18338.054588284165</v>
      </c>
      <c r="AU24" s="90">
        <f>DSRA!AU$60</f>
        <v>18228.336511429316</v>
      </c>
      <c r="AV24" s="90">
        <f>DSRA!AV$60</f>
        <v>18425.641869873711</v>
      </c>
      <c r="AW24" s="90">
        <f>DSRA!AW$60</f>
        <v>18703.119927024381</v>
      </c>
      <c r="AX24" s="90">
        <f>DSRA!AX$60</f>
        <v>18926.880581741076</v>
      </c>
      <c r="AY24" s="90">
        <f>DSRA!AY$60</f>
        <v>18781.340145798389</v>
      </c>
      <c r="AZ24" s="90">
        <f>DSRA!AZ$60</f>
        <v>19003.527521230822</v>
      </c>
      <c r="BA24" s="90">
        <f>DSRA!BA$60</f>
        <v>18850.717728184958</v>
      </c>
      <c r="BB24" s="90">
        <f>DSRA!BB$60</f>
        <v>0</v>
      </c>
      <c r="BC24" s="90">
        <f>DSRA!BC$60</f>
        <v>0</v>
      </c>
      <c r="BD24" s="90">
        <f>DSRA!BD$60</f>
        <v>0</v>
      </c>
      <c r="BE24" s="90">
        <f>DSRA!BE$60</f>
        <v>0</v>
      </c>
      <c r="BF24" s="90">
        <f>DSRA!BF$60</f>
        <v>0</v>
      </c>
      <c r="BG24" s="90">
        <f>DSRA!BG$60</f>
        <v>0</v>
      </c>
      <c r="BH24" s="90">
        <f>DSRA!BH$60</f>
        <v>0</v>
      </c>
      <c r="BI24" s="90">
        <f>DSRA!BI$60</f>
        <v>0</v>
      </c>
      <c r="BJ24" s="90">
        <f>DSRA!BJ$60</f>
        <v>0</v>
      </c>
      <c r="BK24" s="90">
        <f>DSRA!BK$60</f>
        <v>0</v>
      </c>
      <c r="BL24" s="90">
        <f>DSRA!BL$60</f>
        <v>0</v>
      </c>
      <c r="BM24" s="90">
        <f>DSRA!BM$60</f>
        <v>0</v>
      </c>
      <c r="BN24" s="90">
        <f>DSRA!BN$60</f>
        <v>0</v>
      </c>
      <c r="BO24" s="90">
        <f>DSRA!BO$60</f>
        <v>0</v>
      </c>
      <c r="BP24" s="90">
        <f>DSRA!BP$60</f>
        <v>0</v>
      </c>
      <c r="BQ24" s="90">
        <f>DSRA!BQ$60</f>
        <v>0</v>
      </c>
      <c r="BR24" s="90">
        <f>DSRA!BR$60</f>
        <v>0</v>
      </c>
      <c r="BS24" s="90">
        <f>DSRA!BS$60</f>
        <v>0</v>
      </c>
      <c r="BT24" s="90">
        <f>DSRA!BT$60</f>
        <v>0</v>
      </c>
      <c r="BU24" s="90">
        <f>DSRA!BU$60</f>
        <v>0</v>
      </c>
      <c r="BV24" s="90">
        <f>DSRA!BV$60</f>
        <v>0</v>
      </c>
      <c r="BW24" s="90">
        <f>DSRA!BW$60</f>
        <v>0</v>
      </c>
      <c r="BX24" s="90">
        <f>DSRA!BX$60</f>
        <v>0</v>
      </c>
      <c r="BY24" s="90">
        <f>DSRA!BY$60</f>
        <v>0</v>
      </c>
      <c r="BZ24" s="90">
        <f>DSRA!BZ$60</f>
        <v>0</v>
      </c>
      <c r="CA24" s="90">
        <f>DSRA!CA$60</f>
        <v>0</v>
      </c>
    </row>
    <row r="25" spans="1:79" s="90" customFormat="1" x14ac:dyDescent="0.2">
      <c r="A25" s="82"/>
      <c r="B25" s="82"/>
      <c r="C25" s="83"/>
      <c r="D25" s="89"/>
      <c r="E25" s="90" t="str">
        <f>Equity!E$86</f>
        <v>Retained cash / (overdraft) balance</v>
      </c>
      <c r="G25" s="90" t="str">
        <f>Equity!G$86</f>
        <v>€ 000s</v>
      </c>
      <c r="J25" s="90">
        <f>Equity!J$86</f>
        <v>0</v>
      </c>
      <c r="K25" s="90">
        <f>Equity!K$86</f>
        <v>0</v>
      </c>
      <c r="L25" s="90">
        <f>Equity!L$86</f>
        <v>0</v>
      </c>
      <c r="M25" s="90">
        <f>Equity!M$86</f>
        <v>0</v>
      </c>
      <c r="N25" s="90">
        <f>Equity!N$86</f>
        <v>0</v>
      </c>
      <c r="O25" s="90">
        <f>Equity!O$86</f>
        <v>0</v>
      </c>
      <c r="P25" s="90">
        <f>Equity!P$86</f>
        <v>0</v>
      </c>
      <c r="Q25" s="90">
        <f>Equity!Q$86</f>
        <v>0</v>
      </c>
      <c r="R25" s="90">
        <f>Equity!R$86</f>
        <v>0</v>
      </c>
      <c r="S25" s="90">
        <f>Equity!S$86</f>
        <v>0</v>
      </c>
      <c r="T25" s="404">
        <f>Equity!T$86</f>
        <v>0</v>
      </c>
      <c r="U25" s="90">
        <f>Equity!U$86</f>
        <v>0</v>
      </c>
      <c r="V25" s="90">
        <f>Equity!V$86</f>
        <v>0</v>
      </c>
      <c r="W25" s="90">
        <f>Equity!W$86</f>
        <v>0</v>
      </c>
      <c r="X25" s="90">
        <f>Equity!X$86</f>
        <v>0</v>
      </c>
      <c r="Y25" s="90">
        <f>Equity!Y$86</f>
        <v>0</v>
      </c>
      <c r="Z25" s="90">
        <f>Equity!Z$86</f>
        <v>0</v>
      </c>
      <c r="AA25" s="90">
        <f>Equity!AA$86</f>
        <v>0</v>
      </c>
      <c r="AB25" s="90">
        <f>Equity!AB$86</f>
        <v>1593.8033678062739</v>
      </c>
      <c r="AC25" s="90">
        <f>Equity!AC$86</f>
        <v>4887.3547933510781</v>
      </c>
      <c r="AD25" s="90">
        <f>Equity!AD$86</f>
        <v>7702.7814594223564</v>
      </c>
      <c r="AE25" s="90">
        <f>Equity!AE$86</f>
        <v>10228.975771889969</v>
      </c>
      <c r="AF25" s="90">
        <f>Equity!AF$86</f>
        <v>12241.704642665243</v>
      </c>
      <c r="AG25" s="90">
        <f>Equity!AG$86</f>
        <v>13951.149083812066</v>
      </c>
      <c r="AH25" s="90">
        <f>Equity!AH$86</f>
        <v>15252.330449376517</v>
      </c>
      <c r="AI25" s="90">
        <f>Equity!AI$86</f>
        <v>15633.505419499961</v>
      </c>
      <c r="AJ25" s="90">
        <f>Equity!AJ$86</f>
        <v>15450.158519416265</v>
      </c>
      <c r="AK25" s="90">
        <f>Equity!AK$86</f>
        <v>14924.298265698259</v>
      </c>
      <c r="AL25" s="90">
        <f>Equity!AL$86</f>
        <v>13806.926101045088</v>
      </c>
      <c r="AM25" s="90">
        <f>Equity!AM$86</f>
        <v>12068.081909052382</v>
      </c>
      <c r="AN25" s="90">
        <f>Equity!AN$86</f>
        <v>9688.4253717451538</v>
      </c>
      <c r="AO25" s="90">
        <f>Equity!AO$86</f>
        <v>6925.1079574556734</v>
      </c>
      <c r="AP25" s="90">
        <f>Equity!AP$86</f>
        <v>3474.6383730949583</v>
      </c>
      <c r="AQ25" s="90">
        <f>Equity!AQ$86</f>
        <v>0</v>
      </c>
      <c r="AR25" s="90">
        <f>Equity!AR$86</f>
        <v>0</v>
      </c>
      <c r="AS25" s="90">
        <f>Equity!AS$86</f>
        <v>0</v>
      </c>
      <c r="AT25" s="90">
        <f>Equity!AT$86</f>
        <v>0</v>
      </c>
      <c r="AU25" s="90">
        <f>Equity!AU$86</f>
        <v>0</v>
      </c>
      <c r="AV25" s="90">
        <f>Equity!AV$86</f>
        <v>0</v>
      </c>
      <c r="AW25" s="90">
        <f>Equity!AW$86</f>
        <v>0</v>
      </c>
      <c r="AX25" s="90">
        <f>Equity!AX$86</f>
        <v>0</v>
      </c>
      <c r="AY25" s="90">
        <f>Equity!AY$86</f>
        <v>0</v>
      </c>
      <c r="AZ25" s="90">
        <f>Equity!AZ$86</f>
        <v>0</v>
      </c>
      <c r="BA25" s="90">
        <f>Equity!BA$86</f>
        <v>0</v>
      </c>
      <c r="BB25" s="90">
        <f>Equity!BB$86</f>
        <v>0</v>
      </c>
      <c r="BC25" s="90">
        <f>Equity!BC$86</f>
        <v>0</v>
      </c>
      <c r="BD25" s="90">
        <f>Equity!BD$86</f>
        <v>0</v>
      </c>
      <c r="BE25" s="90">
        <f>Equity!BE$86</f>
        <v>0</v>
      </c>
      <c r="BF25" s="90">
        <f>Equity!BF$86</f>
        <v>0</v>
      </c>
      <c r="BG25" s="90">
        <f>Equity!BG$86</f>
        <v>0</v>
      </c>
      <c r="BH25" s="90">
        <f>Equity!BH$86</f>
        <v>0</v>
      </c>
      <c r="BI25" s="90">
        <f>Equity!BI$86</f>
        <v>0</v>
      </c>
      <c r="BJ25" s="90">
        <f>Equity!BJ$86</f>
        <v>0</v>
      </c>
      <c r="BK25" s="90">
        <f>Equity!BK$86</f>
        <v>0</v>
      </c>
      <c r="BL25" s="90">
        <f>Equity!BL$86</f>
        <v>0</v>
      </c>
      <c r="BM25" s="90">
        <f>Equity!BM$86</f>
        <v>0</v>
      </c>
      <c r="BN25" s="90">
        <f>Equity!BN$86</f>
        <v>0</v>
      </c>
      <c r="BO25" s="90">
        <f>Equity!BO$86</f>
        <v>0</v>
      </c>
      <c r="BP25" s="90">
        <f>Equity!BP$86</f>
        <v>0</v>
      </c>
      <c r="BQ25" s="90">
        <f>Equity!BQ$86</f>
        <v>0</v>
      </c>
      <c r="BR25" s="90">
        <f>Equity!BR$86</f>
        <v>0</v>
      </c>
      <c r="BS25" s="90">
        <f>Equity!BS$86</f>
        <v>0</v>
      </c>
      <c r="BT25" s="90">
        <f>Equity!BT$86</f>
        <v>0</v>
      </c>
      <c r="BU25" s="90">
        <f>Equity!BU$86</f>
        <v>0</v>
      </c>
      <c r="BV25" s="90">
        <f>Equity!BV$86</f>
        <v>5.0931703299283981E-11</v>
      </c>
      <c r="BW25" s="90">
        <f>Equity!BW$86</f>
        <v>5.0931703299283981E-11</v>
      </c>
      <c r="BX25" s="90">
        <f>Equity!BX$86</f>
        <v>5.0931703299283981E-11</v>
      </c>
      <c r="BY25" s="90">
        <f>Equity!BY$86</f>
        <v>5.0931703299283981E-11</v>
      </c>
      <c r="BZ25" s="90">
        <f>Equity!BZ$86</f>
        <v>5.0931703299283981E-11</v>
      </c>
      <c r="CA25" s="90">
        <f>Equity!CA$86</f>
        <v>5.0931703299283981E-11</v>
      </c>
    </row>
    <row r="26" spans="1:79" x14ac:dyDescent="0.2">
      <c r="E26" s="87" t="s">
        <v>18</v>
      </c>
      <c r="G26" s="87" t="str">
        <f xml:space="preserve"> SMU</f>
        <v>€ 000s</v>
      </c>
      <c r="J26" s="150">
        <f t="shared" ref="J26:AO26" si="6">SUM(J23:J25)</f>
        <v>0</v>
      </c>
      <c r="K26" s="155">
        <f t="shared" si="6"/>
        <v>0</v>
      </c>
      <c r="L26" s="150">
        <f t="shared" si="6"/>
        <v>0</v>
      </c>
      <c r="M26" s="150">
        <f t="shared" si="6"/>
        <v>0</v>
      </c>
      <c r="N26" s="155">
        <f t="shared" si="6"/>
        <v>403404.94468287478</v>
      </c>
      <c r="O26" s="150">
        <f t="shared" si="6"/>
        <v>402805.7601144326</v>
      </c>
      <c r="P26" s="150">
        <f t="shared" si="6"/>
        <v>398233.72003385756</v>
      </c>
      <c r="Q26" s="150">
        <f t="shared" si="6"/>
        <v>389159.94221204444</v>
      </c>
      <c r="R26" s="150">
        <f t="shared" si="6"/>
        <v>381362.95717635041</v>
      </c>
      <c r="S26" s="150">
        <f t="shared" si="6"/>
        <v>373119.10434723331</v>
      </c>
      <c r="T26" s="150">
        <f t="shared" si="6"/>
        <v>365284.93344373838</v>
      </c>
      <c r="U26" s="150">
        <f t="shared" si="6"/>
        <v>357257.30566497135</v>
      </c>
      <c r="V26" s="150">
        <f t="shared" si="6"/>
        <v>349416.09131114231</v>
      </c>
      <c r="W26" s="150">
        <f t="shared" si="6"/>
        <v>341703.99074390839</v>
      </c>
      <c r="X26" s="150">
        <f t="shared" si="6"/>
        <v>333696.29923750763</v>
      </c>
      <c r="Y26" s="150">
        <f t="shared" si="6"/>
        <v>325601.90794039553</v>
      </c>
      <c r="Z26" s="150">
        <f t="shared" si="6"/>
        <v>317762.32334254298</v>
      </c>
      <c r="AA26" s="150">
        <f t="shared" si="6"/>
        <v>309765.8949021977</v>
      </c>
      <c r="AB26" s="150">
        <f t="shared" si="6"/>
        <v>303535.68510301615</v>
      </c>
      <c r="AC26" s="150">
        <f t="shared" si="6"/>
        <v>299179.33293569833</v>
      </c>
      <c r="AD26" s="150">
        <f t="shared" si="6"/>
        <v>294200.72749027063</v>
      </c>
      <c r="AE26" s="150">
        <f t="shared" si="6"/>
        <v>288729.73496109695</v>
      </c>
      <c r="AF26" s="150">
        <f t="shared" si="6"/>
        <v>282960.40477913141</v>
      </c>
      <c r="AG26" s="150">
        <f t="shared" si="6"/>
        <v>276676.58347469935</v>
      </c>
      <c r="AH26" s="150">
        <f t="shared" si="6"/>
        <v>270078.10517804907</v>
      </c>
      <c r="AI26" s="150">
        <f t="shared" si="6"/>
        <v>262467.32143461431</v>
      </c>
      <c r="AJ26" s="150">
        <f t="shared" si="6"/>
        <v>254521.09335286004</v>
      </c>
      <c r="AK26" s="150">
        <f t="shared" si="6"/>
        <v>246005.92072202099</v>
      </c>
      <c r="AL26" s="150">
        <f t="shared" si="6"/>
        <v>237133.3966144374</v>
      </c>
      <c r="AM26" s="150">
        <f t="shared" si="6"/>
        <v>227663.04807737155</v>
      </c>
      <c r="AN26" s="150">
        <f t="shared" si="6"/>
        <v>217554.25114796706</v>
      </c>
      <c r="AO26" s="150">
        <f t="shared" si="6"/>
        <v>206785.51743116477</v>
      </c>
      <c r="AP26" s="150">
        <f t="shared" ref="AP26:BU26" si="7">SUM(AP23:AP25)</f>
        <v>195612.68465777743</v>
      </c>
      <c r="AQ26" s="150">
        <f t="shared" si="7"/>
        <v>184127.80525903127</v>
      </c>
      <c r="AR26" s="150">
        <f t="shared" si="7"/>
        <v>176408.79033104551</v>
      </c>
      <c r="AS26" s="150">
        <f t="shared" si="7"/>
        <v>168396.75011934104</v>
      </c>
      <c r="AT26" s="150">
        <f t="shared" si="7"/>
        <v>160683.8346741189</v>
      </c>
      <c r="AU26" s="150">
        <f t="shared" si="7"/>
        <v>152666.01770360654</v>
      </c>
      <c r="AV26" s="150">
        <f t="shared" si="7"/>
        <v>144955.22416839344</v>
      </c>
      <c r="AW26" s="150">
        <f t="shared" si="7"/>
        <v>137324.60333188661</v>
      </c>
      <c r="AX26" s="150">
        <f t="shared" si="7"/>
        <v>129640.2650929458</v>
      </c>
      <c r="AY26" s="150">
        <f t="shared" si="7"/>
        <v>121586.62576334561</v>
      </c>
      <c r="AZ26" s="150">
        <f t="shared" si="7"/>
        <v>113900.71424512054</v>
      </c>
      <c r="BA26" s="150">
        <f t="shared" si="7"/>
        <v>105839.80555841718</v>
      </c>
      <c r="BB26" s="150">
        <f t="shared" si="7"/>
        <v>79080.988936574722</v>
      </c>
      <c r="BC26" s="150">
        <f t="shared" si="7"/>
        <v>71172.890042917221</v>
      </c>
      <c r="BD26" s="150">
        <f t="shared" si="7"/>
        <v>63264.791149259727</v>
      </c>
      <c r="BE26" s="150">
        <f t="shared" si="7"/>
        <v>55356.692255602233</v>
      </c>
      <c r="BF26" s="150">
        <f t="shared" si="7"/>
        <v>47448.593361944739</v>
      </c>
      <c r="BG26" s="150">
        <f t="shared" si="7"/>
        <v>39540.494468287245</v>
      </c>
      <c r="BH26" s="150">
        <f t="shared" si="7"/>
        <v>31632.395574629751</v>
      </c>
      <c r="BI26" s="150">
        <f t="shared" si="7"/>
        <v>23724.296680972257</v>
      </c>
      <c r="BJ26" s="150">
        <f t="shared" si="7"/>
        <v>15816.197787314761</v>
      </c>
      <c r="BK26" s="150">
        <f t="shared" si="7"/>
        <v>7908.0988936572649</v>
      </c>
      <c r="BL26" s="150">
        <f t="shared" si="7"/>
        <v>-2.3101165425032377E-10</v>
      </c>
      <c r="BM26" s="150">
        <f t="shared" si="7"/>
        <v>-2.3101165425032377E-10</v>
      </c>
      <c r="BN26" s="150">
        <f t="shared" si="7"/>
        <v>-2.3101165425032377E-10</v>
      </c>
      <c r="BO26" s="150">
        <f t="shared" si="7"/>
        <v>-2.3101165425032377E-10</v>
      </c>
      <c r="BP26" s="150">
        <f t="shared" si="7"/>
        <v>-2.3101165425032377E-10</v>
      </c>
      <c r="BQ26" s="150">
        <f t="shared" si="7"/>
        <v>-2.3101165425032377E-10</v>
      </c>
      <c r="BR26" s="150">
        <f t="shared" si="7"/>
        <v>-2.3101165425032377E-10</v>
      </c>
      <c r="BS26" s="150">
        <f t="shared" si="7"/>
        <v>-2.3101165425032377E-10</v>
      </c>
      <c r="BT26" s="150">
        <f t="shared" si="7"/>
        <v>-2.3101165425032377E-10</v>
      </c>
      <c r="BU26" s="150">
        <f t="shared" si="7"/>
        <v>-2.3101165425032377E-10</v>
      </c>
      <c r="BV26" s="150">
        <f t="shared" ref="BV26:CA26" si="8">SUM(BV23:BV25)</f>
        <v>-1.8007995095103979E-10</v>
      </c>
      <c r="BW26" s="150">
        <f t="shared" si="8"/>
        <v>-1.8007995095103979E-10</v>
      </c>
      <c r="BX26" s="150">
        <f t="shared" si="8"/>
        <v>-1.8007995095103979E-10</v>
      </c>
      <c r="BY26" s="150">
        <f t="shared" si="8"/>
        <v>-1.8007995095103979E-10</v>
      </c>
      <c r="BZ26" s="150">
        <f t="shared" si="8"/>
        <v>-1.8007995095103979E-10</v>
      </c>
      <c r="CA26" s="150">
        <f t="shared" si="8"/>
        <v>-1.8007995095103979E-10</v>
      </c>
    </row>
    <row r="27" spans="1:79" s="90" customFormat="1" x14ac:dyDescent="0.2">
      <c r="A27" s="82"/>
      <c r="B27" s="82"/>
      <c r="C27" s="83"/>
      <c r="D27" s="89"/>
    </row>
    <row r="28" spans="1:79" s="90" customFormat="1" x14ac:dyDescent="0.2">
      <c r="A28" s="82"/>
      <c r="B28" s="82"/>
      <c r="C28" s="83"/>
      <c r="D28" s="89"/>
      <c r="E28" s="90" t="str">
        <f>SrDebt!E$74</f>
        <v>Senior term debt balance</v>
      </c>
      <c r="G28" s="90" t="str">
        <f>SrDebt!G$74</f>
        <v>€ 000s</v>
      </c>
      <c r="J28" s="90">
        <f>SrDebt!J$74</f>
        <v>0</v>
      </c>
      <c r="K28" s="90">
        <f>SrDebt!K$74</f>
        <v>0</v>
      </c>
      <c r="L28" s="90">
        <f>SrDebt!L$74</f>
        <v>0</v>
      </c>
      <c r="M28" s="90">
        <f>SrDebt!M$74</f>
        <v>0</v>
      </c>
      <c r="N28" s="90">
        <f>SrDebt!N$74</f>
        <v>322723.95574629982</v>
      </c>
      <c r="O28" s="90">
        <f>SrDebt!O$74</f>
        <v>319687.12332272716</v>
      </c>
      <c r="P28" s="90">
        <f>SrDebt!P$74</f>
        <v>316430.838609247</v>
      </c>
      <c r="Q28" s="90">
        <f>SrDebt!Q$74</f>
        <v>312816.33030488843</v>
      </c>
      <c r="R28" s="90">
        <f>SrDebt!R$74</f>
        <v>310195.81178422848</v>
      </c>
      <c r="S28" s="90">
        <f>SrDebt!S$74</f>
        <v>307339.70477587375</v>
      </c>
      <c r="T28" s="90">
        <f>SrDebt!T$74</f>
        <v>304683.68662008172</v>
      </c>
      <c r="U28" s="90">
        <f>SrDebt!U$74</f>
        <v>301827.57961172698</v>
      </c>
      <c r="V28" s="90">
        <f>SrDebt!V$74</f>
        <v>298955.33640558494</v>
      </c>
      <c r="W28" s="90">
        <f>SrDebt!W$74</f>
        <v>295879.7771073227</v>
      </c>
      <c r="X28" s="90">
        <f>SrDebt!X$74</f>
        <v>292462.13041596941</v>
      </c>
      <c r="Y28" s="90">
        <f>SrDebt!Y$74</f>
        <v>288250.58279348019</v>
      </c>
      <c r="Z28" s="90">
        <f>SrDebt!Z$74</f>
        <v>284035.80793143349</v>
      </c>
      <c r="AA28" s="90">
        <f>SrDebt!AA$74</f>
        <v>279562.85390478978</v>
      </c>
      <c r="AB28" s="90">
        <f>SrDebt!AB$74</f>
        <v>274976.94649363484</v>
      </c>
      <c r="AC28" s="90">
        <f>SrDebt!AC$74</f>
        <v>270100.58752230823</v>
      </c>
      <c r="AD28" s="90">
        <f>SrDebt!AD$74</f>
        <v>264746.59709647711</v>
      </c>
      <c r="AE28" s="90">
        <f>SrDebt!AE$74</f>
        <v>259037.61031932506</v>
      </c>
      <c r="AF28" s="90">
        <f>SrDebt!AF$74</f>
        <v>253160.80708518493</v>
      </c>
      <c r="AG28" s="90">
        <f>SrDebt!AG$74</f>
        <v>246893.50786459178</v>
      </c>
      <c r="AH28" s="90">
        <f>SrDebt!AH$74</f>
        <v>240429.34703099341</v>
      </c>
      <c r="AI28" s="90">
        <f>SrDebt!AI$74</f>
        <v>233064.78636086284</v>
      </c>
      <c r="AJ28" s="90">
        <f>SrDebt!AJ$74</f>
        <v>225471.09168215242</v>
      </c>
      <c r="AK28" s="90">
        <f>SrDebt!AK$74</f>
        <v>217409.44726760985</v>
      </c>
      <c r="AL28" s="90">
        <f>SrDebt!AL$74</f>
        <v>209086.39644891277</v>
      </c>
      <c r="AM28" s="90">
        <f>SrDebt!AM$74</f>
        <v>200256.669019694</v>
      </c>
      <c r="AN28" s="90">
        <f>SrDebt!AN$74</f>
        <v>190875.08362614908</v>
      </c>
      <c r="AO28" s="90">
        <f>SrDebt!AO$74</f>
        <v>180915.82235181826</v>
      </c>
      <c r="AP28" s="90">
        <f>SrDebt!AP$74</f>
        <v>170630.60988218369</v>
      </c>
      <c r="AQ28" s="90">
        <f>SrDebt!AQ$74</f>
        <v>159722.54017795876</v>
      </c>
      <c r="AR28" s="90">
        <f>SrDebt!AR$74</f>
        <v>148453.01964329797</v>
      </c>
      <c r="AS28" s="90">
        <f>SrDebt!AS$74</f>
        <v>136515.46052024234</v>
      </c>
      <c r="AT28" s="90">
        <f>SrDebt!AT$74</f>
        <v>124174.49645250384</v>
      </c>
      <c r="AU28" s="90">
        <f>SrDebt!AU$74</f>
        <v>111113.85796345108</v>
      </c>
      <c r="AV28" s="90">
        <f>SrDebt!AV$74</f>
        <v>97607.860415468429</v>
      </c>
      <c r="AW28" s="90">
        <f>SrDebt!AW$74</f>
        <v>83330.552613252119</v>
      </c>
      <c r="AX28" s="90">
        <f>SrDebt!AX$74</f>
        <v>68168.981172290951</v>
      </c>
      <c r="AY28" s="90">
        <f>SrDebt!AY$74</f>
        <v>52139.282290372241</v>
      </c>
      <c r="AZ28" s="90">
        <f>SrDebt!AZ$74</f>
        <v>35573.861641914671</v>
      </c>
      <c r="BA28" s="90">
        <f>SrDebt!BA$74</f>
        <v>18082.22324046522</v>
      </c>
      <c r="BB28" s="90">
        <f>SrDebt!BB$74</f>
        <v>3.2741809263825417E-11</v>
      </c>
      <c r="BC28" s="90">
        <f>SrDebt!BC$74</f>
        <v>3.2741809263825417E-11</v>
      </c>
      <c r="BD28" s="90">
        <f>SrDebt!BD$74</f>
        <v>3.2741809263825417E-11</v>
      </c>
      <c r="BE28" s="90">
        <f>SrDebt!BE$74</f>
        <v>3.2741809263825417E-11</v>
      </c>
      <c r="BF28" s="90">
        <f>SrDebt!BF$74</f>
        <v>3.2741809263825417E-11</v>
      </c>
      <c r="BG28" s="90">
        <f>SrDebt!BG$74</f>
        <v>3.2741809263825417E-11</v>
      </c>
      <c r="BH28" s="90">
        <f>SrDebt!BH$74</f>
        <v>3.2741809263825417E-11</v>
      </c>
      <c r="BI28" s="90">
        <f>SrDebt!BI$74</f>
        <v>3.2741809263825417E-11</v>
      </c>
      <c r="BJ28" s="90">
        <f>SrDebt!BJ$74</f>
        <v>3.2741809263825417E-11</v>
      </c>
      <c r="BK28" s="90">
        <f>SrDebt!BK$74</f>
        <v>3.2741809263825417E-11</v>
      </c>
      <c r="BL28" s="90">
        <f>SrDebt!BL$74</f>
        <v>3.2741809263825417E-11</v>
      </c>
      <c r="BM28" s="90">
        <f>SrDebt!BM$74</f>
        <v>3.2741809263825417E-11</v>
      </c>
      <c r="BN28" s="90">
        <f>SrDebt!BN$74</f>
        <v>3.2741809263825417E-11</v>
      </c>
      <c r="BO28" s="90">
        <f>SrDebt!BO$74</f>
        <v>3.2741809263825417E-11</v>
      </c>
      <c r="BP28" s="90">
        <f>SrDebt!BP$74</f>
        <v>3.2741809263825417E-11</v>
      </c>
      <c r="BQ28" s="90">
        <f>SrDebt!BQ$74</f>
        <v>3.2741809263825417E-11</v>
      </c>
      <c r="BR28" s="90">
        <f>SrDebt!BR$74</f>
        <v>3.2741809263825417E-11</v>
      </c>
      <c r="BS28" s="90">
        <f>SrDebt!BS$74</f>
        <v>3.2741809263825417E-11</v>
      </c>
      <c r="BT28" s="90">
        <f>SrDebt!BT$74</f>
        <v>3.2741809263825417E-11</v>
      </c>
      <c r="BU28" s="90">
        <f>SrDebt!BU$74</f>
        <v>3.2741809263825417E-11</v>
      </c>
      <c r="BV28" s="90">
        <f>SrDebt!BV$74</f>
        <v>3.2741809263825417E-11</v>
      </c>
      <c r="BW28" s="90">
        <f>SrDebt!BW$74</f>
        <v>3.2741809263825417E-11</v>
      </c>
      <c r="BX28" s="90">
        <f>SrDebt!BX$74</f>
        <v>3.2741809263825417E-11</v>
      </c>
      <c r="BY28" s="90">
        <f>SrDebt!BY$74</f>
        <v>3.2741809263825417E-11</v>
      </c>
      <c r="BZ28" s="90">
        <f>SrDebt!BZ$74</f>
        <v>3.2741809263825417E-11</v>
      </c>
      <c r="CA28" s="90">
        <f>SrDebt!CA$74</f>
        <v>3.2741809263825417E-11</v>
      </c>
    </row>
    <row r="29" spans="1:79" s="90" customFormat="1" x14ac:dyDescent="0.2">
      <c r="A29" s="82"/>
      <c r="B29" s="82"/>
      <c r="C29" s="83"/>
      <c r="D29" s="89"/>
      <c r="E29" s="90" t="str">
        <f>Tax!E$49</f>
        <v>Deferred tax liability / (asset) balance</v>
      </c>
      <c r="G29" s="90" t="str">
        <f>Tax!G$49</f>
        <v>€ 000s</v>
      </c>
      <c r="J29" s="90">
        <f>Tax!J$49</f>
        <v>0</v>
      </c>
      <c r="K29" s="90">
        <f>Tax!K$49</f>
        <v>0</v>
      </c>
      <c r="L29" s="90">
        <f>Tax!L$49</f>
        <v>0</v>
      </c>
      <c r="M29" s="90">
        <f>Tax!M$49</f>
        <v>0</v>
      </c>
      <c r="N29" s="90">
        <f>Tax!N$49</f>
        <v>0</v>
      </c>
      <c r="O29" s="90">
        <f>Tax!O$49</f>
        <v>3558.6445021458721</v>
      </c>
      <c r="P29" s="90">
        <f>Tax!P$49</f>
        <v>6820.7352957795902</v>
      </c>
      <c r="Q29" s="90">
        <f>Tax!Q$49</f>
        <v>9801.1000663267569</v>
      </c>
      <c r="R29" s="90">
        <f>Tax!R$49</f>
        <v>12513.825114941705</v>
      </c>
      <c r="S29" s="90">
        <f>Tax!S$49</f>
        <v>14972.292427721044</v>
      </c>
      <c r="T29" s="90">
        <f>Tax!T$49</f>
        <v>17189.214891456555</v>
      </c>
      <c r="U29" s="90">
        <f>Tax!U$49</f>
        <v>19176.669748600427</v>
      </c>
      <c r="V29" s="90">
        <f>Tax!V$49</f>
        <v>20946.130379482245</v>
      </c>
      <c r="W29" s="90">
        <f>Tax!W$49</f>
        <v>22508.496495415107</v>
      </c>
      <c r="X29" s="90">
        <f>Tax!X$49</f>
        <v>23874.122822146463</v>
      </c>
      <c r="Y29" s="90">
        <f>Tax!Y$49</f>
        <v>25052.846349136387</v>
      </c>
      <c r="Z29" s="90">
        <f>Tax!Z$49</f>
        <v>26054.012216371957</v>
      </c>
      <c r="AA29" s="90">
        <f>Tax!AA$49</f>
        <v>26886.498306840884</v>
      </c>
      <c r="AB29" s="90">
        <f>Tax!AB$49</f>
        <v>27558.738609381504</v>
      </c>
      <c r="AC29" s="90">
        <f>Tax!AC$49</f>
        <v>28078.745413390228</v>
      </c>
      <c r="AD29" s="90">
        <f>Tax!AD$49</f>
        <v>28454.130393793654</v>
      </c>
      <c r="AE29" s="90">
        <f>Tax!AE$49</f>
        <v>28692.124641772047</v>
      </c>
      <c r="AF29" s="90">
        <f>Tax!AF$49</f>
        <v>28799.59769394666</v>
      </c>
      <c r="AG29" s="90">
        <f>Tax!AG$49</f>
        <v>28783.075610107677</v>
      </c>
      <c r="AH29" s="90">
        <f>Tax!AH$49</f>
        <v>28648.758147055782</v>
      </c>
      <c r="AI29" s="90">
        <f>Tax!AI$49</f>
        <v>28402.535073751616</v>
      </c>
      <c r="AJ29" s="90">
        <f>Tax!AJ$49</f>
        <v>28050.001670707799</v>
      </c>
      <c r="AK29" s="90">
        <f>Tax!AK$49</f>
        <v>27596.473454411309</v>
      </c>
      <c r="AL29" s="90">
        <f>Tax!AL$49</f>
        <v>27047.000165524783</v>
      </c>
      <c r="AM29" s="90">
        <f>Tax!AM$49</f>
        <v>26406.379057677725</v>
      </c>
      <c r="AN29" s="90">
        <f>Tax!AN$49</f>
        <v>25679.167521818152</v>
      </c>
      <c r="AO29" s="90">
        <f>Tax!AO$49</f>
        <v>24869.695079346697</v>
      </c>
      <c r="AP29" s="90">
        <f>Tax!AP$49</f>
        <v>23982.074775593952</v>
      </c>
      <c r="AQ29" s="90">
        <f>Tax!AQ$49</f>
        <v>23020.21400362398</v>
      </c>
      <c r="AR29" s="90">
        <f>Tax!AR$49</f>
        <v>21987.824786847646</v>
      </c>
      <c r="AS29" s="90">
        <f>Tax!AS$49</f>
        <v>20888.433547505265</v>
      </c>
      <c r="AT29" s="90">
        <f>Tax!AT$49</f>
        <v>19725.390386725139</v>
      </c>
      <c r="AU29" s="90">
        <f>Tax!AU$49</f>
        <v>18501.877900579158</v>
      </c>
      <c r="AV29" s="90">
        <f>Tax!AV$49</f>
        <v>17220.919555335611</v>
      </c>
      <c r="AW29" s="90">
        <f>Tax!AW$49</f>
        <v>15885.387643949383</v>
      </c>
      <c r="AX29" s="90">
        <f>Tax!AX$49</f>
        <v>14498.010844727602</v>
      </c>
      <c r="AY29" s="90">
        <f>Tax!AY$49</f>
        <v>13061.38140206205</v>
      </c>
      <c r="AZ29" s="90">
        <f>Tax!AZ$49</f>
        <v>11577.961948124912</v>
      </c>
      <c r="BA29" s="90">
        <f>Tax!BA$49</f>
        <v>10050.091983479768</v>
      </c>
      <c r="BB29" s="90">
        <f>Tax!BB$49</f>
        <v>8479.9940336620202</v>
      </c>
      <c r="BC29" s="90">
        <f>Tax!BC$49</f>
        <v>6869.779497930298</v>
      </c>
      <c r="BD29" s="90">
        <f>Tax!BD$49</f>
        <v>5221.4542055802976</v>
      </c>
      <c r="BE29" s="90">
        <f>Tax!BE$49</f>
        <v>3536.9236944429376</v>
      </c>
      <c r="BF29" s="90">
        <f>Tax!BF$49</f>
        <v>1817.9982254575825</v>
      </c>
      <c r="BG29" s="90">
        <f>Tax!BG$49</f>
        <v>66.397546516631337</v>
      </c>
      <c r="BH29" s="90">
        <f>Tax!BH$49</f>
        <v>-1716.2445818821343</v>
      </c>
      <c r="BI29" s="90">
        <f>Tax!BI$49</f>
        <v>-3528.376087265824</v>
      </c>
      <c r="BJ29" s="90">
        <f>Tax!BJ$49</f>
        <v>-5368.5225007851932</v>
      </c>
      <c r="BK29" s="90">
        <f>Tax!BK$49</f>
        <v>-7235.2830770334549</v>
      </c>
      <c r="BL29" s="90">
        <f>Tax!BL$49</f>
        <v>-9127.3271078741636</v>
      </c>
      <c r="BM29" s="90">
        <f>Tax!BM$49</f>
        <v>-8670.960752480456</v>
      </c>
      <c r="BN29" s="90">
        <f>Tax!BN$49</f>
        <v>-8237.4127148564312</v>
      </c>
      <c r="BO29" s="90">
        <f>Tax!BO$49</f>
        <v>-7825.5420791136075</v>
      </c>
      <c r="BP29" s="90">
        <f>Tax!BP$49</f>
        <v>-7434.2649751579265</v>
      </c>
      <c r="BQ29" s="90">
        <f>Tax!BQ$49</f>
        <v>-7062.5517264000282</v>
      </c>
      <c r="BR29" s="90">
        <f>Tax!BR$49</f>
        <v>-6709.4241400800238</v>
      </c>
      <c r="BS29" s="90">
        <f>Tax!BS$49</f>
        <v>-6373.9529330760215</v>
      </c>
      <c r="BT29" s="90">
        <f>Tax!BT$49</f>
        <v>-6055.255286422218</v>
      </c>
      <c r="BU29" s="90">
        <f>Tax!BU$49</f>
        <v>-5752.4925221011054</v>
      </c>
      <c r="BV29" s="90">
        <f>Tax!BV$49</f>
        <v>3.637978807091713E-11</v>
      </c>
      <c r="BW29" s="90">
        <f>Tax!BW$49</f>
        <v>3.637978807091713E-11</v>
      </c>
      <c r="BX29" s="90">
        <f>Tax!BX$49</f>
        <v>3.637978807091713E-11</v>
      </c>
      <c r="BY29" s="90">
        <f>Tax!BY$49</f>
        <v>3.637978807091713E-11</v>
      </c>
      <c r="BZ29" s="90">
        <f>Tax!BZ$49</f>
        <v>3.637978807091713E-11</v>
      </c>
      <c r="CA29" s="90">
        <f>Tax!CA$49</f>
        <v>3.637978807091713E-11</v>
      </c>
    </row>
    <row r="30" spans="1:79" s="90" customFormat="1" x14ac:dyDescent="0.2">
      <c r="A30" s="82"/>
      <c r="B30" s="82"/>
      <c r="C30" s="83"/>
      <c r="D30" s="89"/>
      <c r="E30" s="90" t="str">
        <f xml:space="preserve"> Equity!E$36</f>
        <v>Shareholder loan balance</v>
      </c>
      <c r="F30" s="90">
        <f xml:space="preserve"> Equity!F$36</f>
        <v>0</v>
      </c>
      <c r="G30" s="90" t="str">
        <f xml:space="preserve"> Equity!G$36</f>
        <v>€ 000s</v>
      </c>
      <c r="H30" s="90">
        <f xml:space="preserve"> Equity!H$36</f>
        <v>0</v>
      </c>
      <c r="I30" s="90">
        <f xml:space="preserve"> Equity!I$36</f>
        <v>0</v>
      </c>
      <c r="J30" s="90">
        <f xml:space="preserve"> Equity!J$36</f>
        <v>0</v>
      </c>
      <c r="K30" s="90">
        <f xml:space="preserve"> Equity!K$36</f>
        <v>0</v>
      </c>
      <c r="L30" s="90">
        <f xml:space="preserve"> Equity!L$36</f>
        <v>0</v>
      </c>
      <c r="M30" s="90">
        <f xml:space="preserve"> Equity!M$36</f>
        <v>0</v>
      </c>
      <c r="N30" s="90">
        <f xml:space="preserve"> Equity!N$36</f>
        <v>79680.988936574955</v>
      </c>
      <c r="O30" s="90">
        <f xml:space="preserve"> Equity!O$36</f>
        <v>79680.988936574955</v>
      </c>
      <c r="P30" s="90">
        <f xml:space="preserve"> Equity!P$36</f>
        <v>75674.177856224793</v>
      </c>
      <c r="Q30" s="90">
        <f xml:space="preserve"> Equity!Q$36</f>
        <v>67085.467833284914</v>
      </c>
      <c r="R30" s="90">
        <f xml:space="preserve"> Equity!R$36</f>
        <v>60238.294782486832</v>
      </c>
      <c r="S30" s="90">
        <f xml:space="preserve"> Equity!S$36</f>
        <v>52902.825019987504</v>
      </c>
      <c r="T30" s="90">
        <f xml:space="preserve"> Equity!T$36</f>
        <v>46107.152747557084</v>
      </c>
      <c r="U30" s="90">
        <f xml:space="preserve"> Equity!U$36</f>
        <v>39088.108168699546</v>
      </c>
      <c r="V30" s="90">
        <f xml:space="preserve"> Equity!V$36</f>
        <v>32307.143361870447</v>
      </c>
      <c r="W30" s="90">
        <f xml:space="preserve"> Equity!W$36</f>
        <v>25627.394788175239</v>
      </c>
      <c r="X30" s="90">
        <f xml:space="preserve"> Equity!X$36</f>
        <v>18574.65284651659</v>
      </c>
      <c r="Y30" s="90">
        <f xml:space="preserve"> Equity!Y$36</f>
        <v>11472.987635651036</v>
      </c>
      <c r="Z30" s="90">
        <f xml:space="preserve"> Equity!Z$36</f>
        <v>4702.423426889065</v>
      </c>
      <c r="AA30" s="90">
        <f xml:space="preserve"> Equity!AA$36</f>
        <v>0</v>
      </c>
      <c r="AB30" s="90">
        <f xml:space="preserve"> Equity!AB$36</f>
        <v>0</v>
      </c>
      <c r="AC30" s="90">
        <f xml:space="preserve"> Equity!AC$36</f>
        <v>0</v>
      </c>
      <c r="AD30" s="90">
        <f xml:space="preserve"> Equity!AD$36</f>
        <v>0</v>
      </c>
      <c r="AE30" s="90">
        <f xml:space="preserve"> Equity!AE$36</f>
        <v>0</v>
      </c>
      <c r="AF30" s="90">
        <f xml:space="preserve"> Equity!AF$36</f>
        <v>0</v>
      </c>
      <c r="AG30" s="90">
        <f xml:space="preserve"> Equity!AG$36</f>
        <v>0</v>
      </c>
      <c r="AH30" s="90">
        <f xml:space="preserve"> Equity!AH$36</f>
        <v>0</v>
      </c>
      <c r="AI30" s="90">
        <f xml:space="preserve"> Equity!AI$36</f>
        <v>0</v>
      </c>
      <c r="AJ30" s="90">
        <f xml:space="preserve"> Equity!AJ$36</f>
        <v>0</v>
      </c>
      <c r="AK30" s="90">
        <f xml:space="preserve"> Equity!AK$36</f>
        <v>0</v>
      </c>
      <c r="AL30" s="90">
        <f xml:space="preserve"> Equity!AL$36</f>
        <v>0</v>
      </c>
      <c r="AM30" s="90">
        <f xml:space="preserve"> Equity!AM$36</f>
        <v>0</v>
      </c>
      <c r="AN30" s="90">
        <f xml:space="preserve"> Equity!AN$36</f>
        <v>0</v>
      </c>
      <c r="AO30" s="90">
        <f xml:space="preserve"> Equity!AO$36</f>
        <v>0</v>
      </c>
      <c r="AP30" s="90">
        <f xml:space="preserve"> Equity!AP$36</f>
        <v>0</v>
      </c>
      <c r="AQ30" s="90">
        <f xml:space="preserve"> Equity!AQ$36</f>
        <v>0</v>
      </c>
      <c r="AR30" s="90">
        <f xml:space="preserve"> Equity!AR$36</f>
        <v>0</v>
      </c>
      <c r="AS30" s="90">
        <f xml:space="preserve"> Equity!AS$36</f>
        <v>0</v>
      </c>
      <c r="AT30" s="90">
        <f xml:space="preserve"> Equity!AT$36</f>
        <v>0</v>
      </c>
      <c r="AU30" s="90">
        <f xml:space="preserve"> Equity!AU$36</f>
        <v>0</v>
      </c>
      <c r="AV30" s="90">
        <f xml:space="preserve"> Equity!AV$36</f>
        <v>0</v>
      </c>
      <c r="AW30" s="90">
        <f xml:space="preserve"> Equity!AW$36</f>
        <v>0</v>
      </c>
      <c r="AX30" s="90">
        <f xml:space="preserve"> Equity!AX$36</f>
        <v>0</v>
      </c>
      <c r="AY30" s="90">
        <f xml:space="preserve"> Equity!AY$36</f>
        <v>0</v>
      </c>
      <c r="AZ30" s="90">
        <f xml:space="preserve"> Equity!AZ$36</f>
        <v>0</v>
      </c>
      <c r="BA30" s="90">
        <f xml:space="preserve"> Equity!BA$36</f>
        <v>0</v>
      </c>
      <c r="BB30" s="90">
        <f xml:space="preserve"> Equity!BB$36</f>
        <v>0</v>
      </c>
      <c r="BC30" s="90">
        <f xml:space="preserve"> Equity!BC$36</f>
        <v>0</v>
      </c>
      <c r="BD30" s="90">
        <f xml:space="preserve"> Equity!BD$36</f>
        <v>0</v>
      </c>
      <c r="BE30" s="90">
        <f xml:space="preserve"> Equity!BE$36</f>
        <v>0</v>
      </c>
      <c r="BF30" s="90">
        <f xml:space="preserve"> Equity!BF$36</f>
        <v>0</v>
      </c>
      <c r="BG30" s="90">
        <f xml:space="preserve"> Equity!BG$36</f>
        <v>0</v>
      </c>
      <c r="BH30" s="90">
        <f xml:space="preserve"> Equity!BH$36</f>
        <v>0</v>
      </c>
      <c r="BI30" s="90">
        <f xml:space="preserve"> Equity!BI$36</f>
        <v>0</v>
      </c>
      <c r="BJ30" s="90">
        <f xml:space="preserve"> Equity!BJ$36</f>
        <v>0</v>
      </c>
      <c r="BK30" s="90">
        <f xml:space="preserve"> Equity!BK$36</f>
        <v>0</v>
      </c>
      <c r="BL30" s="90">
        <f xml:space="preserve"> Equity!BL$36</f>
        <v>0</v>
      </c>
      <c r="BM30" s="90">
        <f xml:space="preserve"> Equity!BM$36</f>
        <v>0</v>
      </c>
      <c r="BN30" s="90">
        <f xml:space="preserve"> Equity!BN$36</f>
        <v>0</v>
      </c>
      <c r="BO30" s="90">
        <f xml:space="preserve"> Equity!BO$36</f>
        <v>0</v>
      </c>
      <c r="BP30" s="90">
        <f xml:space="preserve"> Equity!BP$36</f>
        <v>0</v>
      </c>
      <c r="BQ30" s="90">
        <f xml:space="preserve"> Equity!BQ$36</f>
        <v>0</v>
      </c>
      <c r="BR30" s="90">
        <f xml:space="preserve"> Equity!BR$36</f>
        <v>0</v>
      </c>
      <c r="BS30" s="90">
        <f xml:space="preserve"> Equity!BS$36</f>
        <v>0</v>
      </c>
      <c r="BT30" s="90">
        <f xml:space="preserve"> Equity!BT$36</f>
        <v>0</v>
      </c>
      <c r="BU30" s="90">
        <f xml:space="preserve"> Equity!BU$36</f>
        <v>0</v>
      </c>
      <c r="BV30" s="90">
        <f xml:space="preserve"> Equity!BV$36</f>
        <v>0</v>
      </c>
      <c r="BW30" s="90">
        <f xml:space="preserve"> Equity!BW$36</f>
        <v>0</v>
      </c>
      <c r="BX30" s="90">
        <f xml:space="preserve"> Equity!BX$36</f>
        <v>0</v>
      </c>
      <c r="BY30" s="90">
        <f xml:space="preserve"> Equity!BY$36</f>
        <v>0</v>
      </c>
      <c r="BZ30" s="90">
        <f xml:space="preserve"> Equity!BZ$36</f>
        <v>0</v>
      </c>
      <c r="CA30" s="90">
        <f xml:space="preserve"> Equity!CA$36</f>
        <v>0</v>
      </c>
    </row>
    <row r="31" spans="1:79" s="90" customFormat="1" x14ac:dyDescent="0.2">
      <c r="A31" s="82"/>
      <c r="B31" s="82"/>
      <c r="C31" s="83"/>
      <c r="D31" s="89"/>
      <c r="E31" s="90" t="str">
        <f>Equity!E$58</f>
        <v>Share capital balance</v>
      </c>
      <c r="G31" s="90" t="str">
        <f>Equity!G$58</f>
        <v>€ 000s</v>
      </c>
      <c r="J31" s="90">
        <f>Equity!J$58</f>
        <v>0</v>
      </c>
      <c r="K31" s="90">
        <f>Equity!K$58</f>
        <v>0</v>
      </c>
      <c r="L31" s="90">
        <f>Equity!L$58</f>
        <v>0</v>
      </c>
      <c r="M31" s="90">
        <f>Equity!M$58</f>
        <v>0</v>
      </c>
      <c r="N31" s="90">
        <f>Equity!N$58</f>
        <v>1000</v>
      </c>
      <c r="O31" s="90">
        <f>Equity!O$58</f>
        <v>1000</v>
      </c>
      <c r="P31" s="90">
        <f>Equity!P$58</f>
        <v>1000</v>
      </c>
      <c r="Q31" s="90">
        <f>Equity!Q$58</f>
        <v>1000</v>
      </c>
      <c r="R31" s="90">
        <f>Equity!R$58</f>
        <v>1000</v>
      </c>
      <c r="S31" s="90">
        <f>Equity!S$58</f>
        <v>1000</v>
      </c>
      <c r="T31" s="90">
        <f>Equity!T$58</f>
        <v>1000</v>
      </c>
      <c r="U31" s="90">
        <f>Equity!U$58</f>
        <v>1000</v>
      </c>
      <c r="V31" s="90">
        <f>Equity!V$58</f>
        <v>1000</v>
      </c>
      <c r="W31" s="90">
        <f>Equity!W$58</f>
        <v>1000</v>
      </c>
      <c r="X31" s="90">
        <f>Equity!X$58</f>
        <v>1000</v>
      </c>
      <c r="Y31" s="90">
        <f>Equity!Y$58</f>
        <v>1000</v>
      </c>
      <c r="Z31" s="90">
        <f>Equity!Z$58</f>
        <v>1000</v>
      </c>
      <c r="AA31" s="90">
        <f>Equity!AA$58</f>
        <v>1000</v>
      </c>
      <c r="AB31" s="90">
        <f>Equity!AB$58</f>
        <v>1000</v>
      </c>
      <c r="AC31" s="90">
        <f>Equity!AC$58</f>
        <v>1000</v>
      </c>
      <c r="AD31" s="90">
        <f>Equity!AD$58</f>
        <v>1000</v>
      </c>
      <c r="AE31" s="90">
        <f>Equity!AE$58</f>
        <v>1000</v>
      </c>
      <c r="AF31" s="90">
        <f>Equity!AF$58</f>
        <v>1000</v>
      </c>
      <c r="AG31" s="90">
        <f>Equity!AG$58</f>
        <v>1000</v>
      </c>
      <c r="AH31" s="90">
        <f>Equity!AH$58</f>
        <v>1000</v>
      </c>
      <c r="AI31" s="90">
        <f>Equity!AI$58</f>
        <v>1000</v>
      </c>
      <c r="AJ31" s="90">
        <f>Equity!AJ$58</f>
        <v>1000</v>
      </c>
      <c r="AK31" s="90">
        <f>Equity!AK$58</f>
        <v>1000</v>
      </c>
      <c r="AL31" s="90">
        <f>Equity!AL$58</f>
        <v>1000</v>
      </c>
      <c r="AM31" s="90">
        <f>Equity!AM$58</f>
        <v>1000</v>
      </c>
      <c r="AN31" s="90">
        <f>Equity!AN$58</f>
        <v>1000</v>
      </c>
      <c r="AO31" s="90">
        <f>Equity!AO$58</f>
        <v>1000</v>
      </c>
      <c r="AP31" s="90">
        <f>Equity!AP$58</f>
        <v>1000</v>
      </c>
      <c r="AQ31" s="90">
        <f>Equity!AQ$58</f>
        <v>1000</v>
      </c>
      <c r="AR31" s="90">
        <f>Equity!AR$58</f>
        <v>1000</v>
      </c>
      <c r="AS31" s="90">
        <f>Equity!AS$58</f>
        <v>1000</v>
      </c>
      <c r="AT31" s="90">
        <f>Equity!AT$58</f>
        <v>1000</v>
      </c>
      <c r="AU31" s="90">
        <f>Equity!AU$58</f>
        <v>1000</v>
      </c>
      <c r="AV31" s="90">
        <f>Equity!AV$58</f>
        <v>1000</v>
      </c>
      <c r="AW31" s="90">
        <f>Equity!AW$58</f>
        <v>1000</v>
      </c>
      <c r="AX31" s="90">
        <f>Equity!AX$58</f>
        <v>1000</v>
      </c>
      <c r="AY31" s="90">
        <f>Equity!AY$58</f>
        <v>1000</v>
      </c>
      <c r="AZ31" s="90">
        <f>Equity!AZ$58</f>
        <v>1000</v>
      </c>
      <c r="BA31" s="90">
        <f>Equity!BA$58</f>
        <v>1000</v>
      </c>
      <c r="BB31" s="90">
        <f>Equity!BB$58</f>
        <v>1000</v>
      </c>
      <c r="BC31" s="90">
        <f>Equity!BC$58</f>
        <v>1000</v>
      </c>
      <c r="BD31" s="90">
        <f>Equity!BD$58</f>
        <v>1000</v>
      </c>
      <c r="BE31" s="90">
        <f>Equity!BE$58</f>
        <v>1000</v>
      </c>
      <c r="BF31" s="90">
        <f>Equity!BF$58</f>
        <v>1000</v>
      </c>
      <c r="BG31" s="90">
        <f>Equity!BG$58</f>
        <v>1000</v>
      </c>
      <c r="BH31" s="90">
        <f>Equity!BH$58</f>
        <v>1000</v>
      </c>
      <c r="BI31" s="90">
        <f>Equity!BI$58</f>
        <v>1000</v>
      </c>
      <c r="BJ31" s="90">
        <f>Equity!BJ$58</f>
        <v>1000</v>
      </c>
      <c r="BK31" s="90">
        <f>Equity!BK$58</f>
        <v>1000</v>
      </c>
      <c r="BL31" s="90">
        <f>Equity!BL$58</f>
        <v>1000</v>
      </c>
      <c r="BM31" s="90">
        <f>Equity!BM$58</f>
        <v>1000</v>
      </c>
      <c r="BN31" s="90">
        <f>Equity!BN$58</f>
        <v>1000</v>
      </c>
      <c r="BO31" s="90">
        <f>Equity!BO$58</f>
        <v>1000</v>
      </c>
      <c r="BP31" s="90">
        <f>Equity!BP$58</f>
        <v>1000</v>
      </c>
      <c r="BQ31" s="90">
        <f>Equity!BQ$58</f>
        <v>1000</v>
      </c>
      <c r="BR31" s="90">
        <f>Equity!BR$58</f>
        <v>1000</v>
      </c>
      <c r="BS31" s="90">
        <f>Equity!BS$58</f>
        <v>1000</v>
      </c>
      <c r="BT31" s="90">
        <f>Equity!BT$58</f>
        <v>1000</v>
      </c>
      <c r="BU31" s="90">
        <f>Equity!BU$58</f>
        <v>1000</v>
      </c>
      <c r="BV31" s="90">
        <f>Equity!BV$58</f>
        <v>0</v>
      </c>
      <c r="BW31" s="90">
        <f>Equity!BW$58</f>
        <v>0</v>
      </c>
      <c r="BX31" s="90">
        <f>Equity!BX$58</f>
        <v>0</v>
      </c>
      <c r="BY31" s="90">
        <f>Equity!BY$58</f>
        <v>0</v>
      </c>
      <c r="BZ31" s="90">
        <f>Equity!BZ$58</f>
        <v>0</v>
      </c>
      <c r="CA31" s="90">
        <f>Equity!CA$58</f>
        <v>0</v>
      </c>
    </row>
    <row r="32" spans="1:79" s="90" customFormat="1" x14ac:dyDescent="0.2">
      <c r="A32" s="82"/>
      <c r="B32" s="82"/>
      <c r="C32" s="83"/>
      <c r="D32" s="89"/>
      <c r="E32" s="90" t="str">
        <f>Equity!E$94</f>
        <v>Retained earnings balance</v>
      </c>
      <c r="G32" s="90" t="str">
        <f>Equity!G$94</f>
        <v>€ 000s</v>
      </c>
      <c r="J32" s="90">
        <f>Equity!J$94</f>
        <v>0</v>
      </c>
      <c r="K32" s="90">
        <f>Equity!K$94</f>
        <v>0</v>
      </c>
      <c r="L32" s="90">
        <f>Equity!L$94</f>
        <v>0</v>
      </c>
      <c r="M32" s="90">
        <f>Equity!M$94</f>
        <v>0</v>
      </c>
      <c r="N32" s="90">
        <f>Equity!N$94</f>
        <v>0</v>
      </c>
      <c r="O32" s="90">
        <f>Equity!O$94</f>
        <v>-1120.9966470153497</v>
      </c>
      <c r="P32" s="90">
        <f>Equity!P$94</f>
        <v>-1692.0317273937849</v>
      </c>
      <c r="Q32" s="90">
        <f>Equity!Q$94</f>
        <v>-1542.955992455652</v>
      </c>
      <c r="R32" s="90">
        <f>Equity!R$94</f>
        <v>-2584.9745053066067</v>
      </c>
      <c r="S32" s="90">
        <f>Equity!S$94</f>
        <v>-3095.717876348911</v>
      </c>
      <c r="T32" s="90">
        <f>Equity!T$94</f>
        <v>-3695.1208153568678</v>
      </c>
      <c r="U32" s="90">
        <f>Equity!U$94</f>
        <v>-3835.051864055476</v>
      </c>
      <c r="V32" s="90">
        <f>Equity!V$94</f>
        <v>-3792.518835795202</v>
      </c>
      <c r="W32" s="90">
        <f>Equity!W$94</f>
        <v>-3311.6776470044924</v>
      </c>
      <c r="X32" s="90">
        <f>Equity!X$94</f>
        <v>-2214.6068471246872</v>
      </c>
      <c r="Y32" s="90">
        <f>Equity!Y$94</f>
        <v>-174.50883787189468</v>
      </c>
      <c r="Z32" s="90">
        <f>Equity!Z$94</f>
        <v>1970.0797678486269</v>
      </c>
      <c r="AA32" s="90">
        <f>Equity!AA$94</f>
        <v>2316.5426905672202</v>
      </c>
      <c r="AB32" s="90">
        <f>Equity!AB$94</f>
        <v>0</v>
      </c>
      <c r="AC32" s="90">
        <f>Equity!AC$94</f>
        <v>0</v>
      </c>
      <c r="AD32" s="90">
        <f>Equity!AD$94</f>
        <v>0</v>
      </c>
      <c r="AE32" s="90">
        <f>Equity!AE$94</f>
        <v>0</v>
      </c>
      <c r="AF32" s="90">
        <f>Equity!AF$94</f>
        <v>0</v>
      </c>
      <c r="AG32" s="90">
        <f>Equity!AG$94</f>
        <v>0</v>
      </c>
      <c r="AH32" s="90">
        <f>Equity!AH$94</f>
        <v>0</v>
      </c>
      <c r="AI32" s="90">
        <f>Equity!AI$94</f>
        <v>0</v>
      </c>
      <c r="AJ32" s="90">
        <f>Equity!AJ$94</f>
        <v>0</v>
      </c>
      <c r="AK32" s="90">
        <f>Equity!AK$94</f>
        <v>0</v>
      </c>
      <c r="AL32" s="90">
        <f>Equity!AL$94</f>
        <v>0</v>
      </c>
      <c r="AM32" s="90">
        <f>Equity!AM$94</f>
        <v>0</v>
      </c>
      <c r="AN32" s="90">
        <f>Equity!AN$94</f>
        <v>0</v>
      </c>
      <c r="AO32" s="90">
        <f>Equity!AO$94</f>
        <v>0</v>
      </c>
      <c r="AP32" s="90">
        <f>Equity!AP$94</f>
        <v>0</v>
      </c>
      <c r="AQ32" s="90">
        <f>Equity!AQ$94</f>
        <v>385.05107744874476</v>
      </c>
      <c r="AR32" s="90">
        <f>Equity!AR$94</f>
        <v>4967.9459009001293</v>
      </c>
      <c r="AS32" s="90">
        <f>Equity!AS$94</f>
        <v>9992.8560515936588</v>
      </c>
      <c r="AT32" s="90">
        <f>Equity!AT$94</f>
        <v>15783.947834890154</v>
      </c>
      <c r="AU32" s="90">
        <f>Equity!AU$94</f>
        <v>22050.281839576546</v>
      </c>
      <c r="AV32" s="90">
        <f>Equity!AV$94</f>
        <v>29126.444197589641</v>
      </c>
      <c r="AW32" s="90">
        <f>Equity!AW$94</f>
        <v>37108.663074685348</v>
      </c>
      <c r="AX32" s="90">
        <f>Equity!AX$94</f>
        <v>45973.273075927493</v>
      </c>
      <c r="AY32" s="90">
        <f>Equity!AY$94</f>
        <v>55385.96207091157</v>
      </c>
      <c r="AZ32" s="90">
        <f>Equity!AZ$94</f>
        <v>65748.89065508121</v>
      </c>
      <c r="BA32" s="90">
        <f>Equity!BA$94</f>
        <v>76707.490334472444</v>
      </c>
      <c r="BB32" s="90">
        <f>Equity!BB$94</f>
        <v>69600.99490291292</v>
      </c>
      <c r="BC32" s="90">
        <f>Equity!BC$94</f>
        <v>63303.110544987154</v>
      </c>
      <c r="BD32" s="90">
        <f>Equity!BD$94</f>
        <v>57043.336943679657</v>
      </c>
      <c r="BE32" s="90">
        <f>Equity!BE$94</f>
        <v>50819.768561159523</v>
      </c>
      <c r="BF32" s="90">
        <f>Equity!BF$94</f>
        <v>44630.595136487384</v>
      </c>
      <c r="BG32" s="90">
        <f>Equity!BG$94</f>
        <v>38474.096921770833</v>
      </c>
      <c r="BH32" s="90">
        <f>Equity!BH$94</f>
        <v>32348.640156512101</v>
      </c>
      <c r="BI32" s="90">
        <f>Equity!BI$94</f>
        <v>26252.672768238299</v>
      </c>
      <c r="BJ32" s="90">
        <f>Equity!BJ$94</f>
        <v>20184.720288100179</v>
      </c>
      <c r="BK32" s="90">
        <f>Equity!BK$94</f>
        <v>14143.381970690945</v>
      </c>
      <c r="BL32" s="90">
        <f>Equity!BL$94</f>
        <v>8127.32710787416</v>
      </c>
      <c r="BM32" s="90">
        <f>Equity!BM$94</f>
        <v>7670.9607524804524</v>
      </c>
      <c r="BN32" s="90">
        <f>Equity!BN$94</f>
        <v>7237.4127148564294</v>
      </c>
      <c r="BO32" s="90">
        <f>Equity!BO$94</f>
        <v>6825.5420791136057</v>
      </c>
      <c r="BP32" s="90">
        <f>Equity!BP$94</f>
        <v>6434.2649751579229</v>
      </c>
      <c r="BQ32" s="90">
        <f>Equity!BQ$94</f>
        <v>6062.5517264000227</v>
      </c>
      <c r="BR32" s="90">
        <f>Equity!BR$94</f>
        <v>5709.4241400800165</v>
      </c>
      <c r="BS32" s="90">
        <f>Equity!BS$94</f>
        <v>5373.9529330760124</v>
      </c>
      <c r="BT32" s="90">
        <f>Equity!BT$94</f>
        <v>5055.2552864222089</v>
      </c>
      <c r="BU32" s="90">
        <f>Equity!BU$94</f>
        <v>4752.4925221010926</v>
      </c>
      <c r="BV32" s="90">
        <f>Equity!BV$94</f>
        <v>0</v>
      </c>
      <c r="BW32" s="90">
        <f>Equity!BW$94</f>
        <v>0</v>
      </c>
      <c r="BX32" s="90">
        <f>Equity!BX$94</f>
        <v>0</v>
      </c>
      <c r="BY32" s="90">
        <f>Equity!BY$94</f>
        <v>0</v>
      </c>
      <c r="BZ32" s="90">
        <f>Equity!BZ$94</f>
        <v>0</v>
      </c>
      <c r="CA32" s="90">
        <f>Equity!CA$94</f>
        <v>0</v>
      </c>
    </row>
    <row r="33" spans="1:79" x14ac:dyDescent="0.2">
      <c r="E33" s="87" t="s">
        <v>19</v>
      </c>
      <c r="G33" s="87" t="str">
        <f xml:space="preserve"> SMU</f>
        <v>€ 000s</v>
      </c>
      <c r="J33" s="150">
        <f t="shared" ref="J33:AO33" si="9">SUM(J28:J32)</f>
        <v>0</v>
      </c>
      <c r="K33" s="155">
        <f t="shared" si="9"/>
        <v>0</v>
      </c>
      <c r="L33" s="150">
        <f t="shared" si="9"/>
        <v>0</v>
      </c>
      <c r="M33" s="150">
        <f t="shared" si="9"/>
        <v>0</v>
      </c>
      <c r="N33" s="155">
        <f t="shared" si="9"/>
        <v>403404.94468287478</v>
      </c>
      <c r="O33" s="150">
        <f t="shared" si="9"/>
        <v>402805.76011443266</v>
      </c>
      <c r="P33" s="150">
        <f t="shared" si="9"/>
        <v>398233.72003385756</v>
      </c>
      <c r="Q33" s="150">
        <f t="shared" si="9"/>
        <v>389159.94221204444</v>
      </c>
      <c r="R33" s="150">
        <f t="shared" si="9"/>
        <v>381362.95717635035</v>
      </c>
      <c r="S33" s="150">
        <f t="shared" si="9"/>
        <v>373119.10434723337</v>
      </c>
      <c r="T33" s="150">
        <f t="shared" si="9"/>
        <v>365284.9334437385</v>
      </c>
      <c r="U33" s="150">
        <f t="shared" si="9"/>
        <v>357257.30566497147</v>
      </c>
      <c r="V33" s="150">
        <f t="shared" si="9"/>
        <v>349416.09131114237</v>
      </c>
      <c r="W33" s="150">
        <f t="shared" si="9"/>
        <v>341703.99074390857</v>
      </c>
      <c r="X33" s="150">
        <f t="shared" si="9"/>
        <v>333696.29923750774</v>
      </c>
      <c r="Y33" s="150">
        <f t="shared" si="9"/>
        <v>325601.9079403957</v>
      </c>
      <c r="Z33" s="150">
        <f t="shared" si="9"/>
        <v>317762.3233425431</v>
      </c>
      <c r="AA33" s="150">
        <f t="shared" si="9"/>
        <v>309765.89490219788</v>
      </c>
      <c r="AB33" s="150">
        <f t="shared" si="9"/>
        <v>303535.68510301632</v>
      </c>
      <c r="AC33" s="150">
        <f t="shared" si="9"/>
        <v>299179.33293569845</v>
      </c>
      <c r="AD33" s="150">
        <f t="shared" si="9"/>
        <v>294200.72749027074</v>
      </c>
      <c r="AE33" s="150">
        <f t="shared" si="9"/>
        <v>288729.73496109713</v>
      </c>
      <c r="AF33" s="150">
        <f t="shared" si="9"/>
        <v>282960.40477913158</v>
      </c>
      <c r="AG33" s="150">
        <f t="shared" si="9"/>
        <v>276676.58347469947</v>
      </c>
      <c r="AH33" s="150">
        <f t="shared" si="9"/>
        <v>270078.10517804918</v>
      </c>
      <c r="AI33" s="150">
        <f t="shared" si="9"/>
        <v>262467.32143461448</v>
      </c>
      <c r="AJ33" s="150">
        <f t="shared" si="9"/>
        <v>254521.09335286022</v>
      </c>
      <c r="AK33" s="150">
        <f t="shared" si="9"/>
        <v>246005.92072202117</v>
      </c>
      <c r="AL33" s="150">
        <f t="shared" si="9"/>
        <v>237133.39661443754</v>
      </c>
      <c r="AM33" s="150">
        <f t="shared" si="9"/>
        <v>227663.04807737173</v>
      </c>
      <c r="AN33" s="150">
        <f t="shared" si="9"/>
        <v>217554.25114796724</v>
      </c>
      <c r="AO33" s="150">
        <f t="shared" si="9"/>
        <v>206785.51743116498</v>
      </c>
      <c r="AP33" s="150">
        <f t="shared" ref="AP33:BU33" si="10">SUM(AP28:AP32)</f>
        <v>195612.68465777766</v>
      </c>
      <c r="AQ33" s="150">
        <f t="shared" si="10"/>
        <v>184127.80525903148</v>
      </c>
      <c r="AR33" s="150">
        <f t="shared" si="10"/>
        <v>176408.79033104575</v>
      </c>
      <c r="AS33" s="150">
        <f t="shared" si="10"/>
        <v>168396.75011934128</v>
      </c>
      <c r="AT33" s="150">
        <f t="shared" si="10"/>
        <v>160683.83467411913</v>
      </c>
      <c r="AU33" s="150">
        <f t="shared" si="10"/>
        <v>152666.01770360678</v>
      </c>
      <c r="AV33" s="150">
        <f t="shared" si="10"/>
        <v>144955.22416839367</v>
      </c>
      <c r="AW33" s="150">
        <f t="shared" si="10"/>
        <v>137324.60333188684</v>
      </c>
      <c r="AX33" s="150">
        <f t="shared" si="10"/>
        <v>129640.26509294604</v>
      </c>
      <c r="AY33" s="150">
        <f t="shared" si="10"/>
        <v>121586.62576334586</v>
      </c>
      <c r="AZ33" s="150">
        <f t="shared" si="10"/>
        <v>113900.71424512079</v>
      </c>
      <c r="BA33" s="150">
        <f t="shared" si="10"/>
        <v>105839.80555841743</v>
      </c>
      <c r="BB33" s="150">
        <f t="shared" si="10"/>
        <v>79080.98893657497</v>
      </c>
      <c r="BC33" s="150">
        <f t="shared" si="10"/>
        <v>71172.890042917483</v>
      </c>
      <c r="BD33" s="150">
        <f t="shared" si="10"/>
        <v>63264.791149259989</v>
      </c>
      <c r="BE33" s="150">
        <f t="shared" si="10"/>
        <v>55356.692255602495</v>
      </c>
      <c r="BF33" s="150">
        <f t="shared" si="10"/>
        <v>47448.593361945001</v>
      </c>
      <c r="BG33" s="150">
        <f t="shared" si="10"/>
        <v>39540.494468287499</v>
      </c>
      <c r="BH33" s="150">
        <f t="shared" si="10"/>
        <v>31632.395574629998</v>
      </c>
      <c r="BI33" s="150">
        <f t="shared" si="10"/>
        <v>23724.296680972508</v>
      </c>
      <c r="BJ33" s="150">
        <f t="shared" si="10"/>
        <v>15816.197787315019</v>
      </c>
      <c r="BK33" s="150">
        <f t="shared" si="10"/>
        <v>7908.0988936575231</v>
      </c>
      <c r="BL33" s="150">
        <f t="shared" si="10"/>
        <v>2.9103830456733704E-11</v>
      </c>
      <c r="BM33" s="150">
        <f t="shared" si="10"/>
        <v>2.9103830456733704E-11</v>
      </c>
      <c r="BN33" s="150">
        <f t="shared" si="10"/>
        <v>3.092281986027956E-11</v>
      </c>
      <c r="BO33" s="150">
        <f t="shared" si="10"/>
        <v>3.092281986027956E-11</v>
      </c>
      <c r="BP33" s="150">
        <f t="shared" si="10"/>
        <v>2.9103830456733704E-11</v>
      </c>
      <c r="BQ33" s="150">
        <f t="shared" si="10"/>
        <v>2.7284841053187847E-11</v>
      </c>
      <c r="BR33" s="150">
        <f t="shared" si="10"/>
        <v>2.5465851649641991E-11</v>
      </c>
      <c r="BS33" s="150">
        <f t="shared" si="10"/>
        <v>2.3646862246096134E-11</v>
      </c>
      <c r="BT33" s="150">
        <f t="shared" si="10"/>
        <v>2.3646862246096134E-11</v>
      </c>
      <c r="BU33" s="150">
        <f t="shared" si="10"/>
        <v>2.0008883439004421E-11</v>
      </c>
      <c r="BV33" s="150">
        <f t="shared" ref="BV33:CA33" si="11">SUM(BV28:BV32)</f>
        <v>6.9121597334742546E-11</v>
      </c>
      <c r="BW33" s="150">
        <f t="shared" si="11"/>
        <v>6.9121597334742546E-11</v>
      </c>
      <c r="BX33" s="150">
        <f t="shared" si="11"/>
        <v>6.9121597334742546E-11</v>
      </c>
      <c r="BY33" s="150">
        <f t="shared" si="11"/>
        <v>6.9121597334742546E-11</v>
      </c>
      <c r="BZ33" s="150">
        <f t="shared" si="11"/>
        <v>6.9121597334742546E-11</v>
      </c>
      <c r="CA33" s="150">
        <f t="shared" si="11"/>
        <v>6.9121597334742546E-11</v>
      </c>
    </row>
    <row r="35" spans="1:79" x14ac:dyDescent="0.2">
      <c r="E35" s="90" t="s">
        <v>36</v>
      </c>
      <c r="G35" s="87" t="str">
        <f xml:space="preserve"> SMU</f>
        <v>€ 000s</v>
      </c>
      <c r="H35" s="279">
        <f>SUM(J35:CA35)</f>
        <v>1.2882082955911756E-8</v>
      </c>
      <c r="J35" s="87">
        <f t="shared" ref="J35:AO35" si="12" xml:space="preserve"> ABS( J26 - J33 )</f>
        <v>0</v>
      </c>
      <c r="K35" s="87">
        <f t="shared" si="12"/>
        <v>0</v>
      </c>
      <c r="L35" s="87">
        <f t="shared" si="12"/>
        <v>0</v>
      </c>
      <c r="M35" s="87">
        <f t="shared" si="12"/>
        <v>0</v>
      </c>
      <c r="N35" s="87">
        <f t="shared" si="12"/>
        <v>0</v>
      </c>
      <c r="O35" s="87">
        <f t="shared" si="12"/>
        <v>5.8207660913467407E-11</v>
      </c>
      <c r="P35" s="87">
        <f t="shared" si="12"/>
        <v>0</v>
      </c>
      <c r="Q35" s="87">
        <f t="shared" si="12"/>
        <v>0</v>
      </c>
      <c r="R35" s="87">
        <f t="shared" si="12"/>
        <v>5.8207660913467407E-11</v>
      </c>
      <c r="S35" s="87">
        <f t="shared" si="12"/>
        <v>5.8207660913467407E-11</v>
      </c>
      <c r="T35" s="87">
        <f t="shared" si="12"/>
        <v>1.1641532182693481E-10</v>
      </c>
      <c r="U35" s="87">
        <f t="shared" si="12"/>
        <v>1.1641532182693481E-10</v>
      </c>
      <c r="V35" s="87">
        <f t="shared" si="12"/>
        <v>5.8207660913467407E-11</v>
      </c>
      <c r="W35" s="87">
        <f t="shared" si="12"/>
        <v>1.7462298274040222E-10</v>
      </c>
      <c r="X35" s="87">
        <f t="shared" si="12"/>
        <v>1.1641532182693481E-10</v>
      </c>
      <c r="Y35" s="87">
        <f t="shared" si="12"/>
        <v>1.7462298274040222E-10</v>
      </c>
      <c r="Z35" s="87">
        <f t="shared" si="12"/>
        <v>1.1641532182693481E-10</v>
      </c>
      <c r="AA35" s="87">
        <f t="shared" si="12"/>
        <v>1.7462298274040222E-10</v>
      </c>
      <c r="AB35" s="87">
        <f t="shared" si="12"/>
        <v>1.7462298274040222E-10</v>
      </c>
      <c r="AC35" s="87">
        <f t="shared" si="12"/>
        <v>1.1641532182693481E-10</v>
      </c>
      <c r="AD35" s="87">
        <f t="shared" si="12"/>
        <v>1.1641532182693481E-10</v>
      </c>
      <c r="AE35" s="87">
        <f t="shared" si="12"/>
        <v>1.7462298274040222E-10</v>
      </c>
      <c r="AF35" s="87">
        <f t="shared" si="12"/>
        <v>1.7462298274040222E-10</v>
      </c>
      <c r="AG35" s="87">
        <f t="shared" si="12"/>
        <v>1.1641532182693481E-10</v>
      </c>
      <c r="AH35" s="87">
        <f t="shared" si="12"/>
        <v>1.1641532182693481E-10</v>
      </c>
      <c r="AI35" s="87">
        <f t="shared" si="12"/>
        <v>1.7462298274040222E-10</v>
      </c>
      <c r="AJ35" s="87">
        <f t="shared" si="12"/>
        <v>1.7462298274040222E-10</v>
      </c>
      <c r="AK35" s="87">
        <f t="shared" si="12"/>
        <v>1.7462298274040222E-10</v>
      </c>
      <c r="AL35" s="87">
        <f t="shared" si="12"/>
        <v>1.4551915228366852E-10</v>
      </c>
      <c r="AM35" s="87">
        <f t="shared" si="12"/>
        <v>1.7462298274040222E-10</v>
      </c>
      <c r="AN35" s="87">
        <f t="shared" si="12"/>
        <v>1.7462298274040222E-10</v>
      </c>
      <c r="AO35" s="87">
        <f t="shared" si="12"/>
        <v>2.0372681319713593E-10</v>
      </c>
      <c r="AP35" s="87">
        <f t="shared" ref="AP35:BU35" si="13" xml:space="preserve"> ABS( AP26 - AP33 )</f>
        <v>2.3283064365386963E-10</v>
      </c>
      <c r="AQ35" s="87">
        <f t="shared" si="13"/>
        <v>2.0372681319713593E-10</v>
      </c>
      <c r="AR35" s="87">
        <f t="shared" si="13"/>
        <v>2.3283064365386963E-10</v>
      </c>
      <c r="AS35" s="87">
        <f t="shared" si="13"/>
        <v>2.3283064365386963E-10</v>
      </c>
      <c r="AT35" s="87">
        <f t="shared" si="13"/>
        <v>2.3283064365386963E-10</v>
      </c>
      <c r="AU35" s="87">
        <f t="shared" si="13"/>
        <v>2.3283064365386963E-10</v>
      </c>
      <c r="AV35" s="87">
        <f t="shared" si="13"/>
        <v>2.3283064365386963E-10</v>
      </c>
      <c r="AW35" s="87">
        <f t="shared" si="13"/>
        <v>2.3283064365386963E-10</v>
      </c>
      <c r="AX35" s="87">
        <f t="shared" si="13"/>
        <v>2.3283064365386963E-10</v>
      </c>
      <c r="AY35" s="87">
        <f t="shared" si="13"/>
        <v>2.4738255888223648E-10</v>
      </c>
      <c r="AZ35" s="87">
        <f t="shared" si="13"/>
        <v>2.4738255888223648E-10</v>
      </c>
      <c r="BA35" s="87">
        <f t="shared" si="13"/>
        <v>2.4738255888223648E-10</v>
      </c>
      <c r="BB35" s="87">
        <f t="shared" si="13"/>
        <v>2.4738255888223648E-10</v>
      </c>
      <c r="BC35" s="87">
        <f t="shared" si="13"/>
        <v>2.6193447411060333E-10</v>
      </c>
      <c r="BD35" s="87">
        <f t="shared" si="13"/>
        <v>2.6193447411060333E-10</v>
      </c>
      <c r="BE35" s="87">
        <f t="shared" si="13"/>
        <v>2.6193447411060333E-10</v>
      </c>
      <c r="BF35" s="87">
        <f t="shared" si="13"/>
        <v>2.6193447411060333E-10</v>
      </c>
      <c r="BG35" s="87">
        <f t="shared" si="13"/>
        <v>2.5465851649641991E-10</v>
      </c>
      <c r="BH35" s="87">
        <f t="shared" si="13"/>
        <v>2.4738255888223648E-10</v>
      </c>
      <c r="BI35" s="87">
        <f t="shared" si="13"/>
        <v>2.5102053768932819E-10</v>
      </c>
      <c r="BJ35" s="87">
        <f t="shared" si="13"/>
        <v>2.5829649530351162E-10</v>
      </c>
      <c r="BK35" s="87">
        <f t="shared" si="13"/>
        <v>2.5829649530351162E-10</v>
      </c>
      <c r="BL35" s="87">
        <f t="shared" si="13"/>
        <v>2.6011548470705748E-10</v>
      </c>
      <c r="BM35" s="87">
        <f t="shared" si="13"/>
        <v>2.6011548470705748E-10</v>
      </c>
      <c r="BN35" s="87">
        <f t="shared" si="13"/>
        <v>2.6193447411060333E-10</v>
      </c>
      <c r="BO35" s="87">
        <f t="shared" si="13"/>
        <v>2.6193447411060333E-10</v>
      </c>
      <c r="BP35" s="87">
        <f t="shared" si="13"/>
        <v>2.6011548470705748E-10</v>
      </c>
      <c r="BQ35" s="87">
        <f t="shared" si="13"/>
        <v>2.5829649530351162E-10</v>
      </c>
      <c r="BR35" s="87">
        <f t="shared" si="13"/>
        <v>2.5647750589996576E-10</v>
      </c>
      <c r="BS35" s="87">
        <f t="shared" si="13"/>
        <v>2.5465851649641991E-10</v>
      </c>
      <c r="BT35" s="87">
        <f t="shared" si="13"/>
        <v>2.5465851649641991E-10</v>
      </c>
      <c r="BU35" s="87">
        <f t="shared" si="13"/>
        <v>2.5102053768932819E-10</v>
      </c>
      <c r="BV35" s="87">
        <f t="shared" ref="BV35:CA35" si="14" xml:space="preserve"> ABS( BV26 - BV33 )</f>
        <v>2.4920154828578234E-10</v>
      </c>
      <c r="BW35" s="87">
        <f t="shared" si="14"/>
        <v>2.4920154828578234E-10</v>
      </c>
      <c r="BX35" s="87">
        <f t="shared" si="14"/>
        <v>2.4920154828578234E-10</v>
      </c>
      <c r="BY35" s="87">
        <f t="shared" si="14"/>
        <v>2.4920154828578234E-10</v>
      </c>
      <c r="BZ35" s="87">
        <f t="shared" si="14"/>
        <v>2.4920154828578234E-10</v>
      </c>
      <c r="CA35" s="87">
        <f t="shared" si="14"/>
        <v>2.4920154828578234E-10</v>
      </c>
    </row>
    <row r="38" spans="1:79" x14ac:dyDescent="0.2">
      <c r="A38" s="81" t="s">
        <v>20</v>
      </c>
    </row>
    <row r="40" spans="1:79" s="90" customFormat="1" x14ac:dyDescent="0.2">
      <c r="A40" s="82"/>
      <c r="B40" s="82"/>
      <c r="C40" s="83"/>
      <c r="D40" s="89"/>
      <c r="E40" s="90" t="str">
        <f>E$10</f>
        <v>Operating income / EBITDA</v>
      </c>
      <c r="G40" s="90" t="str">
        <f t="shared" ref="G40:BQ40" si="15">G$10</f>
        <v>€ 000s</v>
      </c>
      <c r="H40" s="90">
        <f t="shared" si="15"/>
        <v>1935399.1418492154</v>
      </c>
      <c r="J40" s="90">
        <f t="shared" si="15"/>
        <v>0</v>
      </c>
      <c r="K40" s="90">
        <f t="shared" si="15"/>
        <v>0</v>
      </c>
      <c r="L40" s="90">
        <f t="shared" si="15"/>
        <v>0</v>
      </c>
      <c r="M40" s="90">
        <f t="shared" si="15"/>
        <v>0</v>
      </c>
      <c r="N40" s="90">
        <f t="shared" si="15"/>
        <v>0</v>
      </c>
      <c r="O40" s="90">
        <f t="shared" si="15"/>
        <v>21636.063010156238</v>
      </c>
      <c r="P40" s="90">
        <f t="shared" si="15"/>
        <v>22277.472850946415</v>
      </c>
      <c r="Q40" s="90">
        <f t="shared" si="15"/>
        <v>23151.529063222635</v>
      </c>
      <c r="R40" s="90">
        <f t="shared" si="15"/>
        <v>21278.276707638332</v>
      </c>
      <c r="S40" s="90">
        <f t="shared" si="15"/>
        <v>21912.766566205057</v>
      </c>
      <c r="T40" s="90">
        <f t="shared" si="15"/>
        <v>21650.444957642991</v>
      </c>
      <c r="U40" s="90">
        <f t="shared" si="15"/>
        <v>22180.672509970507</v>
      </c>
      <c r="V40" s="90">
        <f t="shared" si="15"/>
        <v>22305.670394157776</v>
      </c>
      <c r="W40" s="90">
        <f t="shared" si="15"/>
        <v>22795.39335690951</v>
      </c>
      <c r="X40" s="90">
        <f t="shared" si="15"/>
        <v>23529.632306083618</v>
      </c>
      <c r="Y40" s="90">
        <f t="shared" si="15"/>
        <v>23983.320489880109</v>
      </c>
      <c r="Z40" s="90">
        <f t="shared" si="15"/>
        <v>23943.073127536278</v>
      </c>
      <c r="AA40" s="90">
        <f t="shared" si="15"/>
        <v>24405.932004267408</v>
      </c>
      <c r="AB40" s="90">
        <f t="shared" si="15"/>
        <v>24541.649955724679</v>
      </c>
      <c r="AC40" s="90">
        <f t="shared" si="15"/>
        <v>25016.080304374089</v>
      </c>
      <c r="AD40" s="90">
        <f t="shared" si="15"/>
        <v>25833.053004353627</v>
      </c>
      <c r="AE40" s="90">
        <f t="shared" si="15"/>
        <v>26364.145080817674</v>
      </c>
      <c r="AF40" s="90">
        <f t="shared" si="15"/>
        <v>26478.879329462459</v>
      </c>
      <c r="AG40" s="90">
        <f t="shared" si="15"/>
        <v>27023.248707838109</v>
      </c>
      <c r="AH40" s="90">
        <f t="shared" si="15"/>
        <v>27140.851312699011</v>
      </c>
      <c r="AI40" s="90">
        <f t="shared" si="15"/>
        <v>27698.82992553405</v>
      </c>
      <c r="AJ40" s="90">
        <f t="shared" si="15"/>
        <v>27819.372595516477</v>
      </c>
      <c r="AK40" s="90">
        <f t="shared" si="15"/>
        <v>28391.300673672398</v>
      </c>
      <c r="AL40" s="90">
        <f t="shared" si="15"/>
        <v>28514.856910404385</v>
      </c>
      <c r="AM40" s="90">
        <f t="shared" si="15"/>
        <v>29101.083190514204</v>
      </c>
      <c r="AN40" s="90">
        <f t="shared" si="15"/>
        <v>29735.923037062785</v>
      </c>
      <c r="AO40" s="90">
        <f t="shared" si="15"/>
        <v>30384.278827817376</v>
      </c>
      <c r="AP40" s="90">
        <f t="shared" si="15"/>
        <v>30479.32111298935</v>
      </c>
      <c r="AQ40" s="90">
        <f t="shared" si="15"/>
        <v>31143.885798512794</v>
      </c>
      <c r="AR40" s="90">
        <f t="shared" si="15"/>
        <v>31241.304140814067</v>
      </c>
      <c r="AS40" s="90">
        <f t="shared" si="15"/>
        <v>31922.482943475603</v>
      </c>
      <c r="AT40" s="90">
        <f t="shared" si="15"/>
        <v>32022.33674433441</v>
      </c>
      <c r="AU40" s="90">
        <f t="shared" si="15"/>
        <v>32720.545017062475</v>
      </c>
      <c r="AV40" s="90">
        <f t="shared" si="15"/>
        <v>32822.895162942761</v>
      </c>
      <c r="AW40" s="90">
        <f t="shared" si="15"/>
        <v>33538.558642489035</v>
      </c>
      <c r="AX40" s="90">
        <f t="shared" si="15"/>
        <v>34431.677034878951</v>
      </c>
      <c r="AY40" s="90">
        <f t="shared" si="15"/>
        <v>35221.593378356396</v>
      </c>
      <c r="AZ40" s="90">
        <f t="shared" si="15"/>
        <v>35292.468960750921</v>
      </c>
      <c r="BA40" s="90">
        <f t="shared" si="15"/>
        <v>36102.133212815301</v>
      </c>
      <c r="BB40" s="90">
        <f t="shared" si="15"/>
        <v>36174.780684769685</v>
      </c>
      <c r="BC40" s="90">
        <f t="shared" si="15"/>
        <v>37004.686543135678</v>
      </c>
      <c r="BD40" s="90">
        <f t="shared" si="15"/>
        <v>37079.150201888915</v>
      </c>
      <c r="BE40" s="90">
        <f t="shared" si="15"/>
        <v>37929.803706714054</v>
      </c>
      <c r="BF40" s="90">
        <f t="shared" si="15"/>
        <v>37826.609273579015</v>
      </c>
      <c r="BG40" s="90">
        <f t="shared" si="15"/>
        <v>38696.298972338089</v>
      </c>
      <c r="BH40" s="90">
        <f t="shared" si="15"/>
        <v>38772.274505418478</v>
      </c>
      <c r="BI40" s="90">
        <f t="shared" si="15"/>
        <v>38019.035558142998</v>
      </c>
      <c r="BJ40" s="90">
        <f t="shared" si="15"/>
        <v>41218.075866882857</v>
      </c>
      <c r="BK40" s="90">
        <f t="shared" si="15"/>
        <v>38778.560535058663</v>
      </c>
      <c r="BL40" s="90">
        <f t="shared" si="15"/>
        <v>42248.527763554928</v>
      </c>
      <c r="BM40" s="90">
        <f t="shared" si="15"/>
        <v>39748.024548435103</v>
      </c>
      <c r="BN40" s="90">
        <f t="shared" si="15"/>
        <v>43304.740957643786</v>
      </c>
      <c r="BO40" s="90">
        <f t="shared" si="15"/>
        <v>40741.725162145987</v>
      </c>
      <c r="BP40" s="90">
        <f t="shared" si="15"/>
        <v>44387.359481584863</v>
      </c>
      <c r="BQ40" s="90">
        <f t="shared" si="15"/>
        <v>41760.268291199623</v>
      </c>
      <c r="BR40" s="90">
        <f t="shared" ref="BR40:CA40" si="16">BR$10</f>
        <v>43659.082012651306</v>
      </c>
      <c r="BS40" s="90">
        <f t="shared" si="16"/>
        <v>44665.069149234623</v>
      </c>
      <c r="BT40" s="90">
        <f t="shared" si="16"/>
        <v>45219.936003477036</v>
      </c>
      <c r="BU40" s="90">
        <f t="shared" si="16"/>
        <v>45781.695877965481</v>
      </c>
      <c r="BV40" s="90">
        <f t="shared" si="16"/>
        <v>46350.434403563944</v>
      </c>
      <c r="BW40" s="90">
        <f t="shared" si="16"/>
        <v>0</v>
      </c>
      <c r="BX40" s="90">
        <f t="shared" si="16"/>
        <v>0</v>
      </c>
      <c r="BY40" s="90">
        <f t="shared" si="16"/>
        <v>0</v>
      </c>
      <c r="BZ40" s="90">
        <f t="shared" si="16"/>
        <v>0</v>
      </c>
      <c r="CA40" s="90">
        <f t="shared" si="16"/>
        <v>0</v>
      </c>
    </row>
    <row r="41" spans="1:79" s="90" customFormat="1" x14ac:dyDescent="0.2">
      <c r="A41" s="82"/>
      <c r="B41" s="82"/>
      <c r="C41" s="83"/>
      <c r="D41" s="89"/>
      <c r="E41" s="219" t="str">
        <f>Tax!E$33</f>
        <v xml:space="preserve">[Tax payments </v>
      </c>
      <c r="G41" s="90" t="str">
        <f>Tax!G$33</f>
        <v>€ 000s</v>
      </c>
      <c r="H41" s="90">
        <f>Tax!H$33</f>
        <v>-344315.96904956095</v>
      </c>
      <c r="J41" s="90">
        <f>Tax!J$33</f>
        <v>0</v>
      </c>
      <c r="K41" s="90">
        <f>Tax!K$33</f>
        <v>0</v>
      </c>
      <c r="L41" s="90">
        <f>Tax!L$33</f>
        <v>0</v>
      </c>
      <c r="M41" s="90">
        <f>Tax!M$33</f>
        <v>0</v>
      </c>
      <c r="N41" s="90">
        <f>Tax!N$33</f>
        <v>0</v>
      </c>
      <c r="O41" s="90">
        <f>Tax!O$33</f>
        <v>4039.0716365810222</v>
      </c>
      <c r="P41" s="90">
        <f>Tax!P$33</f>
        <v>3506.8201137959045</v>
      </c>
      <c r="Q41" s="90">
        <f>Tax!Q$33</f>
        <v>2916.4751698593959</v>
      </c>
      <c r="R41" s="90">
        <f>Tax!R$33</f>
        <v>3159.3044112653574</v>
      </c>
      <c r="S41" s="90">
        <f>Tax!S$33</f>
        <v>2677.3573289403262</v>
      </c>
      <c r="T41" s="90">
        <f>Tax!T$33</f>
        <v>2473.8094375960636</v>
      </c>
      <c r="U41" s="90">
        <f>Tax!U$33</f>
        <v>2047.425306586134</v>
      </c>
      <c r="V41" s="90">
        <f>Tax!V$33</f>
        <v>1751.2321901988416</v>
      </c>
      <c r="W41" s="90">
        <f>Tax!W$33</f>
        <v>1356.291320736844</v>
      </c>
      <c r="X41" s="90">
        <f>Tax!X$33</f>
        <v>895.45312678286894</v>
      </c>
      <c r="Y41" s="90">
        <f>Tax!Y$33</f>
        <v>304.39580873873052</v>
      </c>
      <c r="Z41" s="90">
        <f>Tax!Z$33</f>
        <v>82.056464783917548</v>
      </c>
      <c r="AA41" s="90">
        <f>Tax!AA$33</f>
        <v>-282.38043563969404</v>
      </c>
      <c r="AB41" s="90">
        <f>Tax!AB$33</f>
        <v>-543.72648836487565</v>
      </c>
      <c r="AC41" s="90">
        <f>Tax!AC$33</f>
        <v>-900.19884154218346</v>
      </c>
      <c r="AD41" s="90">
        <f>Tax!AD$33</f>
        <v>-1355.7433212542528</v>
      </c>
      <c r="AE41" s="90">
        <f>Tax!AE$33</f>
        <v>-1724.7405473672202</v>
      </c>
      <c r="AF41" s="90">
        <f>Tax!AF$33</f>
        <v>-1966.753339255989</v>
      </c>
      <c r="AG41" s="90">
        <f>Tax!AG$33</f>
        <v>-2333.3961324431702</v>
      </c>
      <c r="AH41" s="90">
        <f>Tax!AH$33</f>
        <v>-2571.0808325923613</v>
      </c>
      <c r="AI41" s="90">
        <f>Tax!AI$33</f>
        <v>-3117.9682082219647</v>
      </c>
      <c r="AJ41" s="90">
        <f>Tax!AJ$33</f>
        <v>-3354.339487500511</v>
      </c>
      <c r="AK41" s="90">
        <f>Tax!AK$33</f>
        <v>-3723.7323313535167</v>
      </c>
      <c r="AL41" s="90">
        <f>Tax!AL$33</f>
        <v>-3959.5302412485689</v>
      </c>
      <c r="AM41" s="90">
        <f>Tax!AM$33</f>
        <v>-4332.6648421804366</v>
      </c>
      <c r="AN41" s="90">
        <f>Tax!AN$33</f>
        <v>-4722.2862488800611</v>
      </c>
      <c r="AO41" s="90">
        <f>Tax!AO$33</f>
        <v>-5118.6691064860197</v>
      </c>
      <c r="AP41" s="90">
        <f>Tax!AP$33</f>
        <v>-5352.3102345666193</v>
      </c>
      <c r="AQ41" s="90">
        <f>Tax!AQ$33</f>
        <v>-5757.0565674287191</v>
      </c>
      <c r="AR41" s="90">
        <f>Tax!AR$33</f>
        <v>-5995.8884036543323</v>
      </c>
      <c r="AS41" s="90">
        <f>Tax!AS$33</f>
        <v>-6410.9304538357646</v>
      </c>
      <c r="AT41" s="90">
        <f>Tax!AT$33</f>
        <v>-6656.742394350109</v>
      </c>
      <c r="AU41" s="90">
        <f>Tax!AU$33</f>
        <v>-7084.0214933980515</v>
      </c>
      <c r="AV41" s="90">
        <f>Tax!AV$33</f>
        <v>-7338.6955369951229</v>
      </c>
      <c r="AW41" s="90">
        <f>Tax!AW$33</f>
        <v>-7780.1696157384686</v>
      </c>
      <c r="AX41" s="90">
        <f>Tax!AX$33</f>
        <v>-8281.9856957692518</v>
      </c>
      <c r="AY41" s="90">
        <f>Tax!AY$33</f>
        <v>-8761.523278128514</v>
      </c>
      <c r="AZ41" s="90">
        <f>Tax!AZ$33</f>
        <v>-9033.9546248629176</v>
      </c>
      <c r="BA41" s="90">
        <f>Tax!BA$33</f>
        <v>-9532.5135244580742</v>
      </c>
      <c r="BB41" s="90">
        <f>Tax!BB$33</f>
        <v>-9819.5541408354729</v>
      </c>
      <c r="BC41" s="90">
        <f>Tax!BC$33</f>
        <v>-10339.190830575177</v>
      </c>
      <c r="BD41" s="90">
        <f>Tax!BD$33</f>
        <v>-10399.640684819426</v>
      </c>
      <c r="BE41" s="90">
        <f>Tax!BE$33</f>
        <v>-10691.041955054328</v>
      </c>
      <c r="BF41" s="90">
        <f>Tax!BF$33</f>
        <v>-10694.47858296181</v>
      </c>
      <c r="BG41" s="90">
        <f>Tax!BG$33</f>
        <v>-10988.06070254513</v>
      </c>
      <c r="BH41" s="90">
        <f>Tax!BH$33</f>
        <v>-11041.894811927061</v>
      </c>
      <c r="BI41" s="90">
        <f>Tax!BI$33</f>
        <v>-10845.41250472934</v>
      </c>
      <c r="BJ41" s="90">
        <f>Tax!BJ$33</f>
        <v>-11833.139505486977</v>
      </c>
      <c r="BK41" s="90">
        <f>Tax!BK$33</f>
        <v>-11127.899068668612</v>
      </c>
      <c r="BL41" s="90">
        <f>Tax!BL$33</f>
        <v>-12194.172691809939</v>
      </c>
      <c r="BM41" s="90">
        <f>Tax!BM$33</f>
        <v>-11468.041009136823</v>
      </c>
      <c r="BN41" s="90">
        <f>Tax!BN$33</f>
        <v>-12557.87424966911</v>
      </c>
      <c r="BO41" s="90">
        <f>Tax!BO$33</f>
        <v>-11810.646912900973</v>
      </c>
      <c r="BP41" s="90">
        <f>Tax!BP$33</f>
        <v>-12924.930740519778</v>
      </c>
      <c r="BQ41" s="90">
        <f>Tax!BQ$33</f>
        <v>-12156.367238601988</v>
      </c>
      <c r="BR41" s="90">
        <f>Tax!BR$33</f>
        <v>-12744.597017475387</v>
      </c>
      <c r="BS41" s="90">
        <f>Tax!BS$33</f>
        <v>-13064.049537766385</v>
      </c>
      <c r="BT41" s="90">
        <f>Tax!BT$33</f>
        <v>-13247.283154389306</v>
      </c>
      <c r="BU41" s="90">
        <f>Tax!BU$33</f>
        <v>-13431.745999068531</v>
      </c>
      <c r="BV41" s="90">
        <f>Tax!BV$33</f>
        <v>-8152.6377989680404</v>
      </c>
      <c r="BW41" s="90">
        <f>Tax!BW$33</f>
        <v>0</v>
      </c>
      <c r="BX41" s="90">
        <f>Tax!BX$33</f>
        <v>0</v>
      </c>
      <c r="BY41" s="90">
        <f>Tax!BY$33</f>
        <v>0</v>
      </c>
      <c r="BZ41" s="90">
        <f>Tax!BZ$33</f>
        <v>0</v>
      </c>
      <c r="CA41" s="90">
        <f>Tax!CA$33</f>
        <v>0</v>
      </c>
    </row>
    <row r="42" spans="1:79" s="219" customFormat="1" x14ac:dyDescent="0.2">
      <c r="A42" s="148"/>
      <c r="B42" s="148"/>
      <c r="C42" s="149"/>
      <c r="D42" s="218"/>
      <c r="E42" s="219" t="s">
        <v>96</v>
      </c>
    </row>
    <row r="43" spans="1:79" s="140" customFormat="1" x14ac:dyDescent="0.2">
      <c r="A43" s="137"/>
      <c r="B43" s="145"/>
      <c r="C43" s="146"/>
      <c r="D43" s="139"/>
      <c r="E43" s="140" t="s">
        <v>21</v>
      </c>
      <c r="H43" s="140">
        <f>SUM(J43:CA43)</f>
        <v>1591083.1727996543</v>
      </c>
      <c r="J43" s="147">
        <f t="shared" ref="J43:AO43" si="17">SUM(J40:J42)</f>
        <v>0</v>
      </c>
      <c r="K43" s="147">
        <f t="shared" si="17"/>
        <v>0</v>
      </c>
      <c r="L43" s="147">
        <f t="shared" si="17"/>
        <v>0</v>
      </c>
      <c r="M43" s="147">
        <f t="shared" si="17"/>
        <v>0</v>
      </c>
      <c r="N43" s="147">
        <f t="shared" si="17"/>
        <v>0</v>
      </c>
      <c r="O43" s="147">
        <f t="shared" si="17"/>
        <v>25675.13464673726</v>
      </c>
      <c r="P43" s="147">
        <f t="shared" si="17"/>
        <v>25784.292964742319</v>
      </c>
      <c r="Q43" s="147">
        <f t="shared" si="17"/>
        <v>26068.004233082032</v>
      </c>
      <c r="R43" s="147">
        <f t="shared" si="17"/>
        <v>24437.58111890369</v>
      </c>
      <c r="S43" s="147">
        <f t="shared" si="17"/>
        <v>24590.123895145382</v>
      </c>
      <c r="T43" s="147">
        <f t="shared" si="17"/>
        <v>24124.254395239055</v>
      </c>
      <c r="U43" s="147">
        <f t="shared" si="17"/>
        <v>24228.097816556641</v>
      </c>
      <c r="V43" s="147">
        <f t="shared" si="17"/>
        <v>24056.90258435662</v>
      </c>
      <c r="W43" s="147">
        <f t="shared" si="17"/>
        <v>24151.684677646354</v>
      </c>
      <c r="X43" s="147">
        <f t="shared" si="17"/>
        <v>24425.085432866486</v>
      </c>
      <c r="Y43" s="147">
        <f t="shared" si="17"/>
        <v>24287.716298618838</v>
      </c>
      <c r="Z43" s="147">
        <f t="shared" si="17"/>
        <v>24025.129592320194</v>
      </c>
      <c r="AA43" s="147">
        <f t="shared" si="17"/>
        <v>24123.551568627714</v>
      </c>
      <c r="AB43" s="147">
        <f t="shared" si="17"/>
        <v>23997.923467359804</v>
      </c>
      <c r="AC43" s="147">
        <f t="shared" si="17"/>
        <v>24115.881462831905</v>
      </c>
      <c r="AD43" s="147">
        <f t="shared" si="17"/>
        <v>24477.309683099375</v>
      </c>
      <c r="AE43" s="147">
        <f t="shared" si="17"/>
        <v>24639.404533450455</v>
      </c>
      <c r="AF43" s="147">
        <f t="shared" si="17"/>
        <v>24512.12599020647</v>
      </c>
      <c r="AG43" s="147">
        <f t="shared" si="17"/>
        <v>24689.85257539494</v>
      </c>
      <c r="AH43" s="147">
        <f t="shared" si="17"/>
        <v>24569.77048010665</v>
      </c>
      <c r="AI43" s="147">
        <f t="shared" si="17"/>
        <v>24580.861717312084</v>
      </c>
      <c r="AJ43" s="147">
        <f t="shared" si="17"/>
        <v>24465.033108015967</v>
      </c>
      <c r="AK43" s="147">
        <f t="shared" si="17"/>
        <v>24667.568342318882</v>
      </c>
      <c r="AL43" s="147">
        <f t="shared" si="17"/>
        <v>24555.326669155816</v>
      </c>
      <c r="AM43" s="147">
        <f t="shared" si="17"/>
        <v>24768.418348333769</v>
      </c>
      <c r="AN43" s="147">
        <f t="shared" si="17"/>
        <v>25013.636788182725</v>
      </c>
      <c r="AO43" s="147">
        <f t="shared" si="17"/>
        <v>25265.609721331355</v>
      </c>
      <c r="AP43" s="147">
        <f t="shared" ref="AP43:BU43" si="18">SUM(AP40:AP42)</f>
        <v>25127.01087842273</v>
      </c>
      <c r="AQ43" s="147">
        <f t="shared" si="18"/>
        <v>25386.829231084077</v>
      </c>
      <c r="AR43" s="147">
        <f t="shared" si="18"/>
        <v>25245.415737159736</v>
      </c>
      <c r="AS43" s="147">
        <f t="shared" si="18"/>
        <v>25511.552489639838</v>
      </c>
      <c r="AT43" s="147">
        <f t="shared" si="18"/>
        <v>25365.594349984302</v>
      </c>
      <c r="AU43" s="147">
        <f t="shared" si="18"/>
        <v>25636.523523664422</v>
      </c>
      <c r="AV43" s="147">
        <f t="shared" si="18"/>
        <v>25484.199625947636</v>
      </c>
      <c r="AW43" s="147">
        <f t="shared" si="18"/>
        <v>25758.389026750567</v>
      </c>
      <c r="AX43" s="147">
        <f t="shared" si="18"/>
        <v>26149.691339109697</v>
      </c>
      <c r="AY43" s="147">
        <f t="shared" si="18"/>
        <v>26460.07010022788</v>
      </c>
      <c r="AZ43" s="147">
        <f t="shared" si="18"/>
        <v>26258.514335888001</v>
      </c>
      <c r="BA43" s="147">
        <f t="shared" si="18"/>
        <v>26569.619688357227</v>
      </c>
      <c r="BB43" s="147">
        <f t="shared" si="18"/>
        <v>26355.226543934212</v>
      </c>
      <c r="BC43" s="147">
        <f t="shared" si="18"/>
        <v>26665.4957125605</v>
      </c>
      <c r="BD43" s="147">
        <f t="shared" si="18"/>
        <v>26679.509517069491</v>
      </c>
      <c r="BE43" s="147">
        <f t="shared" si="18"/>
        <v>27238.761751659724</v>
      </c>
      <c r="BF43" s="147">
        <f t="shared" si="18"/>
        <v>27132.130690617203</v>
      </c>
      <c r="BG43" s="147">
        <f t="shared" si="18"/>
        <v>27708.238269792957</v>
      </c>
      <c r="BH43" s="147">
        <f t="shared" si="18"/>
        <v>27730.379693491417</v>
      </c>
      <c r="BI43" s="147">
        <f t="shared" si="18"/>
        <v>27173.623053413656</v>
      </c>
      <c r="BJ43" s="147">
        <f t="shared" si="18"/>
        <v>29384.936361395878</v>
      </c>
      <c r="BK43" s="147">
        <f t="shared" si="18"/>
        <v>27650.661466390051</v>
      </c>
      <c r="BL43" s="147">
        <f t="shared" si="18"/>
        <v>30054.355071744991</v>
      </c>
      <c r="BM43" s="147">
        <f t="shared" si="18"/>
        <v>28279.983539298279</v>
      </c>
      <c r="BN43" s="147">
        <f t="shared" si="18"/>
        <v>30746.866707974674</v>
      </c>
      <c r="BO43" s="147">
        <f t="shared" si="18"/>
        <v>28931.078249245016</v>
      </c>
      <c r="BP43" s="147">
        <f t="shared" si="18"/>
        <v>31462.428741065087</v>
      </c>
      <c r="BQ43" s="147">
        <f t="shared" si="18"/>
        <v>29603.901052597634</v>
      </c>
      <c r="BR43" s="147">
        <f t="shared" si="18"/>
        <v>30914.484995175917</v>
      </c>
      <c r="BS43" s="147">
        <f t="shared" si="18"/>
        <v>31601.01961146824</v>
      </c>
      <c r="BT43" s="147">
        <f t="shared" si="18"/>
        <v>31972.652849087732</v>
      </c>
      <c r="BU43" s="147">
        <f t="shared" si="18"/>
        <v>32349.94987889695</v>
      </c>
      <c r="BV43" s="147">
        <f t="shared" ref="BV43:CA43" si="19">SUM(BV40:BV42)</f>
        <v>38197.796604595904</v>
      </c>
      <c r="BW43" s="147">
        <f t="shared" si="19"/>
        <v>0</v>
      </c>
      <c r="BX43" s="147">
        <f t="shared" si="19"/>
        <v>0</v>
      </c>
      <c r="BY43" s="147">
        <f t="shared" si="19"/>
        <v>0</v>
      </c>
      <c r="BZ43" s="147">
        <f t="shared" si="19"/>
        <v>0</v>
      </c>
      <c r="CA43" s="147">
        <f t="shared" si="19"/>
        <v>0</v>
      </c>
    </row>
    <row r="44" spans="1:79" x14ac:dyDescent="0.2">
      <c r="H44" s="251"/>
    </row>
    <row r="45" spans="1:79" s="90" customFormat="1" x14ac:dyDescent="0.2">
      <c r="A45" s="82"/>
      <c r="B45" s="82"/>
      <c r="C45" s="83"/>
      <c r="D45" s="89"/>
      <c r="E45" s="90" t="str">
        <f>SrDebt!E$31</f>
        <v>Senior debt interest expense</v>
      </c>
      <c r="G45" s="90" t="str">
        <f>SrDebt!G$31</f>
        <v>€ 000s</v>
      </c>
      <c r="H45" s="90">
        <f>SrDebt!H$31</f>
        <v>-392274.30033447064</v>
      </c>
      <c r="J45" s="90">
        <f>SrDebt!J$31</f>
        <v>0</v>
      </c>
      <c r="K45" s="90">
        <f>SrDebt!K$31</f>
        <v>0</v>
      </c>
      <c r="L45" s="90">
        <f>SrDebt!L$31</f>
        <v>0</v>
      </c>
      <c r="M45" s="90">
        <f>SrDebt!M$31</f>
        <v>0</v>
      </c>
      <c r="N45" s="90">
        <f>SrDebt!N$31</f>
        <v>0</v>
      </c>
      <c r="O45" s="90">
        <f>SrDebt!O$31</f>
        <v>-15329.387897949242</v>
      </c>
      <c r="P45" s="90">
        <f>SrDebt!P$31</f>
        <v>-15185.138357829541</v>
      </c>
      <c r="Q45" s="90">
        <f>SrDebt!Q$31</f>
        <v>-15030.464833939233</v>
      </c>
      <c r="R45" s="90">
        <f>SrDebt!R$31</f>
        <v>-14858.7756894822</v>
      </c>
      <c r="S45" s="90">
        <f>SrDebt!S$31</f>
        <v>-14734.301059750853</v>
      </c>
      <c r="T45" s="90">
        <f>SrDebt!T$31</f>
        <v>-14598.635976854002</v>
      </c>
      <c r="U45" s="90">
        <f>SrDebt!U$31</f>
        <v>-14472.475114453882</v>
      </c>
      <c r="V45" s="90">
        <f>SrDebt!V$31</f>
        <v>-14336.810031557032</v>
      </c>
      <c r="W45" s="90">
        <f>SrDebt!W$31</f>
        <v>-14200.378479265284</v>
      </c>
      <c r="X45" s="90">
        <f>SrDebt!X$31</f>
        <v>-14054.289412597829</v>
      </c>
      <c r="Y45" s="90">
        <f>SrDebt!Y$31</f>
        <v>-13160.795868718624</v>
      </c>
      <c r="Z45" s="90">
        <f>SrDebt!Z$31</f>
        <v>-12971.276225706608</v>
      </c>
      <c r="AA45" s="90">
        <f>SrDebt!AA$31</f>
        <v>-12781.611356914507</v>
      </c>
      <c r="AB45" s="90">
        <f>SrDebt!AB$31</f>
        <v>-12580.328425715539</v>
      </c>
      <c r="AC45" s="90">
        <f>SrDebt!AC$31</f>
        <v>-12373.962592213567</v>
      </c>
      <c r="AD45" s="90">
        <f>SrDebt!AD$31</f>
        <v>-12154.52643850387</v>
      </c>
      <c r="AE45" s="90">
        <f>SrDebt!AE$31</f>
        <v>-11913.596869341469</v>
      </c>
      <c r="AF45" s="90">
        <f>SrDebt!AF$31</f>
        <v>-11656.692464369627</v>
      </c>
      <c r="AG45" s="90">
        <f>SrDebt!AG$31</f>
        <v>-11392.236318833322</v>
      </c>
      <c r="AH45" s="90">
        <f>SrDebt!AH$31</f>
        <v>-11110.20785390663</v>
      </c>
      <c r="AI45" s="90">
        <f>SrDebt!AI$31</f>
        <v>-10218.247248817219</v>
      </c>
      <c r="AJ45" s="90">
        <f>SrDebt!AJ$31</f>
        <v>-9905.2534203366704</v>
      </c>
      <c r="AK45" s="90">
        <f>SrDebt!AK$31</f>
        <v>-9582.5213964914765</v>
      </c>
      <c r="AL45" s="90">
        <f>SrDebt!AL$31</f>
        <v>-9239.9015088734177</v>
      </c>
      <c r="AM45" s="90">
        <f>SrDebt!AM$31</f>
        <v>-8886.1718490787916</v>
      </c>
      <c r="AN45" s="90">
        <f>SrDebt!AN$31</f>
        <v>-8510.9084333369938</v>
      </c>
      <c r="AO45" s="90">
        <f>SrDebt!AO$31</f>
        <v>-8112.1910541113348</v>
      </c>
      <c r="AP45" s="90">
        <f>SrDebt!AP$31</f>
        <v>-7688.9224499522752</v>
      </c>
      <c r="AQ45" s="90">
        <f>SrDebt!AQ$31</f>
        <v>-7251.8009199928065</v>
      </c>
      <c r="AR45" s="90">
        <f>SrDebt!AR$31</f>
        <v>-6788.2079575632461</v>
      </c>
      <c r="AS45" s="90">
        <f>SrDebt!AS$31</f>
        <v>-6309.253334840163</v>
      </c>
      <c r="AT45" s="90">
        <f>SrDebt!AT$31</f>
        <v>-5801.9070721102989</v>
      </c>
      <c r="AU45" s="90">
        <f>SrDebt!AU$31</f>
        <v>-5277.4160992314128</v>
      </c>
      <c r="AV45" s="90">
        <f>SrDebt!AV$31</f>
        <v>-4722.3389634466703</v>
      </c>
      <c r="AW45" s="90">
        <f>SrDebt!AW$31</f>
        <v>-4148.334067657408</v>
      </c>
      <c r="AX45" s="90">
        <f>SrDebt!AX$31</f>
        <v>-3541.5484860632146</v>
      </c>
      <c r="AY45" s="90">
        <f>SrDebt!AY$31</f>
        <v>-2897.1816998223653</v>
      </c>
      <c r="AZ45" s="90">
        <f>SrDebt!AZ$31</f>
        <v>-2215.9194973408198</v>
      </c>
      <c r="BA45" s="90">
        <f>SrDebt!BA$31</f>
        <v>-1511.8891197813734</v>
      </c>
      <c r="BB45" s="90">
        <f>SrDebt!BB$31</f>
        <v>-768.49448771977177</v>
      </c>
      <c r="BC45" s="90">
        <f>SrDebt!BC$31</f>
        <v>0</v>
      </c>
      <c r="BD45" s="90">
        <f>SrDebt!BD$31</f>
        <v>0</v>
      </c>
      <c r="BE45" s="90">
        <f>SrDebt!BE$31</f>
        <v>0</v>
      </c>
      <c r="BF45" s="90">
        <f>SrDebt!BF$31</f>
        <v>0</v>
      </c>
      <c r="BG45" s="90">
        <f>SrDebt!BG$31</f>
        <v>0</v>
      </c>
      <c r="BH45" s="90">
        <f>SrDebt!BH$31</f>
        <v>0</v>
      </c>
      <c r="BI45" s="90">
        <f>SrDebt!BI$31</f>
        <v>0</v>
      </c>
      <c r="BJ45" s="90">
        <f>SrDebt!BJ$31</f>
        <v>0</v>
      </c>
      <c r="BK45" s="90">
        <f>SrDebt!BK$31</f>
        <v>0</v>
      </c>
      <c r="BL45" s="90">
        <f>SrDebt!BL$31</f>
        <v>0</v>
      </c>
      <c r="BM45" s="90">
        <f>SrDebt!BM$31</f>
        <v>0</v>
      </c>
      <c r="BN45" s="90">
        <f>SrDebt!BN$31</f>
        <v>0</v>
      </c>
      <c r="BO45" s="90">
        <f>SrDebt!BO$31</f>
        <v>0</v>
      </c>
      <c r="BP45" s="90">
        <f>SrDebt!BP$31</f>
        <v>0</v>
      </c>
      <c r="BQ45" s="90">
        <f>SrDebt!BQ$31</f>
        <v>0</v>
      </c>
      <c r="BR45" s="90">
        <f>SrDebt!BR$31</f>
        <v>0</v>
      </c>
      <c r="BS45" s="90">
        <f>SrDebt!BS$31</f>
        <v>0</v>
      </c>
      <c r="BT45" s="90">
        <f>SrDebt!BT$31</f>
        <v>0</v>
      </c>
      <c r="BU45" s="90">
        <f>SrDebt!BU$31</f>
        <v>0</v>
      </c>
      <c r="BV45" s="90">
        <f>SrDebt!BV$31</f>
        <v>0</v>
      </c>
      <c r="BW45" s="90">
        <f>SrDebt!BW$31</f>
        <v>0</v>
      </c>
      <c r="BX45" s="90">
        <f>SrDebt!BX$31</f>
        <v>0</v>
      </c>
      <c r="BY45" s="90">
        <f>SrDebt!BY$31</f>
        <v>0</v>
      </c>
      <c r="BZ45" s="90">
        <f>SrDebt!BZ$31</f>
        <v>0</v>
      </c>
      <c r="CA45" s="90">
        <f>SrDebt!CA$31</f>
        <v>0</v>
      </c>
    </row>
    <row r="46" spans="1:79" s="90" customFormat="1" x14ac:dyDescent="0.2">
      <c r="A46" s="82"/>
      <c r="B46" s="82"/>
      <c r="C46" s="83"/>
      <c r="D46" s="89"/>
      <c r="E46" s="90" t="str">
        <f>SrDebt!E$63</f>
        <v>Senior principal repayment</v>
      </c>
      <c r="G46" s="90" t="str">
        <f>SrDebt!G$63</f>
        <v>€ 000s</v>
      </c>
      <c r="H46" s="90">
        <f>SrDebt!H$63</f>
        <v>-322723.9557462997</v>
      </c>
      <c r="J46" s="90">
        <f>SrDebt!J$63</f>
        <v>0</v>
      </c>
      <c r="K46" s="90">
        <f>SrDebt!K$63</f>
        <v>0</v>
      </c>
      <c r="L46" s="90">
        <f>SrDebt!L$63</f>
        <v>0</v>
      </c>
      <c r="M46" s="90">
        <f>SrDebt!M$63</f>
        <v>0</v>
      </c>
      <c r="N46" s="90">
        <f>SrDebt!N$63</f>
        <v>0</v>
      </c>
      <c r="O46" s="90">
        <f>SrDebt!O$63</f>
        <v>-3036.8324235726814</v>
      </c>
      <c r="P46" s="90">
        <f>SrDebt!P$63</f>
        <v>-3256.284713480165</v>
      </c>
      <c r="Q46" s="90">
        <f>SrDebt!Q$63</f>
        <v>-3614.5083043585578</v>
      </c>
      <c r="R46" s="90">
        <f>SrDebt!R$63</f>
        <v>-2620.5185206599549</v>
      </c>
      <c r="S46" s="90">
        <f>SrDebt!S$63</f>
        <v>-2856.1070083547534</v>
      </c>
      <c r="T46" s="90">
        <f>SrDebt!T$63</f>
        <v>-2656.0181557920473</v>
      </c>
      <c r="U46" s="90">
        <f>SrDebt!U$63</f>
        <v>-2856.1070083547534</v>
      </c>
      <c r="V46" s="90">
        <f>SrDebt!V$63</f>
        <v>-2872.2432061420682</v>
      </c>
      <c r="W46" s="90">
        <f>SrDebt!W$63</f>
        <v>-3075.5592982622375</v>
      </c>
      <c r="X46" s="90">
        <f>SrDebt!X$63</f>
        <v>-3417.6466913533154</v>
      </c>
      <c r="Y46" s="90">
        <f>SrDebt!Y$63</f>
        <v>-4211.5476224892127</v>
      </c>
      <c r="Z46" s="90">
        <f>SrDebt!Z$63</f>
        <v>-4214.7748620466755</v>
      </c>
      <c r="AA46" s="90">
        <f>SrDebt!AA$63</f>
        <v>-4472.9540266437161</v>
      </c>
      <c r="AB46" s="90">
        <f>SrDebt!AB$63</f>
        <v>-4585.9074111549207</v>
      </c>
      <c r="AC46" s="90">
        <f>SrDebt!AC$63</f>
        <v>-4876.3589713265901</v>
      </c>
      <c r="AD46" s="90">
        <f>SrDebt!AD$63</f>
        <v>-5353.9904258311144</v>
      </c>
      <c r="AE46" s="90">
        <f>SrDebt!AE$63</f>
        <v>-5708.9867771520439</v>
      </c>
      <c r="AF46" s="90">
        <f>SrDebt!AF$63</f>
        <v>-5876.8032341401195</v>
      </c>
      <c r="AG46" s="90">
        <f>SrDebt!AG$63</f>
        <v>-6267.2992205931423</v>
      </c>
      <c r="AH46" s="90">
        <f>SrDebt!AH$63</f>
        <v>-6464.1608335983856</v>
      </c>
      <c r="AI46" s="90">
        <f>SrDebt!AI$63</f>
        <v>-7364.5606701305614</v>
      </c>
      <c r="AJ46" s="90">
        <f>SrDebt!AJ$63</f>
        <v>-7593.6946787104343</v>
      </c>
      <c r="AK46" s="90">
        <f>SrDebt!AK$63</f>
        <v>-8061.6444145425694</v>
      </c>
      <c r="AL46" s="90">
        <f>SrDebt!AL$63</f>
        <v>-8323.0508186970728</v>
      </c>
      <c r="AM46" s="90">
        <f>SrDebt!AM$63</f>
        <v>-8829.7274292187631</v>
      </c>
      <c r="AN46" s="90">
        <f>SrDebt!AN$63</f>
        <v>-9381.5853935449359</v>
      </c>
      <c r="AO46" s="90">
        <f>SrDebt!AO$63</f>
        <v>-9959.2612743308127</v>
      </c>
      <c r="AP46" s="90">
        <f>SrDebt!AP$63</f>
        <v>-10285.212469634576</v>
      </c>
      <c r="AQ46" s="90">
        <f>SrDebt!AQ$63</f>
        <v>-10908.069704224932</v>
      </c>
      <c r="AR46" s="90">
        <f>SrDebt!AR$63</f>
        <v>-11269.520534660789</v>
      </c>
      <c r="AS46" s="90">
        <f>SrDebt!AS$63</f>
        <v>-11937.559123055631</v>
      </c>
      <c r="AT46" s="90">
        <f>SrDebt!AT$63</f>
        <v>-12340.964067738507</v>
      </c>
      <c r="AU46" s="90">
        <f>SrDebt!AU$63</f>
        <v>-13060.638489052753</v>
      </c>
      <c r="AV46" s="90">
        <f>SrDebt!AV$63</f>
        <v>-13505.997547982646</v>
      </c>
      <c r="AW46" s="90">
        <f>SrDebt!AW$63</f>
        <v>-14277.307802216304</v>
      </c>
      <c r="AX46" s="90">
        <f>SrDebt!AX$63</f>
        <v>-15161.571440961166</v>
      </c>
      <c r="AY46" s="90">
        <f>SrDebt!AY$63</f>
        <v>-16029.698881918712</v>
      </c>
      <c r="AZ46" s="90">
        <f>SrDebt!AZ$63</f>
        <v>-16565.42064845757</v>
      </c>
      <c r="BA46" s="90">
        <f>SrDebt!BA$63</f>
        <v>-17491.638401449451</v>
      </c>
      <c r="BB46" s="90">
        <f>SrDebt!BB$63</f>
        <v>-18082.223240465188</v>
      </c>
      <c r="BC46" s="90">
        <f>SrDebt!BC$63</f>
        <v>0</v>
      </c>
      <c r="BD46" s="90">
        <f>SrDebt!BD$63</f>
        <v>0</v>
      </c>
      <c r="BE46" s="90">
        <f>SrDebt!BE$63</f>
        <v>0</v>
      </c>
      <c r="BF46" s="90">
        <f>SrDebt!BF$63</f>
        <v>0</v>
      </c>
      <c r="BG46" s="90">
        <f>SrDebt!BG$63</f>
        <v>0</v>
      </c>
      <c r="BH46" s="90">
        <f>SrDebt!BH$63</f>
        <v>0</v>
      </c>
      <c r="BI46" s="90">
        <f>SrDebt!BI$63</f>
        <v>0</v>
      </c>
      <c r="BJ46" s="90">
        <f>SrDebt!BJ$63</f>
        <v>0</v>
      </c>
      <c r="BK46" s="90">
        <f>SrDebt!BK$63</f>
        <v>0</v>
      </c>
      <c r="BL46" s="90">
        <f>SrDebt!BL$63</f>
        <v>0</v>
      </c>
      <c r="BM46" s="90">
        <f>SrDebt!BM$63</f>
        <v>0</v>
      </c>
      <c r="BN46" s="90">
        <f>SrDebt!BN$63</f>
        <v>0</v>
      </c>
      <c r="BO46" s="90">
        <f>SrDebt!BO$63</f>
        <v>0</v>
      </c>
      <c r="BP46" s="90">
        <f>SrDebt!BP$63</f>
        <v>0</v>
      </c>
      <c r="BQ46" s="90">
        <f>SrDebt!BQ$63</f>
        <v>0</v>
      </c>
      <c r="BR46" s="90">
        <f>SrDebt!BR$63</f>
        <v>0</v>
      </c>
      <c r="BS46" s="90">
        <f>SrDebt!BS$63</f>
        <v>0</v>
      </c>
      <c r="BT46" s="90">
        <f>SrDebt!BT$63</f>
        <v>0</v>
      </c>
      <c r="BU46" s="90">
        <f>SrDebt!BU$63</f>
        <v>0</v>
      </c>
      <c r="BV46" s="90">
        <f>SrDebt!BV$63</f>
        <v>0</v>
      </c>
      <c r="BW46" s="90">
        <f>SrDebt!BW$63</f>
        <v>0</v>
      </c>
      <c r="BX46" s="90">
        <f>SrDebt!BX$63</f>
        <v>0</v>
      </c>
      <c r="BY46" s="90">
        <f>SrDebt!BY$63</f>
        <v>0</v>
      </c>
      <c r="BZ46" s="90">
        <f>SrDebt!BZ$63</f>
        <v>0</v>
      </c>
      <c r="CA46" s="90">
        <f>SrDebt!CA$63</f>
        <v>0</v>
      </c>
    </row>
    <row r="47" spans="1:79" s="248" customFormat="1" x14ac:dyDescent="0.2">
      <c r="A47" s="145"/>
      <c r="B47" s="145"/>
      <c r="C47" s="146"/>
      <c r="D47" s="310"/>
      <c r="E47" s="248" t="s">
        <v>264</v>
      </c>
      <c r="H47" s="248">
        <f>SUM(J47:CA47)</f>
        <v>876084.91671888414</v>
      </c>
      <c r="J47" s="360">
        <f xml:space="preserve"> J43 + SUM(J45:J46)</f>
        <v>0</v>
      </c>
      <c r="K47" s="360">
        <f t="shared" ref="K47:BV47" si="20" xml:space="preserve"> K43 + SUM(K45:K46)</f>
        <v>0</v>
      </c>
      <c r="L47" s="360">
        <f t="shared" si="20"/>
        <v>0</v>
      </c>
      <c r="M47" s="360">
        <f t="shared" si="20"/>
        <v>0</v>
      </c>
      <c r="N47" s="360">
        <f t="shared" si="20"/>
        <v>0</v>
      </c>
      <c r="O47" s="360">
        <f t="shared" si="20"/>
        <v>7308.9143252153372</v>
      </c>
      <c r="P47" s="360">
        <f t="shared" si="20"/>
        <v>7342.869893432613</v>
      </c>
      <c r="Q47" s="360">
        <f t="shared" si="20"/>
        <v>7423.0310947842408</v>
      </c>
      <c r="R47" s="360">
        <f t="shared" si="20"/>
        <v>6958.2869087615363</v>
      </c>
      <c r="S47" s="360">
        <f t="shared" si="20"/>
        <v>6999.715827039774</v>
      </c>
      <c r="T47" s="360">
        <f t="shared" si="20"/>
        <v>6869.600262593005</v>
      </c>
      <c r="U47" s="360">
        <f t="shared" si="20"/>
        <v>6899.515693748006</v>
      </c>
      <c r="V47" s="360">
        <f t="shared" si="20"/>
        <v>6847.8493466575201</v>
      </c>
      <c r="W47" s="360">
        <f t="shared" si="20"/>
        <v>6875.7469001188329</v>
      </c>
      <c r="X47" s="360">
        <f t="shared" si="20"/>
        <v>6953.1493289153404</v>
      </c>
      <c r="Y47" s="360">
        <f t="shared" si="20"/>
        <v>6915.3728074110004</v>
      </c>
      <c r="Z47" s="360">
        <f t="shared" si="20"/>
        <v>6839.0785045669109</v>
      </c>
      <c r="AA47" s="360">
        <f t="shared" si="20"/>
        <v>6868.9861850694906</v>
      </c>
      <c r="AB47" s="360">
        <f t="shared" si="20"/>
        <v>6831.6876304893449</v>
      </c>
      <c r="AC47" s="360">
        <f t="shared" si="20"/>
        <v>6865.5598992917476</v>
      </c>
      <c r="AD47" s="360">
        <f t="shared" si="20"/>
        <v>6968.792818764392</v>
      </c>
      <c r="AE47" s="360">
        <f t="shared" si="20"/>
        <v>7016.8208869569426</v>
      </c>
      <c r="AF47" s="360">
        <f t="shared" si="20"/>
        <v>6978.6302916967252</v>
      </c>
      <c r="AG47" s="360">
        <f t="shared" si="20"/>
        <v>7030.3170359684773</v>
      </c>
      <c r="AH47" s="360">
        <f t="shared" si="20"/>
        <v>6995.401792601635</v>
      </c>
      <c r="AI47" s="360">
        <f t="shared" si="20"/>
        <v>6998.0537983643044</v>
      </c>
      <c r="AJ47" s="360">
        <f t="shared" si="20"/>
        <v>6966.0850089688611</v>
      </c>
      <c r="AK47" s="360">
        <f t="shared" si="20"/>
        <v>7023.4025312848353</v>
      </c>
      <c r="AL47" s="360">
        <f t="shared" si="20"/>
        <v>6992.3743415853241</v>
      </c>
      <c r="AM47" s="360">
        <f t="shared" si="20"/>
        <v>7052.5190700362145</v>
      </c>
      <c r="AN47" s="360">
        <f t="shared" si="20"/>
        <v>7121.1429613007931</v>
      </c>
      <c r="AO47" s="360">
        <f t="shared" si="20"/>
        <v>7194.1573928892067</v>
      </c>
      <c r="AP47" s="360">
        <f t="shared" si="20"/>
        <v>7152.8759588358771</v>
      </c>
      <c r="AQ47" s="360">
        <f t="shared" si="20"/>
        <v>7226.9586068663375</v>
      </c>
      <c r="AR47" s="360">
        <f t="shared" si="20"/>
        <v>7187.6872449356997</v>
      </c>
      <c r="AS47" s="360">
        <f t="shared" si="20"/>
        <v>7264.7400317440442</v>
      </c>
      <c r="AT47" s="360">
        <f t="shared" si="20"/>
        <v>7222.7232101354966</v>
      </c>
      <c r="AU47" s="360">
        <f t="shared" si="20"/>
        <v>7298.4689353802569</v>
      </c>
      <c r="AV47" s="360">
        <f t="shared" si="20"/>
        <v>7255.8631145183208</v>
      </c>
      <c r="AW47" s="360">
        <f t="shared" si="20"/>
        <v>7332.747156876856</v>
      </c>
      <c r="AX47" s="360">
        <f t="shared" si="20"/>
        <v>7446.5714120853154</v>
      </c>
      <c r="AY47" s="360">
        <f t="shared" si="20"/>
        <v>7533.1895184868044</v>
      </c>
      <c r="AZ47" s="360">
        <f t="shared" si="20"/>
        <v>7477.1741900896122</v>
      </c>
      <c r="BA47" s="360">
        <f t="shared" si="20"/>
        <v>7566.0921671264041</v>
      </c>
      <c r="BB47" s="360">
        <f t="shared" si="20"/>
        <v>7504.5088157492537</v>
      </c>
      <c r="BC47" s="360">
        <f t="shared" si="20"/>
        <v>26665.4957125605</v>
      </c>
      <c r="BD47" s="360">
        <f t="shared" si="20"/>
        <v>26679.509517069491</v>
      </c>
      <c r="BE47" s="360">
        <f t="shared" si="20"/>
        <v>27238.761751659724</v>
      </c>
      <c r="BF47" s="360">
        <f t="shared" si="20"/>
        <v>27132.130690617203</v>
      </c>
      <c r="BG47" s="360">
        <f t="shared" si="20"/>
        <v>27708.238269792957</v>
      </c>
      <c r="BH47" s="360">
        <f t="shared" si="20"/>
        <v>27730.379693491417</v>
      </c>
      <c r="BI47" s="360">
        <f t="shared" si="20"/>
        <v>27173.623053413656</v>
      </c>
      <c r="BJ47" s="360">
        <f t="shared" si="20"/>
        <v>29384.936361395878</v>
      </c>
      <c r="BK47" s="360">
        <f t="shared" si="20"/>
        <v>27650.661466390051</v>
      </c>
      <c r="BL47" s="360">
        <f t="shared" si="20"/>
        <v>30054.355071744991</v>
      </c>
      <c r="BM47" s="360">
        <f t="shared" si="20"/>
        <v>28279.983539298279</v>
      </c>
      <c r="BN47" s="360">
        <f t="shared" si="20"/>
        <v>30746.866707974674</v>
      </c>
      <c r="BO47" s="360">
        <f t="shared" si="20"/>
        <v>28931.078249245016</v>
      </c>
      <c r="BP47" s="360">
        <f t="shared" si="20"/>
        <v>31462.428741065087</v>
      </c>
      <c r="BQ47" s="360">
        <f t="shared" si="20"/>
        <v>29603.901052597634</v>
      </c>
      <c r="BR47" s="360">
        <f t="shared" si="20"/>
        <v>30914.484995175917</v>
      </c>
      <c r="BS47" s="360">
        <f t="shared" si="20"/>
        <v>31601.01961146824</v>
      </c>
      <c r="BT47" s="360">
        <f t="shared" si="20"/>
        <v>31972.652849087732</v>
      </c>
      <c r="BU47" s="360">
        <f t="shared" si="20"/>
        <v>32349.94987889695</v>
      </c>
      <c r="BV47" s="360">
        <f t="shared" si="20"/>
        <v>38197.796604595904</v>
      </c>
      <c r="BW47" s="360">
        <f t="shared" ref="BW47:CA47" si="21" xml:space="preserve"> BW43 + SUM(BW45:BW46)</f>
        <v>0</v>
      </c>
      <c r="BX47" s="360">
        <f t="shared" si="21"/>
        <v>0</v>
      </c>
      <c r="BY47" s="360">
        <f t="shared" si="21"/>
        <v>0</v>
      </c>
      <c r="BZ47" s="360">
        <f t="shared" si="21"/>
        <v>0</v>
      </c>
      <c r="CA47" s="360">
        <f t="shared" si="21"/>
        <v>0</v>
      </c>
    </row>
    <row r="48" spans="1:79" s="90" customFormat="1" x14ac:dyDescent="0.2">
      <c r="A48" s="82"/>
      <c r="B48" s="82"/>
      <c r="C48" s="83"/>
      <c r="D48" s="89"/>
    </row>
    <row r="49" spans="1:79" s="90" customFormat="1" x14ac:dyDescent="0.2">
      <c r="A49" s="82"/>
      <c r="B49" s="82"/>
      <c r="C49" s="83"/>
      <c r="D49" s="89"/>
      <c r="E49" s="90" t="str">
        <f>DSRA!E$34</f>
        <v>Senior DSRA deposits</v>
      </c>
      <c r="F49" s="90">
        <f>DSRA!F$34</f>
        <v>0</v>
      </c>
      <c r="G49" s="90">
        <f>DSRA!G$34</f>
        <v>0</v>
      </c>
      <c r="H49" s="90">
        <f>DSRA!H$34</f>
        <v>-13896.691307804147</v>
      </c>
      <c r="I49" s="90">
        <f>DSRA!I$34</f>
        <v>0</v>
      </c>
      <c r="J49" s="90">
        <f>DSRA!J$34</f>
        <v>0</v>
      </c>
      <c r="K49" s="90">
        <f>DSRA!K$34</f>
        <v>0</v>
      </c>
      <c r="L49" s="90">
        <f>DSRA!L$34</f>
        <v>0</v>
      </c>
      <c r="M49" s="90">
        <f>DSRA!M$34</f>
        <v>0</v>
      </c>
      <c r="N49" s="90">
        <f>DSRA!N$34</f>
        <v>0</v>
      </c>
      <c r="O49" s="90">
        <f>DSRA!O$34</f>
        <v>-7308.9143252153372</v>
      </c>
      <c r="P49" s="90">
        <f>DSRA!P$34</f>
        <v>-3336.0588130824544</v>
      </c>
      <c r="Q49" s="90">
        <f>DSRA!Q$34</f>
        <v>0</v>
      </c>
      <c r="R49" s="90">
        <f>DSRA!R$34</f>
        <v>-111.11385796345348</v>
      </c>
      <c r="S49" s="90">
        <f>DSRA!S$34</f>
        <v>0</v>
      </c>
      <c r="T49" s="90">
        <f>DSRA!T$34</f>
        <v>-73.927990162585047</v>
      </c>
      <c r="U49" s="90">
        <f>DSRA!U$34</f>
        <v>0</v>
      </c>
      <c r="V49" s="90">
        <f>DSRA!V$34</f>
        <v>-66.884539828421111</v>
      </c>
      <c r="W49" s="90">
        <f>DSRA!W$34</f>
        <v>-195.99832642362526</v>
      </c>
      <c r="X49" s="90">
        <f>DSRA!X$34</f>
        <v>0</v>
      </c>
      <c r="Y49" s="90">
        <f>DSRA!Y$34</f>
        <v>0</v>
      </c>
      <c r="Z49" s="90">
        <f>DSRA!Z$34</f>
        <v>-68.514295804940048</v>
      </c>
      <c r="AA49" s="90">
        <f>DSRA!AA$34</f>
        <v>0</v>
      </c>
      <c r="AB49" s="90">
        <f>DSRA!AB$34</f>
        <v>-84.085726669698488</v>
      </c>
      <c r="AC49" s="90">
        <f>DSRA!AC$34</f>
        <v>-258.19530079482502</v>
      </c>
      <c r="AD49" s="90">
        <f>DSRA!AD$34</f>
        <v>-114.06678215853026</v>
      </c>
      <c r="AE49" s="90">
        <f>DSRA!AE$34</f>
        <v>0</v>
      </c>
      <c r="AF49" s="90">
        <f>DSRA!AF$34</f>
        <v>-126.03984091671737</v>
      </c>
      <c r="AG49" s="90">
        <f>DSRA!AG$34</f>
        <v>0</v>
      </c>
      <c r="AH49" s="90">
        <f>DSRA!AH$34</f>
        <v>-8.4392314427641395</v>
      </c>
      <c r="AI49" s="90">
        <f>DSRA!AI$34</f>
        <v>0</v>
      </c>
      <c r="AJ49" s="90">
        <f>DSRA!AJ$34</f>
        <v>-145.21771198694114</v>
      </c>
      <c r="AK49" s="90">
        <f>DSRA!AK$34</f>
        <v>0</v>
      </c>
      <c r="AL49" s="90">
        <f>DSRA!AL$34</f>
        <v>-152.94695072706236</v>
      </c>
      <c r="AM49" s="90">
        <f>DSRA!AM$34</f>
        <v>-176.59454858437675</v>
      </c>
      <c r="AN49" s="90">
        <f>DSRA!AN$34</f>
        <v>-178.95850156021697</v>
      </c>
      <c r="AO49" s="90">
        <f>DSRA!AO$34</f>
        <v>0</v>
      </c>
      <c r="AP49" s="90">
        <f>DSRA!AP$34</f>
        <v>-185.73570463088618</v>
      </c>
      <c r="AQ49" s="90">
        <f>DSRA!AQ$34</f>
        <v>0</v>
      </c>
      <c r="AR49" s="90">
        <f>DSRA!AR$34</f>
        <v>-189.08396567175805</v>
      </c>
      <c r="AS49" s="90">
        <f>DSRA!AS$34</f>
        <v>0</v>
      </c>
      <c r="AT49" s="90">
        <f>DSRA!AT$34</f>
        <v>-195.18344843536033</v>
      </c>
      <c r="AU49" s="90">
        <f>DSRA!AU$34</f>
        <v>0</v>
      </c>
      <c r="AV49" s="90">
        <f>DSRA!AV$34</f>
        <v>-197.3053584443951</v>
      </c>
      <c r="AW49" s="90">
        <f>DSRA!AW$34</f>
        <v>-277.47805715067079</v>
      </c>
      <c r="AX49" s="90">
        <f>DSRA!AX$34</f>
        <v>-223.76065471669426</v>
      </c>
      <c r="AY49" s="90">
        <f>DSRA!AY$34</f>
        <v>0</v>
      </c>
      <c r="AZ49" s="90">
        <f>DSRA!AZ$34</f>
        <v>-222.18737543243333</v>
      </c>
      <c r="BA49" s="90">
        <f>DSRA!BA$34</f>
        <v>0</v>
      </c>
      <c r="BB49" s="90">
        <f>DSRA!BB$34</f>
        <v>0</v>
      </c>
      <c r="BC49" s="90">
        <f>DSRA!BC$34</f>
        <v>0</v>
      </c>
      <c r="BD49" s="90">
        <f>DSRA!BD$34</f>
        <v>0</v>
      </c>
      <c r="BE49" s="90">
        <f>DSRA!BE$34</f>
        <v>0</v>
      </c>
      <c r="BF49" s="90">
        <f>DSRA!BF$34</f>
        <v>0</v>
      </c>
      <c r="BG49" s="90">
        <f>DSRA!BG$34</f>
        <v>0</v>
      </c>
      <c r="BH49" s="90">
        <f>DSRA!BH$34</f>
        <v>0</v>
      </c>
      <c r="BI49" s="90">
        <f>DSRA!BI$34</f>
        <v>0</v>
      </c>
      <c r="BJ49" s="90">
        <f>DSRA!BJ$34</f>
        <v>0</v>
      </c>
      <c r="BK49" s="90">
        <f>DSRA!BK$34</f>
        <v>0</v>
      </c>
      <c r="BL49" s="90">
        <f>DSRA!BL$34</f>
        <v>0</v>
      </c>
      <c r="BM49" s="90">
        <f>DSRA!BM$34</f>
        <v>0</v>
      </c>
      <c r="BN49" s="90">
        <f>DSRA!BN$34</f>
        <v>0</v>
      </c>
      <c r="BO49" s="90">
        <f>DSRA!BO$34</f>
        <v>0</v>
      </c>
      <c r="BP49" s="90">
        <f>DSRA!BP$34</f>
        <v>0</v>
      </c>
      <c r="BQ49" s="90">
        <f>DSRA!BQ$34</f>
        <v>0</v>
      </c>
      <c r="BR49" s="90">
        <f>DSRA!BR$34</f>
        <v>0</v>
      </c>
      <c r="BS49" s="90">
        <f>DSRA!BS$34</f>
        <v>0</v>
      </c>
      <c r="BT49" s="90">
        <f>DSRA!BT$34</f>
        <v>0</v>
      </c>
      <c r="BU49" s="90">
        <f>DSRA!BU$34</f>
        <v>0</v>
      </c>
      <c r="BV49" s="90">
        <f>DSRA!BV$34</f>
        <v>0</v>
      </c>
      <c r="BW49" s="90">
        <f>DSRA!BW$34</f>
        <v>0</v>
      </c>
      <c r="BX49" s="90">
        <f>DSRA!BX$34</f>
        <v>0</v>
      </c>
      <c r="BY49" s="90">
        <f>DSRA!BY$34</f>
        <v>0</v>
      </c>
      <c r="BZ49" s="90">
        <f>DSRA!BZ$34</f>
        <v>0</v>
      </c>
      <c r="CA49" s="90">
        <f>DSRA!CA$34</f>
        <v>0</v>
      </c>
    </row>
    <row r="50" spans="1:79" s="90" customFormat="1" x14ac:dyDescent="0.2">
      <c r="A50" s="82"/>
      <c r="B50" s="82"/>
      <c r="C50" s="83"/>
      <c r="D50" s="89"/>
      <c r="E50" s="90" t="str">
        <f>DSRA!E$48</f>
        <v>Senior DSRA shortfall withdrawals</v>
      </c>
      <c r="F50" s="90">
        <f>DSRA!F$48</f>
        <v>0</v>
      </c>
      <c r="G50" s="90">
        <f>DSRA!G$48</f>
        <v>0</v>
      </c>
      <c r="H50" s="90">
        <f>DSRA!H$48</f>
        <v>0</v>
      </c>
      <c r="I50" s="90">
        <f>DSRA!I$48</f>
        <v>0</v>
      </c>
      <c r="J50" s="90">
        <f>DSRA!J$48</f>
        <v>0</v>
      </c>
      <c r="K50" s="90">
        <f>DSRA!K$48</f>
        <v>0</v>
      </c>
      <c r="L50" s="90">
        <f>DSRA!L$48</f>
        <v>0</v>
      </c>
      <c r="M50" s="90">
        <f>DSRA!M$48</f>
        <v>0</v>
      </c>
      <c r="N50" s="90">
        <f>DSRA!N$48</f>
        <v>0</v>
      </c>
      <c r="O50" s="90">
        <f>DSRA!O$48</f>
        <v>0</v>
      </c>
      <c r="P50" s="90">
        <f>DSRA!P$48</f>
        <v>0</v>
      </c>
      <c r="Q50" s="90">
        <f>DSRA!Q$48</f>
        <v>0</v>
      </c>
      <c r="R50" s="90">
        <f>DSRA!R$48</f>
        <v>0</v>
      </c>
      <c r="S50" s="90">
        <f>DSRA!S$48</f>
        <v>0</v>
      </c>
      <c r="T50" s="90">
        <f>DSRA!T$48</f>
        <v>0</v>
      </c>
      <c r="U50" s="90">
        <f>DSRA!U$48</f>
        <v>0</v>
      </c>
      <c r="V50" s="90">
        <f>DSRA!V$48</f>
        <v>0</v>
      </c>
      <c r="W50" s="90">
        <f>DSRA!W$48</f>
        <v>0</v>
      </c>
      <c r="X50" s="90">
        <f>DSRA!X$48</f>
        <v>0</v>
      </c>
      <c r="Y50" s="90">
        <f>DSRA!Y$48</f>
        <v>0</v>
      </c>
      <c r="Z50" s="90">
        <f>DSRA!Z$48</f>
        <v>0</v>
      </c>
      <c r="AA50" s="90">
        <f>DSRA!AA$48</f>
        <v>0</v>
      </c>
      <c r="AB50" s="90">
        <f>DSRA!AB$48</f>
        <v>0</v>
      </c>
      <c r="AC50" s="90">
        <f>DSRA!AC$48</f>
        <v>0</v>
      </c>
      <c r="AD50" s="90">
        <f>DSRA!AD$48</f>
        <v>0</v>
      </c>
      <c r="AE50" s="90">
        <f>DSRA!AE$48</f>
        <v>0</v>
      </c>
      <c r="AF50" s="90">
        <f>DSRA!AF$48</f>
        <v>0</v>
      </c>
      <c r="AG50" s="90">
        <f>DSRA!AG$48</f>
        <v>0</v>
      </c>
      <c r="AH50" s="90">
        <f>DSRA!AH$48</f>
        <v>0</v>
      </c>
      <c r="AI50" s="90">
        <f>DSRA!AI$48</f>
        <v>0</v>
      </c>
      <c r="AJ50" s="90">
        <f>DSRA!AJ$48</f>
        <v>0</v>
      </c>
      <c r="AK50" s="90">
        <f>DSRA!AK$48</f>
        <v>0</v>
      </c>
      <c r="AL50" s="90">
        <f>DSRA!AL$48</f>
        <v>0</v>
      </c>
      <c r="AM50" s="90">
        <f>DSRA!AM$48</f>
        <v>0</v>
      </c>
      <c r="AN50" s="90">
        <f>DSRA!AN$48</f>
        <v>0</v>
      </c>
      <c r="AO50" s="90">
        <f>DSRA!AO$48</f>
        <v>0</v>
      </c>
      <c r="AP50" s="90">
        <f>DSRA!AP$48</f>
        <v>0</v>
      </c>
      <c r="AQ50" s="90">
        <f>DSRA!AQ$48</f>
        <v>0</v>
      </c>
      <c r="AR50" s="90">
        <f>DSRA!AR$48</f>
        <v>0</v>
      </c>
      <c r="AS50" s="90">
        <f>DSRA!AS$48</f>
        <v>0</v>
      </c>
      <c r="AT50" s="90">
        <f>DSRA!AT$48</f>
        <v>0</v>
      </c>
      <c r="AU50" s="90">
        <f>DSRA!AU$48</f>
        <v>0</v>
      </c>
      <c r="AV50" s="90">
        <f>DSRA!AV$48</f>
        <v>0</v>
      </c>
      <c r="AW50" s="90">
        <f>DSRA!AW$48</f>
        <v>0</v>
      </c>
      <c r="AX50" s="90">
        <f>DSRA!AX$48</f>
        <v>0</v>
      </c>
      <c r="AY50" s="90">
        <f>DSRA!AY$48</f>
        <v>0</v>
      </c>
      <c r="AZ50" s="90">
        <f>DSRA!AZ$48</f>
        <v>0</v>
      </c>
      <c r="BA50" s="90">
        <f>DSRA!BA$48</f>
        <v>0</v>
      </c>
      <c r="BB50" s="90">
        <f>DSRA!BB$48</f>
        <v>0</v>
      </c>
      <c r="BC50" s="90">
        <f>DSRA!BC$48</f>
        <v>0</v>
      </c>
      <c r="BD50" s="90">
        <f>DSRA!BD$48</f>
        <v>0</v>
      </c>
      <c r="BE50" s="90">
        <f>DSRA!BE$48</f>
        <v>0</v>
      </c>
      <c r="BF50" s="90">
        <f>DSRA!BF$48</f>
        <v>0</v>
      </c>
      <c r="BG50" s="90">
        <f>DSRA!BG$48</f>
        <v>0</v>
      </c>
      <c r="BH50" s="90">
        <f>DSRA!BH$48</f>
        <v>0</v>
      </c>
      <c r="BI50" s="90">
        <f>DSRA!BI$48</f>
        <v>0</v>
      </c>
      <c r="BJ50" s="90">
        <f>DSRA!BJ$48</f>
        <v>0</v>
      </c>
      <c r="BK50" s="90">
        <f>DSRA!BK$48</f>
        <v>0</v>
      </c>
      <c r="BL50" s="90">
        <f>DSRA!BL$48</f>
        <v>0</v>
      </c>
      <c r="BM50" s="90">
        <f>DSRA!BM$48</f>
        <v>0</v>
      </c>
      <c r="BN50" s="90">
        <f>DSRA!BN$48</f>
        <v>0</v>
      </c>
      <c r="BO50" s="90">
        <f>DSRA!BO$48</f>
        <v>0</v>
      </c>
      <c r="BP50" s="90">
        <f>DSRA!BP$48</f>
        <v>0</v>
      </c>
      <c r="BQ50" s="90">
        <f>DSRA!BQ$48</f>
        <v>0</v>
      </c>
      <c r="BR50" s="90">
        <f>DSRA!BR$48</f>
        <v>0</v>
      </c>
      <c r="BS50" s="90">
        <f>DSRA!BS$48</f>
        <v>0</v>
      </c>
      <c r="BT50" s="90">
        <f>DSRA!BT$48</f>
        <v>0</v>
      </c>
      <c r="BU50" s="90">
        <f>DSRA!BU$48</f>
        <v>0</v>
      </c>
      <c r="BV50" s="90">
        <f>DSRA!BV$48</f>
        <v>0</v>
      </c>
      <c r="BW50" s="90">
        <f>DSRA!BW$48</f>
        <v>0</v>
      </c>
      <c r="BX50" s="90">
        <f>DSRA!BX$48</f>
        <v>0</v>
      </c>
      <c r="BY50" s="90">
        <f>DSRA!BY$48</f>
        <v>0</v>
      </c>
      <c r="BZ50" s="90">
        <f>DSRA!BZ$48</f>
        <v>0</v>
      </c>
      <c r="CA50" s="90">
        <f>DSRA!CA$48</f>
        <v>0</v>
      </c>
    </row>
    <row r="51" spans="1:79" s="90" customFormat="1" x14ac:dyDescent="0.2">
      <c r="A51" s="82"/>
      <c r="B51" s="82"/>
      <c r="C51" s="83"/>
      <c r="D51" s="89"/>
      <c r="E51" s="90" t="str">
        <f>DSRA!E$49</f>
        <v>Senior DSRA net releases</v>
      </c>
      <c r="F51" s="90">
        <f>DSRA!F$49</f>
        <v>0</v>
      </c>
      <c r="G51" s="90">
        <f>DSRA!G$49</f>
        <v>0</v>
      </c>
      <c r="H51" s="90">
        <f>DSRA!H$49</f>
        <v>21896.691307804147</v>
      </c>
      <c r="I51" s="90">
        <f>DSRA!I$49</f>
        <v>0</v>
      </c>
      <c r="J51" s="90">
        <f>DSRA!J$49</f>
        <v>0</v>
      </c>
      <c r="K51" s="90">
        <f>DSRA!K$49</f>
        <v>0</v>
      </c>
      <c r="L51" s="90">
        <f>DSRA!L$49</f>
        <v>0</v>
      </c>
      <c r="M51" s="90">
        <f>DSRA!M$49</f>
        <v>0</v>
      </c>
      <c r="N51" s="90">
        <f>DSRA!N$49</f>
        <v>0</v>
      </c>
      <c r="O51" s="90">
        <f>DSRA!O$49</f>
        <v>0</v>
      </c>
      <c r="P51" s="90">
        <f>DSRA!P$49</f>
        <v>0</v>
      </c>
      <c r="Q51" s="90">
        <f>DSRA!Q$49</f>
        <v>1165.6789281556375</v>
      </c>
      <c r="R51" s="90">
        <f>DSRA!R$49</f>
        <v>0</v>
      </c>
      <c r="S51" s="90">
        <f>DSRA!S$49</f>
        <v>335.7539354595574</v>
      </c>
      <c r="T51" s="90">
        <f>DSRA!T$49</f>
        <v>0</v>
      </c>
      <c r="U51" s="90">
        <f>DSRA!U$49</f>
        <v>119.52888510953562</v>
      </c>
      <c r="V51" s="90">
        <f>DSRA!V$49</f>
        <v>0</v>
      </c>
      <c r="W51" s="90">
        <f>DSRA!W$49</f>
        <v>0</v>
      </c>
      <c r="X51" s="90">
        <f>DSRA!X$49</f>
        <v>99.592612743308564</v>
      </c>
      <c r="Y51" s="90">
        <f>DSRA!Y$49</f>
        <v>186.29240345455401</v>
      </c>
      <c r="Z51" s="90">
        <f>DSRA!Z$49</f>
        <v>0</v>
      </c>
      <c r="AA51" s="90">
        <f>DSRA!AA$49</f>
        <v>88.329546687764378</v>
      </c>
      <c r="AB51" s="90">
        <f>DSRA!AB$49</f>
        <v>0</v>
      </c>
      <c r="AC51" s="90">
        <f>DSRA!AC$49</f>
        <v>0</v>
      </c>
      <c r="AD51" s="90">
        <f>DSRA!AD$49</f>
        <v>0</v>
      </c>
      <c r="AE51" s="90">
        <f>DSRA!AE$49</f>
        <v>89.087947983767663</v>
      </c>
      <c r="AF51" s="90">
        <f>DSRA!AF$49</f>
        <v>0</v>
      </c>
      <c r="AG51" s="90">
        <f>DSRA!AG$49</f>
        <v>85.166851921447233</v>
      </c>
      <c r="AH51" s="90">
        <f>DSRA!AH$49</f>
        <v>0</v>
      </c>
      <c r="AI51" s="90">
        <f>DSRA!AI$49</f>
        <v>83.859819900673756</v>
      </c>
      <c r="AJ51" s="90">
        <f>DSRA!AJ$49</f>
        <v>0</v>
      </c>
      <c r="AK51" s="90">
        <f>DSRA!AK$49</f>
        <v>81.213483463554439</v>
      </c>
      <c r="AL51" s="90">
        <f>DSRA!AL$49</f>
        <v>0</v>
      </c>
      <c r="AM51" s="90">
        <f>DSRA!AM$49</f>
        <v>0</v>
      </c>
      <c r="AN51" s="90">
        <f>DSRA!AN$49</f>
        <v>0</v>
      </c>
      <c r="AO51" s="90">
        <f>DSRA!AO$49</f>
        <v>97.317408855295071</v>
      </c>
      <c r="AP51" s="90">
        <f>DSRA!AP$49</f>
        <v>0</v>
      </c>
      <c r="AQ51" s="90">
        <f>DSRA!AQ$49</f>
        <v>102.14213199370352</v>
      </c>
      <c r="AR51" s="90">
        <f>DSRA!AR$49</f>
        <v>0</v>
      </c>
      <c r="AS51" s="90">
        <f>DSRA!AS$49</f>
        <v>103.94131804698918</v>
      </c>
      <c r="AT51" s="90">
        <f>DSRA!AT$49</f>
        <v>0</v>
      </c>
      <c r="AU51" s="90">
        <f>DSRA!AU$49</f>
        <v>109.71807685484964</v>
      </c>
      <c r="AV51" s="90">
        <f>DSRA!AV$49</f>
        <v>0</v>
      </c>
      <c r="AW51" s="90">
        <f>DSRA!AW$49</f>
        <v>0</v>
      </c>
      <c r="AX51" s="90">
        <f>DSRA!AX$49</f>
        <v>0</v>
      </c>
      <c r="AY51" s="90">
        <f>DSRA!AY$49</f>
        <v>145.5404359426866</v>
      </c>
      <c r="AZ51" s="90">
        <f>DSRA!AZ$49</f>
        <v>0</v>
      </c>
      <c r="BA51" s="90">
        <f>DSRA!BA$49</f>
        <v>152.80979304586435</v>
      </c>
      <c r="BB51" s="90">
        <f>DSRA!BB$49</f>
        <v>18850.717728184958</v>
      </c>
      <c r="BC51" s="90">
        <f>DSRA!BC$49</f>
        <v>0</v>
      </c>
      <c r="BD51" s="90">
        <f>DSRA!BD$49</f>
        <v>0</v>
      </c>
      <c r="BE51" s="90">
        <f>DSRA!BE$49</f>
        <v>0</v>
      </c>
      <c r="BF51" s="90">
        <f>DSRA!BF$49</f>
        <v>0</v>
      </c>
      <c r="BG51" s="90">
        <f>DSRA!BG$49</f>
        <v>0</v>
      </c>
      <c r="BH51" s="90">
        <f>DSRA!BH$49</f>
        <v>0</v>
      </c>
      <c r="BI51" s="90">
        <f>DSRA!BI$49</f>
        <v>0</v>
      </c>
      <c r="BJ51" s="90">
        <f>DSRA!BJ$49</f>
        <v>0</v>
      </c>
      <c r="BK51" s="90">
        <f>DSRA!BK$49</f>
        <v>0</v>
      </c>
      <c r="BL51" s="90">
        <f>DSRA!BL$49</f>
        <v>0</v>
      </c>
      <c r="BM51" s="90">
        <f>DSRA!BM$49</f>
        <v>0</v>
      </c>
      <c r="BN51" s="90">
        <f>DSRA!BN$49</f>
        <v>0</v>
      </c>
      <c r="BO51" s="90">
        <f>DSRA!BO$49</f>
        <v>0</v>
      </c>
      <c r="BP51" s="90">
        <f>DSRA!BP$49</f>
        <v>0</v>
      </c>
      <c r="BQ51" s="90">
        <f>DSRA!BQ$49</f>
        <v>0</v>
      </c>
      <c r="BR51" s="90">
        <f>DSRA!BR$49</f>
        <v>0</v>
      </c>
      <c r="BS51" s="90">
        <f>DSRA!BS$49</f>
        <v>0</v>
      </c>
      <c r="BT51" s="90">
        <f>DSRA!BT$49</f>
        <v>0</v>
      </c>
      <c r="BU51" s="90">
        <f>DSRA!BU$49</f>
        <v>0</v>
      </c>
      <c r="BV51" s="90">
        <f>DSRA!BV$49</f>
        <v>0</v>
      </c>
      <c r="BW51" s="90">
        <f>DSRA!BW$49</f>
        <v>0</v>
      </c>
      <c r="BX51" s="90">
        <f>DSRA!BX$49</f>
        <v>0</v>
      </c>
      <c r="BY51" s="90">
        <f>DSRA!BY$49</f>
        <v>0</v>
      </c>
      <c r="BZ51" s="90">
        <f>DSRA!BZ$49</f>
        <v>0</v>
      </c>
      <c r="CA51" s="90">
        <f>DSRA!CA$49</f>
        <v>0</v>
      </c>
    </row>
    <row r="52" spans="1:79" s="248" customFormat="1" x14ac:dyDescent="0.2">
      <c r="A52" s="145"/>
      <c r="B52" s="145"/>
      <c r="C52" s="146"/>
      <c r="D52" s="310"/>
      <c r="E52" s="248" t="s">
        <v>344</v>
      </c>
      <c r="H52" s="248">
        <f>SUM(J52:CA52)</f>
        <v>884084.91671888414</v>
      </c>
      <c r="J52" s="360">
        <f xml:space="preserve"> J47 + SUM(J49:J51)</f>
        <v>0</v>
      </c>
      <c r="K52" s="360">
        <f t="shared" ref="K52:BV52" si="22" xml:space="preserve"> K47 + SUM(K49:K51)</f>
        <v>0</v>
      </c>
      <c r="L52" s="360">
        <f t="shared" si="22"/>
        <v>0</v>
      </c>
      <c r="M52" s="360">
        <f t="shared" si="22"/>
        <v>0</v>
      </c>
      <c r="N52" s="360">
        <f t="shared" si="22"/>
        <v>0</v>
      </c>
      <c r="O52" s="360">
        <f t="shared" si="22"/>
        <v>0</v>
      </c>
      <c r="P52" s="360">
        <f t="shared" si="22"/>
        <v>4006.8110803501586</v>
      </c>
      <c r="Q52" s="360">
        <f t="shared" si="22"/>
        <v>8588.7100229398784</v>
      </c>
      <c r="R52" s="360">
        <f t="shared" si="22"/>
        <v>6847.1730507980828</v>
      </c>
      <c r="S52" s="360">
        <f t="shared" si="22"/>
        <v>7335.4697624993314</v>
      </c>
      <c r="T52" s="360">
        <f t="shared" si="22"/>
        <v>6795.67227243042</v>
      </c>
      <c r="U52" s="360">
        <f t="shared" si="22"/>
        <v>7019.0445788575416</v>
      </c>
      <c r="V52" s="360">
        <f t="shared" si="22"/>
        <v>6780.964806829099</v>
      </c>
      <c r="W52" s="360">
        <f t="shared" si="22"/>
        <v>6679.7485736952076</v>
      </c>
      <c r="X52" s="360">
        <f t="shared" si="22"/>
        <v>7052.741941658649</v>
      </c>
      <c r="Y52" s="360">
        <f t="shared" si="22"/>
        <v>7101.6652108655544</v>
      </c>
      <c r="Z52" s="360">
        <f t="shared" si="22"/>
        <v>6770.5642087619708</v>
      </c>
      <c r="AA52" s="360">
        <f t="shared" si="22"/>
        <v>6957.315731757255</v>
      </c>
      <c r="AB52" s="360">
        <f t="shared" si="22"/>
        <v>6747.6019038196464</v>
      </c>
      <c r="AC52" s="360">
        <f t="shared" si="22"/>
        <v>6607.3645984969226</v>
      </c>
      <c r="AD52" s="360">
        <f t="shared" si="22"/>
        <v>6854.7260366058617</v>
      </c>
      <c r="AE52" s="360">
        <f t="shared" si="22"/>
        <v>7105.9088349407102</v>
      </c>
      <c r="AF52" s="360">
        <f t="shared" si="22"/>
        <v>6852.5904507800078</v>
      </c>
      <c r="AG52" s="360">
        <f t="shared" si="22"/>
        <v>7115.4838878899245</v>
      </c>
      <c r="AH52" s="360">
        <f t="shared" si="22"/>
        <v>6986.9625611588708</v>
      </c>
      <c r="AI52" s="360">
        <f t="shared" si="22"/>
        <v>7081.9136182649781</v>
      </c>
      <c r="AJ52" s="360">
        <f t="shared" si="22"/>
        <v>6820.8672969819199</v>
      </c>
      <c r="AK52" s="360">
        <f t="shared" si="22"/>
        <v>7104.6160147483897</v>
      </c>
      <c r="AL52" s="360">
        <f t="shared" si="22"/>
        <v>6839.4273908582618</v>
      </c>
      <c r="AM52" s="360">
        <f t="shared" si="22"/>
        <v>6875.9245214518378</v>
      </c>
      <c r="AN52" s="360">
        <f t="shared" si="22"/>
        <v>6942.1844597405761</v>
      </c>
      <c r="AO52" s="360">
        <f t="shared" si="22"/>
        <v>7291.4748017445017</v>
      </c>
      <c r="AP52" s="360">
        <f t="shared" si="22"/>
        <v>6967.1402542049909</v>
      </c>
      <c r="AQ52" s="360">
        <f t="shared" si="22"/>
        <v>7329.100738860041</v>
      </c>
      <c r="AR52" s="360">
        <f t="shared" si="22"/>
        <v>6998.6032792639417</v>
      </c>
      <c r="AS52" s="360">
        <f t="shared" si="22"/>
        <v>7368.6813497910334</v>
      </c>
      <c r="AT52" s="360">
        <f t="shared" si="22"/>
        <v>7027.5397617001363</v>
      </c>
      <c r="AU52" s="360">
        <f t="shared" si="22"/>
        <v>7408.1870122351065</v>
      </c>
      <c r="AV52" s="360">
        <f t="shared" si="22"/>
        <v>7058.5577560739257</v>
      </c>
      <c r="AW52" s="360">
        <f t="shared" si="22"/>
        <v>7055.2690997261852</v>
      </c>
      <c r="AX52" s="360">
        <f t="shared" si="22"/>
        <v>7222.8107573686211</v>
      </c>
      <c r="AY52" s="360">
        <f t="shared" si="22"/>
        <v>7678.729954429491</v>
      </c>
      <c r="AZ52" s="360">
        <f t="shared" si="22"/>
        <v>7254.9868146571789</v>
      </c>
      <c r="BA52" s="360">
        <f t="shared" si="22"/>
        <v>7718.9019601722684</v>
      </c>
      <c r="BB52" s="360">
        <f t="shared" si="22"/>
        <v>26355.226543934212</v>
      </c>
      <c r="BC52" s="360">
        <f t="shared" si="22"/>
        <v>26665.4957125605</v>
      </c>
      <c r="BD52" s="360">
        <f t="shared" si="22"/>
        <v>26679.509517069491</v>
      </c>
      <c r="BE52" s="360">
        <f t="shared" si="22"/>
        <v>27238.761751659724</v>
      </c>
      <c r="BF52" s="360">
        <f t="shared" si="22"/>
        <v>27132.130690617203</v>
      </c>
      <c r="BG52" s="360">
        <f t="shared" si="22"/>
        <v>27708.238269792957</v>
      </c>
      <c r="BH52" s="360">
        <f t="shared" si="22"/>
        <v>27730.379693491417</v>
      </c>
      <c r="BI52" s="360">
        <f t="shared" si="22"/>
        <v>27173.623053413656</v>
      </c>
      <c r="BJ52" s="360">
        <f t="shared" si="22"/>
        <v>29384.936361395878</v>
      </c>
      <c r="BK52" s="360">
        <f t="shared" si="22"/>
        <v>27650.661466390051</v>
      </c>
      <c r="BL52" s="360">
        <f t="shared" si="22"/>
        <v>30054.355071744991</v>
      </c>
      <c r="BM52" s="360">
        <f t="shared" si="22"/>
        <v>28279.983539298279</v>
      </c>
      <c r="BN52" s="360">
        <f t="shared" si="22"/>
        <v>30746.866707974674</v>
      </c>
      <c r="BO52" s="360">
        <f t="shared" si="22"/>
        <v>28931.078249245016</v>
      </c>
      <c r="BP52" s="360">
        <f t="shared" si="22"/>
        <v>31462.428741065087</v>
      </c>
      <c r="BQ52" s="360">
        <f t="shared" si="22"/>
        <v>29603.901052597634</v>
      </c>
      <c r="BR52" s="360">
        <f t="shared" si="22"/>
        <v>30914.484995175917</v>
      </c>
      <c r="BS52" s="360">
        <f t="shared" si="22"/>
        <v>31601.01961146824</v>
      </c>
      <c r="BT52" s="360">
        <f t="shared" si="22"/>
        <v>31972.652849087732</v>
      </c>
      <c r="BU52" s="360">
        <f t="shared" si="22"/>
        <v>32349.94987889695</v>
      </c>
      <c r="BV52" s="360">
        <f t="shared" si="22"/>
        <v>38197.796604595904</v>
      </c>
      <c r="BW52" s="360">
        <f t="shared" ref="BW52:CA52" si="23" xml:space="preserve"> BW47 + SUM(BW49:BW51)</f>
        <v>0</v>
      </c>
      <c r="BX52" s="360">
        <f t="shared" si="23"/>
        <v>0</v>
      </c>
      <c r="BY52" s="360">
        <f t="shared" si="23"/>
        <v>0</v>
      </c>
      <c r="BZ52" s="360">
        <f t="shared" si="23"/>
        <v>0</v>
      </c>
      <c r="CA52" s="360">
        <f t="shared" si="23"/>
        <v>0</v>
      </c>
    </row>
    <row r="53" spans="1:79" s="90" customFormat="1" x14ac:dyDescent="0.2">
      <c r="A53" s="82"/>
      <c r="B53" s="82"/>
      <c r="C53" s="83"/>
      <c r="D53" s="89"/>
    </row>
    <row r="54" spans="1:79" s="219" customFormat="1" x14ac:dyDescent="0.2">
      <c r="A54" s="148"/>
      <c r="B54" s="148"/>
      <c r="C54" s="149"/>
      <c r="D54" s="218"/>
      <c r="E54" s="219" t="s">
        <v>345</v>
      </c>
    </row>
    <row r="55" spans="1:79" s="90" customFormat="1" x14ac:dyDescent="0.2">
      <c r="A55" s="82"/>
      <c r="B55" s="82"/>
      <c r="C55" s="83"/>
      <c r="D55" s="89"/>
      <c r="E55" s="90" t="str">
        <f>Equity!E$21</f>
        <v>Shareholder loan repayment</v>
      </c>
      <c r="F55" s="90">
        <f>Equity!F$21</f>
        <v>0</v>
      </c>
      <c r="G55" s="90">
        <f>Equity!G$21</f>
        <v>0</v>
      </c>
      <c r="H55" s="90">
        <f>Equity!H$21</f>
        <v>-79680.988936574955</v>
      </c>
      <c r="I55" s="90">
        <f>Equity!I$21</f>
        <v>0</v>
      </c>
      <c r="J55" s="90">
        <f>Equity!J$21</f>
        <v>0</v>
      </c>
      <c r="K55" s="90">
        <f>Equity!K$21</f>
        <v>0</v>
      </c>
      <c r="L55" s="90">
        <f>Equity!L$21</f>
        <v>0</v>
      </c>
      <c r="M55" s="90">
        <f>Equity!M$21</f>
        <v>0</v>
      </c>
      <c r="N55" s="90">
        <f>Equity!N$21</f>
        <v>0</v>
      </c>
      <c r="O55" s="90">
        <f>Equity!O$21</f>
        <v>0</v>
      </c>
      <c r="P55" s="90">
        <f>Equity!P$21</f>
        <v>-4006.8110803501586</v>
      </c>
      <c r="Q55" s="90">
        <f>Equity!Q$21</f>
        <v>-8588.7100229398784</v>
      </c>
      <c r="R55" s="90">
        <f>Equity!R$21</f>
        <v>-6847.1730507980828</v>
      </c>
      <c r="S55" s="90">
        <f>Equity!S$21</f>
        <v>-7335.4697624993314</v>
      </c>
      <c r="T55" s="90">
        <f>Equity!T$21</f>
        <v>-6795.67227243042</v>
      </c>
      <c r="U55" s="90">
        <f>Equity!U$21</f>
        <v>-7019.0445788575416</v>
      </c>
      <c r="V55" s="90">
        <f>Equity!V$21</f>
        <v>-6780.964806829099</v>
      </c>
      <c r="W55" s="90">
        <f>Equity!W$21</f>
        <v>-6679.7485736952076</v>
      </c>
      <c r="X55" s="90">
        <f>Equity!X$21</f>
        <v>-7052.741941658649</v>
      </c>
      <c r="Y55" s="90">
        <f>Equity!Y$21</f>
        <v>-7101.6652108655544</v>
      </c>
      <c r="Z55" s="90">
        <f>Equity!Z$21</f>
        <v>-6770.5642087619708</v>
      </c>
      <c r="AA55" s="90">
        <f>Equity!AA$21</f>
        <v>-4702.423426889065</v>
      </c>
      <c r="AB55" s="90">
        <f>Equity!AB$21</f>
        <v>0</v>
      </c>
      <c r="AC55" s="90">
        <f>Equity!AC$21</f>
        <v>0</v>
      </c>
      <c r="AD55" s="90">
        <f>Equity!AD$21</f>
        <v>0</v>
      </c>
      <c r="AE55" s="90">
        <f>Equity!AE$21</f>
        <v>0</v>
      </c>
      <c r="AF55" s="90">
        <f>Equity!AF$21</f>
        <v>0</v>
      </c>
      <c r="AG55" s="90">
        <f>Equity!AG$21</f>
        <v>0</v>
      </c>
      <c r="AH55" s="90">
        <f>Equity!AH$21</f>
        <v>0</v>
      </c>
      <c r="AI55" s="90">
        <f>Equity!AI$21</f>
        <v>0</v>
      </c>
      <c r="AJ55" s="90">
        <f>Equity!AJ$21</f>
        <v>0</v>
      </c>
      <c r="AK55" s="90">
        <f>Equity!AK$21</f>
        <v>0</v>
      </c>
      <c r="AL55" s="90">
        <f>Equity!AL$21</f>
        <v>0</v>
      </c>
      <c r="AM55" s="90">
        <f>Equity!AM$21</f>
        <v>0</v>
      </c>
      <c r="AN55" s="90">
        <f>Equity!AN$21</f>
        <v>0</v>
      </c>
      <c r="AO55" s="90">
        <f>Equity!AO$21</f>
        <v>0</v>
      </c>
      <c r="AP55" s="90">
        <f>Equity!AP$21</f>
        <v>0</v>
      </c>
      <c r="AQ55" s="90">
        <f>Equity!AQ$21</f>
        <v>0</v>
      </c>
      <c r="AR55" s="90">
        <f>Equity!AR$21</f>
        <v>0</v>
      </c>
      <c r="AS55" s="90">
        <f>Equity!AS$21</f>
        <v>0</v>
      </c>
      <c r="AT55" s="90">
        <f>Equity!AT$21</f>
        <v>0</v>
      </c>
      <c r="AU55" s="90">
        <f>Equity!AU$21</f>
        <v>0</v>
      </c>
      <c r="AV55" s="90">
        <f>Equity!AV$21</f>
        <v>0</v>
      </c>
      <c r="AW55" s="90">
        <f>Equity!AW$21</f>
        <v>0</v>
      </c>
      <c r="AX55" s="90">
        <f>Equity!AX$21</f>
        <v>0</v>
      </c>
      <c r="AY55" s="90">
        <f>Equity!AY$21</f>
        <v>0</v>
      </c>
      <c r="AZ55" s="90">
        <f>Equity!AZ$21</f>
        <v>0</v>
      </c>
      <c r="BA55" s="90">
        <f>Equity!BA$21</f>
        <v>0</v>
      </c>
      <c r="BB55" s="90">
        <f>Equity!BB$21</f>
        <v>0</v>
      </c>
      <c r="BC55" s="90">
        <f>Equity!BC$21</f>
        <v>0</v>
      </c>
      <c r="BD55" s="90">
        <f>Equity!BD$21</f>
        <v>0</v>
      </c>
      <c r="BE55" s="90">
        <f>Equity!BE$21</f>
        <v>0</v>
      </c>
      <c r="BF55" s="90">
        <f>Equity!BF$21</f>
        <v>0</v>
      </c>
      <c r="BG55" s="90">
        <f>Equity!BG$21</f>
        <v>0</v>
      </c>
      <c r="BH55" s="90">
        <f>Equity!BH$21</f>
        <v>0</v>
      </c>
      <c r="BI55" s="90">
        <f>Equity!BI$21</f>
        <v>0</v>
      </c>
      <c r="BJ55" s="90">
        <f>Equity!BJ$21</f>
        <v>0</v>
      </c>
      <c r="BK55" s="90">
        <f>Equity!BK$21</f>
        <v>0</v>
      </c>
      <c r="BL55" s="90">
        <f>Equity!BL$21</f>
        <v>0</v>
      </c>
      <c r="BM55" s="90">
        <f>Equity!BM$21</f>
        <v>0</v>
      </c>
      <c r="BN55" s="90">
        <f>Equity!BN$21</f>
        <v>0</v>
      </c>
      <c r="BO55" s="90">
        <f>Equity!BO$21</f>
        <v>0</v>
      </c>
      <c r="BP55" s="90">
        <f>Equity!BP$21</f>
        <v>0</v>
      </c>
      <c r="BQ55" s="90">
        <f>Equity!BQ$21</f>
        <v>0</v>
      </c>
      <c r="BR55" s="90">
        <f>Equity!BR$21</f>
        <v>0</v>
      </c>
      <c r="BS55" s="90">
        <f>Equity!BS$21</f>
        <v>0</v>
      </c>
      <c r="BT55" s="90">
        <f>Equity!BT$21</f>
        <v>0</v>
      </c>
      <c r="BU55" s="90">
        <f>Equity!BU$21</f>
        <v>0</v>
      </c>
      <c r="BV55" s="90">
        <f>Equity!BV$21</f>
        <v>0</v>
      </c>
      <c r="BW55" s="90">
        <f>Equity!BW$21</f>
        <v>0</v>
      </c>
      <c r="BX55" s="90">
        <f>Equity!BX$21</f>
        <v>0</v>
      </c>
      <c r="BY55" s="90">
        <f>Equity!BY$21</f>
        <v>0</v>
      </c>
      <c r="BZ55" s="90">
        <f>Equity!BZ$21</f>
        <v>0</v>
      </c>
      <c r="CA55" s="90">
        <f>Equity!CA$21</f>
        <v>0</v>
      </c>
    </row>
    <row r="56" spans="1:79" s="248" customFormat="1" x14ac:dyDescent="0.2">
      <c r="A56" s="145"/>
      <c r="B56" s="145"/>
      <c r="C56" s="146"/>
      <c r="D56" s="310"/>
      <c r="E56" s="248" t="s">
        <v>60</v>
      </c>
      <c r="H56" s="248">
        <f>SUM(J56:CA56)</f>
        <v>804403.92778230901</v>
      </c>
      <c r="J56" s="360">
        <f xml:space="preserve"> J52 + SUM(J54:J55)</f>
        <v>0</v>
      </c>
      <c r="K56" s="360">
        <f t="shared" ref="K56:BV56" si="24" xml:space="preserve"> K52 + SUM(K54:K55)</f>
        <v>0</v>
      </c>
      <c r="L56" s="360">
        <f t="shared" si="24"/>
        <v>0</v>
      </c>
      <c r="M56" s="360">
        <f t="shared" si="24"/>
        <v>0</v>
      </c>
      <c r="N56" s="360">
        <f t="shared" si="24"/>
        <v>0</v>
      </c>
      <c r="O56" s="360">
        <f t="shared" si="24"/>
        <v>0</v>
      </c>
      <c r="P56" s="360">
        <f t="shared" si="24"/>
        <v>0</v>
      </c>
      <c r="Q56" s="360">
        <f t="shared" si="24"/>
        <v>0</v>
      </c>
      <c r="R56" s="360">
        <f t="shared" si="24"/>
        <v>0</v>
      </c>
      <c r="S56" s="360">
        <f t="shared" si="24"/>
        <v>0</v>
      </c>
      <c r="T56" s="360">
        <f t="shared" si="24"/>
        <v>0</v>
      </c>
      <c r="U56" s="360">
        <f t="shared" si="24"/>
        <v>0</v>
      </c>
      <c r="V56" s="360">
        <f t="shared" si="24"/>
        <v>0</v>
      </c>
      <c r="W56" s="360">
        <f t="shared" si="24"/>
        <v>0</v>
      </c>
      <c r="X56" s="360">
        <f t="shared" si="24"/>
        <v>0</v>
      </c>
      <c r="Y56" s="360">
        <f t="shared" si="24"/>
        <v>0</v>
      </c>
      <c r="Z56" s="360">
        <f t="shared" si="24"/>
        <v>0</v>
      </c>
      <c r="AA56" s="360">
        <f t="shared" si="24"/>
        <v>2254.89230486819</v>
      </c>
      <c r="AB56" s="360">
        <f t="shared" si="24"/>
        <v>6747.6019038196464</v>
      </c>
      <c r="AC56" s="360">
        <f t="shared" si="24"/>
        <v>6607.3645984969226</v>
      </c>
      <c r="AD56" s="360">
        <f t="shared" si="24"/>
        <v>6854.7260366058617</v>
      </c>
      <c r="AE56" s="360">
        <f t="shared" si="24"/>
        <v>7105.9088349407102</v>
      </c>
      <c r="AF56" s="360">
        <f t="shared" si="24"/>
        <v>6852.5904507800078</v>
      </c>
      <c r="AG56" s="360">
        <f t="shared" si="24"/>
        <v>7115.4838878899245</v>
      </c>
      <c r="AH56" s="360">
        <f t="shared" si="24"/>
        <v>6986.9625611588708</v>
      </c>
      <c r="AI56" s="360">
        <f t="shared" si="24"/>
        <v>7081.9136182649781</v>
      </c>
      <c r="AJ56" s="360">
        <f t="shared" si="24"/>
        <v>6820.8672969819199</v>
      </c>
      <c r="AK56" s="360">
        <f t="shared" si="24"/>
        <v>7104.6160147483897</v>
      </c>
      <c r="AL56" s="360">
        <f t="shared" si="24"/>
        <v>6839.4273908582618</v>
      </c>
      <c r="AM56" s="360">
        <f t="shared" si="24"/>
        <v>6875.9245214518378</v>
      </c>
      <c r="AN56" s="360">
        <f t="shared" si="24"/>
        <v>6942.1844597405761</v>
      </c>
      <c r="AO56" s="360">
        <f t="shared" si="24"/>
        <v>7291.4748017445017</v>
      </c>
      <c r="AP56" s="360">
        <f t="shared" si="24"/>
        <v>6967.1402542049909</v>
      </c>
      <c r="AQ56" s="360">
        <f t="shared" si="24"/>
        <v>7329.100738860041</v>
      </c>
      <c r="AR56" s="360">
        <f t="shared" si="24"/>
        <v>6998.6032792639417</v>
      </c>
      <c r="AS56" s="360">
        <f t="shared" si="24"/>
        <v>7368.6813497910334</v>
      </c>
      <c r="AT56" s="360">
        <f t="shared" si="24"/>
        <v>7027.5397617001363</v>
      </c>
      <c r="AU56" s="360">
        <f t="shared" si="24"/>
        <v>7408.1870122351065</v>
      </c>
      <c r="AV56" s="360">
        <f t="shared" si="24"/>
        <v>7058.5577560739257</v>
      </c>
      <c r="AW56" s="360">
        <f t="shared" si="24"/>
        <v>7055.2690997261852</v>
      </c>
      <c r="AX56" s="360">
        <f t="shared" si="24"/>
        <v>7222.8107573686211</v>
      </c>
      <c r="AY56" s="360">
        <f t="shared" si="24"/>
        <v>7678.729954429491</v>
      </c>
      <c r="AZ56" s="360">
        <f t="shared" si="24"/>
        <v>7254.9868146571789</v>
      </c>
      <c r="BA56" s="360">
        <f t="shared" si="24"/>
        <v>7718.9019601722684</v>
      </c>
      <c r="BB56" s="360">
        <f t="shared" si="24"/>
        <v>26355.226543934212</v>
      </c>
      <c r="BC56" s="360">
        <f t="shared" si="24"/>
        <v>26665.4957125605</v>
      </c>
      <c r="BD56" s="360">
        <f t="shared" si="24"/>
        <v>26679.509517069491</v>
      </c>
      <c r="BE56" s="360">
        <f t="shared" si="24"/>
        <v>27238.761751659724</v>
      </c>
      <c r="BF56" s="360">
        <f t="shared" si="24"/>
        <v>27132.130690617203</v>
      </c>
      <c r="BG56" s="360">
        <f t="shared" si="24"/>
        <v>27708.238269792957</v>
      </c>
      <c r="BH56" s="360">
        <f t="shared" si="24"/>
        <v>27730.379693491417</v>
      </c>
      <c r="BI56" s="360">
        <f t="shared" si="24"/>
        <v>27173.623053413656</v>
      </c>
      <c r="BJ56" s="360">
        <f t="shared" si="24"/>
        <v>29384.936361395878</v>
      </c>
      <c r="BK56" s="360">
        <f t="shared" si="24"/>
        <v>27650.661466390051</v>
      </c>
      <c r="BL56" s="360">
        <f t="shared" si="24"/>
        <v>30054.355071744991</v>
      </c>
      <c r="BM56" s="360">
        <f t="shared" si="24"/>
        <v>28279.983539298279</v>
      </c>
      <c r="BN56" s="360">
        <f t="shared" si="24"/>
        <v>30746.866707974674</v>
      </c>
      <c r="BO56" s="360">
        <f t="shared" si="24"/>
        <v>28931.078249245016</v>
      </c>
      <c r="BP56" s="360">
        <f t="shared" si="24"/>
        <v>31462.428741065087</v>
      </c>
      <c r="BQ56" s="360">
        <f t="shared" si="24"/>
        <v>29603.901052597634</v>
      </c>
      <c r="BR56" s="360">
        <f t="shared" si="24"/>
        <v>30914.484995175917</v>
      </c>
      <c r="BS56" s="360">
        <f t="shared" si="24"/>
        <v>31601.01961146824</v>
      </c>
      <c r="BT56" s="360">
        <f t="shared" si="24"/>
        <v>31972.652849087732</v>
      </c>
      <c r="BU56" s="360">
        <f t="shared" si="24"/>
        <v>32349.94987889695</v>
      </c>
      <c r="BV56" s="360">
        <f t="shared" si="24"/>
        <v>38197.796604595904</v>
      </c>
      <c r="BW56" s="360">
        <f t="shared" ref="BW56:CA56" si="25" xml:space="preserve"> BW52 + SUM(BW54:BW55)</f>
        <v>0</v>
      </c>
      <c r="BX56" s="360">
        <f t="shared" si="25"/>
        <v>0</v>
      </c>
      <c r="BY56" s="360">
        <f t="shared" si="25"/>
        <v>0</v>
      </c>
      <c r="BZ56" s="360">
        <f t="shared" si="25"/>
        <v>0</v>
      </c>
      <c r="CA56" s="360">
        <f t="shared" si="25"/>
        <v>0</v>
      </c>
    </row>
    <row r="58" spans="1:79" s="90" customFormat="1" x14ac:dyDescent="0.2">
      <c r="A58" s="82"/>
      <c r="B58" s="82"/>
      <c r="C58" s="83"/>
      <c r="D58" s="89"/>
      <c r="E58" s="90" t="str">
        <f>Equity!E$50</f>
        <v>Share capital redemption</v>
      </c>
      <c r="G58" s="90" t="str">
        <f>Equity!G$50</f>
        <v>€ 000s</v>
      </c>
      <c r="H58" s="90">
        <f>Equity!H$50</f>
        <v>-1000</v>
      </c>
      <c r="J58" s="90">
        <f>Equity!J$50</f>
        <v>0</v>
      </c>
      <c r="K58" s="90">
        <f>Equity!K$50</f>
        <v>0</v>
      </c>
      <c r="L58" s="90">
        <f>Equity!L$50</f>
        <v>0</v>
      </c>
      <c r="M58" s="90">
        <f>Equity!M$50</f>
        <v>0</v>
      </c>
      <c r="N58" s="90">
        <f>Equity!N$50</f>
        <v>0</v>
      </c>
      <c r="O58" s="90">
        <f>Equity!O$50</f>
        <v>0</v>
      </c>
      <c r="P58" s="90">
        <f>Equity!P$50</f>
        <v>0</v>
      </c>
      <c r="Q58" s="90">
        <f>Equity!Q$50</f>
        <v>0</v>
      </c>
      <c r="R58" s="90">
        <f>Equity!R$50</f>
        <v>0</v>
      </c>
      <c r="S58" s="90">
        <f>Equity!S$50</f>
        <v>0</v>
      </c>
      <c r="T58" s="90">
        <f>Equity!T$50</f>
        <v>0</v>
      </c>
      <c r="U58" s="90">
        <f>Equity!U$50</f>
        <v>0</v>
      </c>
      <c r="V58" s="90">
        <f>Equity!V$50</f>
        <v>0</v>
      </c>
      <c r="W58" s="90">
        <f>Equity!W$50</f>
        <v>0</v>
      </c>
      <c r="X58" s="90">
        <f>Equity!X$50</f>
        <v>0</v>
      </c>
      <c r="Y58" s="90">
        <f>Equity!Y$50</f>
        <v>0</v>
      </c>
      <c r="Z58" s="90">
        <f>Equity!Z$50</f>
        <v>0</v>
      </c>
      <c r="AA58" s="90">
        <f>Equity!AA$50</f>
        <v>0</v>
      </c>
      <c r="AB58" s="90">
        <f>Equity!AB$50</f>
        <v>0</v>
      </c>
      <c r="AC58" s="90">
        <f>Equity!AC$50</f>
        <v>0</v>
      </c>
      <c r="AD58" s="90">
        <f>Equity!AD$50</f>
        <v>0</v>
      </c>
      <c r="AE58" s="90">
        <f>Equity!AE$50</f>
        <v>0</v>
      </c>
      <c r="AF58" s="90">
        <f>Equity!AF$50</f>
        <v>0</v>
      </c>
      <c r="AG58" s="90">
        <f>Equity!AG$50</f>
        <v>0</v>
      </c>
      <c r="AH58" s="90">
        <f>Equity!AH$50</f>
        <v>0</v>
      </c>
      <c r="AI58" s="90">
        <f>Equity!AI$50</f>
        <v>0</v>
      </c>
      <c r="AJ58" s="90">
        <f>Equity!AJ$50</f>
        <v>0</v>
      </c>
      <c r="AK58" s="90">
        <f>Equity!AK$50</f>
        <v>0</v>
      </c>
      <c r="AL58" s="90">
        <f>Equity!AL$50</f>
        <v>0</v>
      </c>
      <c r="AM58" s="90">
        <f>Equity!AM$50</f>
        <v>0</v>
      </c>
      <c r="AN58" s="90">
        <f>Equity!AN$50</f>
        <v>0</v>
      </c>
      <c r="AO58" s="90">
        <f>Equity!AO$50</f>
        <v>0</v>
      </c>
      <c r="AP58" s="90">
        <f>Equity!AP$50</f>
        <v>0</v>
      </c>
      <c r="AQ58" s="90">
        <f>Equity!AQ$50</f>
        <v>0</v>
      </c>
      <c r="AR58" s="90">
        <f>Equity!AR$50</f>
        <v>0</v>
      </c>
      <c r="AS58" s="90">
        <f>Equity!AS$50</f>
        <v>0</v>
      </c>
      <c r="AT58" s="90">
        <f>Equity!AT$50</f>
        <v>0</v>
      </c>
      <c r="AU58" s="90">
        <f>Equity!AU$50</f>
        <v>0</v>
      </c>
      <c r="AV58" s="90">
        <f>Equity!AV$50</f>
        <v>0</v>
      </c>
      <c r="AW58" s="90">
        <f>Equity!AW$50</f>
        <v>0</v>
      </c>
      <c r="AX58" s="90">
        <f>Equity!AX$50</f>
        <v>0</v>
      </c>
      <c r="AY58" s="90">
        <f>Equity!AY$50</f>
        <v>0</v>
      </c>
      <c r="AZ58" s="90">
        <f>Equity!AZ$50</f>
        <v>0</v>
      </c>
      <c r="BA58" s="90">
        <f>Equity!BA$50</f>
        <v>0</v>
      </c>
      <c r="BB58" s="90">
        <f>Equity!BB$50</f>
        <v>0</v>
      </c>
      <c r="BC58" s="90">
        <f>Equity!BC$50</f>
        <v>0</v>
      </c>
      <c r="BD58" s="90">
        <f>Equity!BD$50</f>
        <v>0</v>
      </c>
      <c r="BE58" s="90">
        <f>Equity!BE$50</f>
        <v>0</v>
      </c>
      <c r="BF58" s="90">
        <f>Equity!BF$50</f>
        <v>0</v>
      </c>
      <c r="BG58" s="90">
        <f>Equity!BG$50</f>
        <v>0</v>
      </c>
      <c r="BH58" s="90">
        <f>Equity!BH$50</f>
        <v>0</v>
      </c>
      <c r="BI58" s="90">
        <f>Equity!BI$50</f>
        <v>0</v>
      </c>
      <c r="BJ58" s="90">
        <f>Equity!BJ$50</f>
        <v>0</v>
      </c>
      <c r="BK58" s="90">
        <f>Equity!BK$50</f>
        <v>0</v>
      </c>
      <c r="BL58" s="90">
        <f>Equity!BL$50</f>
        <v>0</v>
      </c>
      <c r="BM58" s="90">
        <f>Equity!BM$50</f>
        <v>0</v>
      </c>
      <c r="BN58" s="90">
        <f>Equity!BN$50</f>
        <v>0</v>
      </c>
      <c r="BO58" s="90">
        <f>Equity!BO$50</f>
        <v>0</v>
      </c>
      <c r="BP58" s="90">
        <f>Equity!BP$50</f>
        <v>0</v>
      </c>
      <c r="BQ58" s="90">
        <f>Equity!BQ$50</f>
        <v>0</v>
      </c>
      <c r="BR58" s="90">
        <f>Equity!BR$50</f>
        <v>0</v>
      </c>
      <c r="BS58" s="90">
        <f>Equity!BS$50</f>
        <v>0</v>
      </c>
      <c r="BT58" s="90">
        <f>Equity!BT$50</f>
        <v>0</v>
      </c>
      <c r="BU58" s="90">
        <f>Equity!BU$50</f>
        <v>0</v>
      </c>
      <c r="BV58" s="90">
        <f>Equity!BV$50</f>
        <v>-1000</v>
      </c>
      <c r="BW58" s="90">
        <f>Equity!BW$50</f>
        <v>0</v>
      </c>
      <c r="BX58" s="90">
        <f>Equity!BX$50</f>
        <v>0</v>
      </c>
      <c r="BY58" s="90">
        <f>Equity!BY$50</f>
        <v>0</v>
      </c>
      <c r="BZ58" s="90">
        <f>Equity!BZ$50</f>
        <v>0</v>
      </c>
      <c r="CA58" s="90">
        <f>Equity!CA$50</f>
        <v>0</v>
      </c>
    </row>
    <row r="59" spans="1:79" s="140" customFormat="1" x14ac:dyDescent="0.2">
      <c r="A59" s="137"/>
      <c r="B59" s="145"/>
      <c r="C59" s="146"/>
      <c r="D59" s="139"/>
      <c r="E59" s="140" t="s">
        <v>22</v>
      </c>
      <c r="G59" s="140" t="str">
        <f xml:space="preserve"> SMU</f>
        <v>€ 000s</v>
      </c>
      <c r="H59" s="140">
        <f>SUM(J59:CA59)</f>
        <v>803403.92778230901</v>
      </c>
      <c r="J59" s="147">
        <f xml:space="preserve"> J56 + J58</f>
        <v>0</v>
      </c>
      <c r="K59" s="147">
        <f t="shared" ref="K59:BV59" si="26" xml:space="preserve"> K56 + K58</f>
        <v>0</v>
      </c>
      <c r="L59" s="147">
        <f t="shared" si="26"/>
        <v>0</v>
      </c>
      <c r="M59" s="147">
        <f t="shared" si="26"/>
        <v>0</v>
      </c>
      <c r="N59" s="147">
        <f t="shared" si="26"/>
        <v>0</v>
      </c>
      <c r="O59" s="147">
        <f t="shared" si="26"/>
        <v>0</v>
      </c>
      <c r="P59" s="147">
        <f t="shared" si="26"/>
        <v>0</v>
      </c>
      <c r="Q59" s="147">
        <f t="shared" si="26"/>
        <v>0</v>
      </c>
      <c r="R59" s="147">
        <f t="shared" si="26"/>
        <v>0</v>
      </c>
      <c r="S59" s="147">
        <f t="shared" si="26"/>
        <v>0</v>
      </c>
      <c r="T59" s="147">
        <f t="shared" si="26"/>
        <v>0</v>
      </c>
      <c r="U59" s="147">
        <f t="shared" si="26"/>
        <v>0</v>
      </c>
      <c r="V59" s="147">
        <f t="shared" si="26"/>
        <v>0</v>
      </c>
      <c r="W59" s="147">
        <f t="shared" si="26"/>
        <v>0</v>
      </c>
      <c r="X59" s="147">
        <f t="shared" si="26"/>
        <v>0</v>
      </c>
      <c r="Y59" s="147">
        <f t="shared" si="26"/>
        <v>0</v>
      </c>
      <c r="Z59" s="147">
        <f t="shared" si="26"/>
        <v>0</v>
      </c>
      <c r="AA59" s="147">
        <f t="shared" si="26"/>
        <v>2254.89230486819</v>
      </c>
      <c r="AB59" s="147">
        <f t="shared" si="26"/>
        <v>6747.6019038196464</v>
      </c>
      <c r="AC59" s="147">
        <f t="shared" si="26"/>
        <v>6607.3645984969226</v>
      </c>
      <c r="AD59" s="147">
        <f t="shared" si="26"/>
        <v>6854.7260366058617</v>
      </c>
      <c r="AE59" s="147">
        <f t="shared" si="26"/>
        <v>7105.9088349407102</v>
      </c>
      <c r="AF59" s="147">
        <f t="shared" si="26"/>
        <v>6852.5904507800078</v>
      </c>
      <c r="AG59" s="147">
        <f t="shared" si="26"/>
        <v>7115.4838878899245</v>
      </c>
      <c r="AH59" s="147">
        <f t="shared" si="26"/>
        <v>6986.9625611588708</v>
      </c>
      <c r="AI59" s="147">
        <f t="shared" si="26"/>
        <v>7081.9136182649781</v>
      </c>
      <c r="AJ59" s="147">
        <f t="shared" si="26"/>
        <v>6820.8672969819199</v>
      </c>
      <c r="AK59" s="147">
        <f t="shared" si="26"/>
        <v>7104.6160147483897</v>
      </c>
      <c r="AL59" s="147">
        <f t="shared" si="26"/>
        <v>6839.4273908582618</v>
      </c>
      <c r="AM59" s="147">
        <f t="shared" si="26"/>
        <v>6875.9245214518378</v>
      </c>
      <c r="AN59" s="147">
        <f t="shared" si="26"/>
        <v>6942.1844597405761</v>
      </c>
      <c r="AO59" s="147">
        <f t="shared" si="26"/>
        <v>7291.4748017445017</v>
      </c>
      <c r="AP59" s="147">
        <f t="shared" si="26"/>
        <v>6967.1402542049909</v>
      </c>
      <c r="AQ59" s="147">
        <f t="shared" si="26"/>
        <v>7329.100738860041</v>
      </c>
      <c r="AR59" s="147">
        <f t="shared" si="26"/>
        <v>6998.6032792639417</v>
      </c>
      <c r="AS59" s="147">
        <f t="shared" si="26"/>
        <v>7368.6813497910334</v>
      </c>
      <c r="AT59" s="147">
        <f t="shared" si="26"/>
        <v>7027.5397617001363</v>
      </c>
      <c r="AU59" s="147">
        <f t="shared" si="26"/>
        <v>7408.1870122351065</v>
      </c>
      <c r="AV59" s="147">
        <f t="shared" si="26"/>
        <v>7058.5577560739257</v>
      </c>
      <c r="AW59" s="147">
        <f t="shared" si="26"/>
        <v>7055.2690997261852</v>
      </c>
      <c r="AX59" s="147">
        <f t="shared" si="26"/>
        <v>7222.8107573686211</v>
      </c>
      <c r="AY59" s="147">
        <f t="shared" si="26"/>
        <v>7678.729954429491</v>
      </c>
      <c r="AZ59" s="147">
        <f t="shared" si="26"/>
        <v>7254.9868146571789</v>
      </c>
      <c r="BA59" s="147">
        <f t="shared" si="26"/>
        <v>7718.9019601722684</v>
      </c>
      <c r="BB59" s="147">
        <f t="shared" si="26"/>
        <v>26355.226543934212</v>
      </c>
      <c r="BC59" s="147">
        <f t="shared" si="26"/>
        <v>26665.4957125605</v>
      </c>
      <c r="BD59" s="147">
        <f t="shared" si="26"/>
        <v>26679.509517069491</v>
      </c>
      <c r="BE59" s="147">
        <f t="shared" si="26"/>
        <v>27238.761751659724</v>
      </c>
      <c r="BF59" s="147">
        <f t="shared" si="26"/>
        <v>27132.130690617203</v>
      </c>
      <c r="BG59" s="147">
        <f t="shared" si="26"/>
        <v>27708.238269792957</v>
      </c>
      <c r="BH59" s="147">
        <f t="shared" si="26"/>
        <v>27730.379693491417</v>
      </c>
      <c r="BI59" s="147">
        <f t="shared" si="26"/>
        <v>27173.623053413656</v>
      </c>
      <c r="BJ59" s="147">
        <f t="shared" si="26"/>
        <v>29384.936361395878</v>
      </c>
      <c r="BK59" s="147">
        <f t="shared" si="26"/>
        <v>27650.661466390051</v>
      </c>
      <c r="BL59" s="147">
        <f t="shared" si="26"/>
        <v>30054.355071744991</v>
      </c>
      <c r="BM59" s="147">
        <f t="shared" si="26"/>
        <v>28279.983539298279</v>
      </c>
      <c r="BN59" s="147">
        <f t="shared" si="26"/>
        <v>30746.866707974674</v>
      </c>
      <c r="BO59" s="147">
        <f t="shared" si="26"/>
        <v>28931.078249245016</v>
      </c>
      <c r="BP59" s="147">
        <f t="shared" si="26"/>
        <v>31462.428741065087</v>
      </c>
      <c r="BQ59" s="147">
        <f t="shared" si="26"/>
        <v>29603.901052597634</v>
      </c>
      <c r="BR59" s="147">
        <f t="shared" si="26"/>
        <v>30914.484995175917</v>
      </c>
      <c r="BS59" s="147">
        <f t="shared" si="26"/>
        <v>31601.01961146824</v>
      </c>
      <c r="BT59" s="147">
        <f t="shared" si="26"/>
        <v>31972.652849087732</v>
      </c>
      <c r="BU59" s="147">
        <f t="shared" si="26"/>
        <v>32349.94987889695</v>
      </c>
      <c r="BV59" s="147">
        <f t="shared" si="26"/>
        <v>37197.796604595904</v>
      </c>
      <c r="BW59" s="147">
        <f t="shared" ref="BW59:CA59" si="27" xml:space="preserve"> BW56 + BW58</f>
        <v>0</v>
      </c>
      <c r="BX59" s="147">
        <f t="shared" si="27"/>
        <v>0</v>
      </c>
      <c r="BY59" s="147">
        <f t="shared" si="27"/>
        <v>0</v>
      </c>
      <c r="BZ59" s="147">
        <f t="shared" si="27"/>
        <v>0</v>
      </c>
      <c r="CA59" s="147">
        <f t="shared" si="27"/>
        <v>0</v>
      </c>
    </row>
    <row r="60" spans="1:79" x14ac:dyDescent="0.2"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56"/>
      <c r="BI60" s="156"/>
      <c r="BJ60" s="156"/>
      <c r="BK60" s="156"/>
      <c r="BL60" s="156"/>
      <c r="BM60" s="156"/>
      <c r="BN60" s="156"/>
      <c r="BO60" s="156"/>
      <c r="BP60" s="156"/>
      <c r="BQ60" s="156"/>
      <c r="BR60" s="156"/>
      <c r="BS60" s="156"/>
      <c r="BT60" s="156"/>
      <c r="BU60" s="156"/>
      <c r="BV60" s="156"/>
      <c r="BW60" s="156"/>
      <c r="BX60" s="156"/>
      <c r="BY60" s="156"/>
      <c r="BZ60" s="156"/>
      <c r="CA60" s="156"/>
    </row>
  </sheetData>
  <phoneticPr fontId="2" type="noConversion"/>
  <printOptions heading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&amp;L&amp;"Arial,Bold"&amp;14Financial Mechanics Training Model&amp;C&amp;"Arial,Bold"&amp;14Sheet: &amp;A&amp;R&amp;"Arial,Bold"&amp;14STRICTLY NOT CONFIDENTIAL</oddHeader>
    <oddFooter>&amp;L&amp;12&amp;F (Printed on &amp;D at &amp;T) &amp;C&amp;12Page &amp;P of &amp;N&amp;R&amp;12© 2008 Financial Mechanics Ltd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43"/>
  <sheetViews>
    <sheetView defaultGridColor="0" colorId="22" workbookViewId="0">
      <pane xSplit="6" ySplit="4" topLeftCell="G5" activePane="bottomRight" state="frozen"/>
      <selection activeCell="G5" sqref="G5"/>
      <selection pane="topRight" activeCell="G5" sqref="G5"/>
      <selection pane="bottomLeft" activeCell="G5" sqref="G5"/>
      <selection pane="bottomRight" activeCell="G10" sqref="A10:XFD10"/>
    </sheetView>
  </sheetViews>
  <sheetFormatPr defaultColWidth="0" defaultRowHeight="12.75" x14ac:dyDescent="0.2"/>
  <cols>
    <col min="1" max="1" width="1.28515625" style="81" customWidth="1"/>
    <col min="2" max="2" width="1.28515625" style="82" customWidth="1"/>
    <col min="3" max="3" width="1.28515625" style="83" customWidth="1"/>
    <col min="4" max="4" width="1.28515625" style="84" customWidth="1"/>
    <col min="5" max="5" width="40.7109375" style="85" customWidth="1"/>
    <col min="6" max="6" width="12.7109375" style="85" customWidth="1"/>
    <col min="7" max="8" width="11.7109375" style="85" customWidth="1"/>
    <col min="9" max="9" width="2.7109375" style="85" customWidth="1"/>
    <col min="10" max="79" width="11.7109375" style="85" customWidth="1"/>
    <col min="80" max="16384" width="0" style="85" hidden="1"/>
  </cols>
  <sheetData>
    <row r="1" spans="1:79" s="72" customFormat="1" x14ac:dyDescent="0.2">
      <c r="A1" s="69" t="str">
        <f ca="1" xml:space="preserve"> RIGHT(CELL("filename", A1), LEN(CELL("filename", A1)) - SEARCH("]", CELL("filename", A1)))</f>
        <v>Ratios</v>
      </c>
      <c r="B1" s="69"/>
      <c r="C1" s="70"/>
      <c r="D1" s="71"/>
      <c r="F1" s="73"/>
      <c r="G1" s="73"/>
      <c r="H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</row>
    <row r="2" spans="1:79" s="74" customFormat="1" x14ac:dyDescent="0.2">
      <c r="A2" s="75"/>
      <c r="B2" s="75"/>
      <c r="C2" s="107"/>
      <c r="D2" s="77"/>
      <c r="E2" s="74" t="str">
        <f xml:space="preserve"> 'T&amp;E'!E$24</f>
        <v>Operating period flag</v>
      </c>
      <c r="F2" s="74">
        <f xml:space="preserve"> 'T&amp;E'!F$24</f>
        <v>0</v>
      </c>
      <c r="G2" s="74" t="str">
        <f xml:space="preserve"> 'T&amp;E'!G$24</f>
        <v>flag</v>
      </c>
      <c r="H2" s="74">
        <f xml:space="preserve"> 'T&amp;E'!H$24</f>
        <v>60</v>
      </c>
      <c r="I2" s="74">
        <f xml:space="preserve"> 'T&amp;E'!I$24</f>
        <v>0</v>
      </c>
      <c r="J2" s="74">
        <f xml:space="preserve"> 'T&amp;E'!J$24</f>
        <v>0</v>
      </c>
      <c r="K2" s="74">
        <f xml:space="preserve"> 'T&amp;E'!K$24</f>
        <v>0</v>
      </c>
      <c r="L2" s="74">
        <f xml:space="preserve"> 'T&amp;E'!L$24</f>
        <v>0</v>
      </c>
      <c r="M2" s="74">
        <f xml:space="preserve"> 'T&amp;E'!M$24</f>
        <v>0</v>
      </c>
      <c r="N2" s="74">
        <f xml:space="preserve"> 'T&amp;E'!N$24</f>
        <v>0</v>
      </c>
      <c r="O2" s="74">
        <f xml:space="preserve"> 'T&amp;E'!O$24</f>
        <v>1</v>
      </c>
      <c r="P2" s="74">
        <f xml:space="preserve"> 'T&amp;E'!P$24</f>
        <v>1</v>
      </c>
      <c r="Q2" s="74">
        <f xml:space="preserve"> 'T&amp;E'!Q$24</f>
        <v>1</v>
      </c>
      <c r="R2" s="74">
        <f xml:space="preserve"> 'T&amp;E'!R$24</f>
        <v>1</v>
      </c>
      <c r="S2" s="74">
        <f xml:space="preserve"> 'T&amp;E'!S$24</f>
        <v>1</v>
      </c>
      <c r="T2" s="74">
        <f xml:space="preserve"> 'T&amp;E'!T$24</f>
        <v>1</v>
      </c>
      <c r="U2" s="74">
        <f xml:space="preserve"> 'T&amp;E'!U$24</f>
        <v>1</v>
      </c>
      <c r="V2" s="74">
        <f xml:space="preserve"> 'T&amp;E'!V$24</f>
        <v>1</v>
      </c>
      <c r="W2" s="74">
        <f xml:space="preserve"> 'T&amp;E'!W$24</f>
        <v>1</v>
      </c>
      <c r="X2" s="74">
        <f xml:space="preserve"> 'T&amp;E'!X$24</f>
        <v>1</v>
      </c>
      <c r="Y2" s="74">
        <f xml:space="preserve"> 'T&amp;E'!Y$24</f>
        <v>1</v>
      </c>
      <c r="Z2" s="74">
        <f xml:space="preserve"> 'T&amp;E'!Z$24</f>
        <v>1</v>
      </c>
      <c r="AA2" s="74">
        <f xml:space="preserve"> 'T&amp;E'!AA$24</f>
        <v>1</v>
      </c>
      <c r="AB2" s="74">
        <f xml:space="preserve"> 'T&amp;E'!AB$24</f>
        <v>1</v>
      </c>
      <c r="AC2" s="74">
        <f xml:space="preserve"> 'T&amp;E'!AC$24</f>
        <v>1</v>
      </c>
      <c r="AD2" s="74">
        <f xml:space="preserve"> 'T&amp;E'!AD$24</f>
        <v>1</v>
      </c>
      <c r="AE2" s="74">
        <f xml:space="preserve"> 'T&amp;E'!AE$24</f>
        <v>1</v>
      </c>
      <c r="AF2" s="74">
        <f xml:space="preserve"> 'T&amp;E'!AF$24</f>
        <v>1</v>
      </c>
      <c r="AG2" s="74">
        <f xml:space="preserve"> 'T&amp;E'!AG$24</f>
        <v>1</v>
      </c>
      <c r="AH2" s="74">
        <f xml:space="preserve"> 'T&amp;E'!AH$24</f>
        <v>1</v>
      </c>
      <c r="AI2" s="74">
        <f xml:space="preserve"> 'T&amp;E'!AI$24</f>
        <v>1</v>
      </c>
      <c r="AJ2" s="74">
        <f xml:space="preserve"> 'T&amp;E'!AJ$24</f>
        <v>1</v>
      </c>
      <c r="AK2" s="74">
        <f xml:space="preserve"> 'T&amp;E'!AK$24</f>
        <v>1</v>
      </c>
      <c r="AL2" s="74">
        <f xml:space="preserve"> 'T&amp;E'!AL$24</f>
        <v>1</v>
      </c>
      <c r="AM2" s="74">
        <f xml:space="preserve"> 'T&amp;E'!AM$24</f>
        <v>1</v>
      </c>
      <c r="AN2" s="74">
        <f xml:space="preserve"> 'T&amp;E'!AN$24</f>
        <v>1</v>
      </c>
      <c r="AO2" s="74">
        <f xml:space="preserve"> 'T&amp;E'!AO$24</f>
        <v>1</v>
      </c>
      <c r="AP2" s="74">
        <f xml:space="preserve"> 'T&amp;E'!AP$24</f>
        <v>1</v>
      </c>
      <c r="AQ2" s="74">
        <f xml:space="preserve"> 'T&amp;E'!AQ$24</f>
        <v>1</v>
      </c>
      <c r="AR2" s="74">
        <f xml:space="preserve"> 'T&amp;E'!AR$24</f>
        <v>1</v>
      </c>
      <c r="AS2" s="74">
        <f xml:space="preserve"> 'T&amp;E'!AS$24</f>
        <v>1</v>
      </c>
      <c r="AT2" s="74">
        <f xml:space="preserve"> 'T&amp;E'!AT$24</f>
        <v>1</v>
      </c>
      <c r="AU2" s="74">
        <f xml:space="preserve"> 'T&amp;E'!AU$24</f>
        <v>1</v>
      </c>
      <c r="AV2" s="74">
        <f xml:space="preserve"> 'T&amp;E'!AV$24</f>
        <v>1</v>
      </c>
      <c r="AW2" s="74">
        <f xml:space="preserve"> 'T&amp;E'!AW$24</f>
        <v>1</v>
      </c>
      <c r="AX2" s="74">
        <f xml:space="preserve"> 'T&amp;E'!AX$24</f>
        <v>1</v>
      </c>
      <c r="AY2" s="74">
        <f xml:space="preserve"> 'T&amp;E'!AY$24</f>
        <v>1</v>
      </c>
      <c r="AZ2" s="74">
        <f xml:space="preserve"> 'T&amp;E'!AZ$24</f>
        <v>1</v>
      </c>
      <c r="BA2" s="74">
        <f xml:space="preserve"> 'T&amp;E'!BA$24</f>
        <v>1</v>
      </c>
      <c r="BB2" s="74">
        <f xml:space="preserve"> 'T&amp;E'!BB$24</f>
        <v>1</v>
      </c>
      <c r="BC2" s="74">
        <f xml:space="preserve"> 'T&amp;E'!BC$24</f>
        <v>1</v>
      </c>
      <c r="BD2" s="74">
        <f xml:space="preserve"> 'T&amp;E'!BD$24</f>
        <v>1</v>
      </c>
      <c r="BE2" s="74">
        <f xml:space="preserve"> 'T&amp;E'!BE$24</f>
        <v>1</v>
      </c>
      <c r="BF2" s="74">
        <f xml:space="preserve"> 'T&amp;E'!BF$24</f>
        <v>1</v>
      </c>
      <c r="BG2" s="74">
        <f xml:space="preserve"> 'T&amp;E'!BG$24</f>
        <v>1</v>
      </c>
      <c r="BH2" s="74">
        <f xml:space="preserve"> 'T&amp;E'!BH$24</f>
        <v>1</v>
      </c>
      <c r="BI2" s="74">
        <f xml:space="preserve"> 'T&amp;E'!BI$24</f>
        <v>1</v>
      </c>
      <c r="BJ2" s="74">
        <f xml:space="preserve"> 'T&amp;E'!BJ$24</f>
        <v>1</v>
      </c>
      <c r="BK2" s="74">
        <f xml:space="preserve"> 'T&amp;E'!BK$24</f>
        <v>1</v>
      </c>
      <c r="BL2" s="74">
        <f xml:space="preserve"> 'T&amp;E'!BL$24</f>
        <v>1</v>
      </c>
      <c r="BM2" s="74">
        <f xml:space="preserve"> 'T&amp;E'!BM$24</f>
        <v>1</v>
      </c>
      <c r="BN2" s="74">
        <f xml:space="preserve"> 'T&amp;E'!BN$24</f>
        <v>1</v>
      </c>
      <c r="BO2" s="74">
        <f xml:space="preserve"> 'T&amp;E'!BO$24</f>
        <v>1</v>
      </c>
      <c r="BP2" s="74">
        <f xml:space="preserve"> 'T&amp;E'!BP$24</f>
        <v>1</v>
      </c>
      <c r="BQ2" s="74">
        <f xml:space="preserve"> 'T&amp;E'!BQ$24</f>
        <v>1</v>
      </c>
      <c r="BR2" s="74">
        <f xml:space="preserve"> 'T&amp;E'!BR$24</f>
        <v>1</v>
      </c>
      <c r="BS2" s="74">
        <f xml:space="preserve"> 'T&amp;E'!BS$24</f>
        <v>1</v>
      </c>
      <c r="BT2" s="74">
        <f xml:space="preserve"> 'T&amp;E'!BT$24</f>
        <v>1</v>
      </c>
      <c r="BU2" s="74">
        <f xml:space="preserve"> 'T&amp;E'!BU$24</f>
        <v>1</v>
      </c>
      <c r="BV2" s="74">
        <f xml:space="preserve"> 'T&amp;E'!BV$24</f>
        <v>1</v>
      </c>
      <c r="BW2" s="74">
        <f xml:space="preserve"> 'T&amp;E'!BW$24</f>
        <v>0</v>
      </c>
      <c r="BX2" s="74">
        <f xml:space="preserve"> 'T&amp;E'!BX$24</f>
        <v>0</v>
      </c>
      <c r="BY2" s="74">
        <f xml:space="preserve"> 'T&amp;E'!BY$24</f>
        <v>0</v>
      </c>
      <c r="BZ2" s="74">
        <f xml:space="preserve"> 'T&amp;E'!BZ$24</f>
        <v>0</v>
      </c>
      <c r="CA2" s="74">
        <f xml:space="preserve"> 'T&amp;E'!CA$24</f>
        <v>0</v>
      </c>
    </row>
    <row r="3" spans="1:79" s="74" customFormat="1" x14ac:dyDescent="0.2">
      <c r="A3" s="75"/>
      <c r="B3" s="75"/>
      <c r="C3" s="107"/>
      <c r="D3" s="77"/>
      <c r="E3" s="74" t="str">
        <f>'T&amp;E'!E$8</f>
        <v>Model column counter</v>
      </c>
      <c r="F3" s="74">
        <f>'T&amp;E'!F$8</f>
        <v>0</v>
      </c>
      <c r="G3" s="74">
        <f>'T&amp;E'!G$8</f>
        <v>0</v>
      </c>
      <c r="H3" s="74">
        <f>'T&amp;E'!H$8</f>
        <v>0</v>
      </c>
      <c r="I3" s="74">
        <f>'T&amp;E'!I$8</f>
        <v>0</v>
      </c>
      <c r="J3" s="74">
        <f>'T&amp;E'!J$8</f>
        <v>1</v>
      </c>
      <c r="K3" s="74">
        <f>'T&amp;E'!K$8</f>
        <v>2</v>
      </c>
      <c r="L3" s="74">
        <f>'T&amp;E'!L$8</f>
        <v>3</v>
      </c>
      <c r="M3" s="74">
        <f>'T&amp;E'!M$8</f>
        <v>4</v>
      </c>
      <c r="N3" s="74">
        <f>'T&amp;E'!N$8</f>
        <v>5</v>
      </c>
      <c r="O3" s="74">
        <f>'T&amp;E'!O$8</f>
        <v>6</v>
      </c>
      <c r="P3" s="74">
        <f>'T&amp;E'!P$8</f>
        <v>7</v>
      </c>
      <c r="Q3" s="74">
        <f>'T&amp;E'!Q$8</f>
        <v>8</v>
      </c>
      <c r="R3" s="74">
        <f>'T&amp;E'!R$8</f>
        <v>9</v>
      </c>
      <c r="S3" s="74">
        <f>'T&amp;E'!S$8</f>
        <v>10</v>
      </c>
      <c r="T3" s="74">
        <f>'T&amp;E'!T$8</f>
        <v>11</v>
      </c>
      <c r="U3" s="74">
        <f>'T&amp;E'!U$8</f>
        <v>12</v>
      </c>
      <c r="V3" s="74">
        <f>'T&amp;E'!V$8</f>
        <v>13</v>
      </c>
      <c r="W3" s="74">
        <f>'T&amp;E'!W$8</f>
        <v>14</v>
      </c>
      <c r="X3" s="74">
        <f>'T&amp;E'!X$8</f>
        <v>15</v>
      </c>
      <c r="Y3" s="74">
        <f>'T&amp;E'!Y$8</f>
        <v>16</v>
      </c>
      <c r="Z3" s="74">
        <f>'T&amp;E'!Z$8</f>
        <v>17</v>
      </c>
      <c r="AA3" s="74">
        <f>'T&amp;E'!AA$8</f>
        <v>18</v>
      </c>
      <c r="AB3" s="74">
        <f>'T&amp;E'!AB$8</f>
        <v>19</v>
      </c>
      <c r="AC3" s="74">
        <f>'T&amp;E'!AC$8</f>
        <v>20</v>
      </c>
      <c r="AD3" s="74">
        <f>'T&amp;E'!AD$8</f>
        <v>21</v>
      </c>
      <c r="AE3" s="74">
        <f>'T&amp;E'!AE$8</f>
        <v>22</v>
      </c>
      <c r="AF3" s="74">
        <f>'T&amp;E'!AF$8</f>
        <v>23</v>
      </c>
      <c r="AG3" s="74">
        <f>'T&amp;E'!AG$8</f>
        <v>24</v>
      </c>
      <c r="AH3" s="74">
        <f>'T&amp;E'!AH$8</f>
        <v>25</v>
      </c>
      <c r="AI3" s="74">
        <f>'T&amp;E'!AI$8</f>
        <v>26</v>
      </c>
      <c r="AJ3" s="74">
        <f>'T&amp;E'!AJ$8</f>
        <v>27</v>
      </c>
      <c r="AK3" s="74">
        <f>'T&amp;E'!AK$8</f>
        <v>28</v>
      </c>
      <c r="AL3" s="74">
        <f>'T&amp;E'!AL$8</f>
        <v>29</v>
      </c>
      <c r="AM3" s="74">
        <f>'T&amp;E'!AM$8</f>
        <v>30</v>
      </c>
      <c r="AN3" s="74">
        <f>'T&amp;E'!AN$8</f>
        <v>31</v>
      </c>
      <c r="AO3" s="74">
        <f>'T&amp;E'!AO$8</f>
        <v>32</v>
      </c>
      <c r="AP3" s="74">
        <f>'T&amp;E'!AP$8</f>
        <v>33</v>
      </c>
      <c r="AQ3" s="74">
        <f>'T&amp;E'!AQ$8</f>
        <v>34</v>
      </c>
      <c r="AR3" s="74">
        <f>'T&amp;E'!AR$8</f>
        <v>35</v>
      </c>
      <c r="AS3" s="74">
        <f>'T&amp;E'!AS$8</f>
        <v>36</v>
      </c>
      <c r="AT3" s="74">
        <f>'T&amp;E'!AT$8</f>
        <v>37</v>
      </c>
      <c r="AU3" s="74">
        <f>'T&amp;E'!AU$8</f>
        <v>38</v>
      </c>
      <c r="AV3" s="74">
        <f>'T&amp;E'!AV$8</f>
        <v>39</v>
      </c>
      <c r="AW3" s="74">
        <f>'T&amp;E'!AW$8</f>
        <v>40</v>
      </c>
      <c r="AX3" s="74">
        <f>'T&amp;E'!AX$8</f>
        <v>41</v>
      </c>
      <c r="AY3" s="74">
        <f>'T&amp;E'!AY$8</f>
        <v>42</v>
      </c>
      <c r="AZ3" s="74">
        <f>'T&amp;E'!AZ$8</f>
        <v>43</v>
      </c>
      <c r="BA3" s="74">
        <f>'T&amp;E'!BA$8</f>
        <v>44</v>
      </c>
      <c r="BB3" s="74">
        <f>'T&amp;E'!BB$8</f>
        <v>45</v>
      </c>
      <c r="BC3" s="74">
        <f>'T&amp;E'!BC$8</f>
        <v>46</v>
      </c>
      <c r="BD3" s="74">
        <f>'T&amp;E'!BD$8</f>
        <v>47</v>
      </c>
      <c r="BE3" s="74">
        <f>'T&amp;E'!BE$8</f>
        <v>48</v>
      </c>
      <c r="BF3" s="74">
        <f>'T&amp;E'!BF$8</f>
        <v>49</v>
      </c>
      <c r="BG3" s="74">
        <f>'T&amp;E'!BG$8</f>
        <v>50</v>
      </c>
      <c r="BH3" s="74">
        <f>'T&amp;E'!BH$8</f>
        <v>51</v>
      </c>
      <c r="BI3" s="74">
        <f>'T&amp;E'!BI$8</f>
        <v>52</v>
      </c>
      <c r="BJ3" s="74">
        <f>'T&amp;E'!BJ$8</f>
        <v>53</v>
      </c>
      <c r="BK3" s="74">
        <f>'T&amp;E'!BK$8</f>
        <v>54</v>
      </c>
      <c r="BL3" s="74">
        <f>'T&amp;E'!BL$8</f>
        <v>55</v>
      </c>
      <c r="BM3" s="74">
        <f>'T&amp;E'!BM$8</f>
        <v>56</v>
      </c>
      <c r="BN3" s="74">
        <f>'T&amp;E'!BN$8</f>
        <v>57</v>
      </c>
      <c r="BO3" s="74">
        <f>'T&amp;E'!BO$8</f>
        <v>58</v>
      </c>
      <c r="BP3" s="74">
        <f>'T&amp;E'!BP$8</f>
        <v>59</v>
      </c>
      <c r="BQ3" s="74">
        <f>'T&amp;E'!BQ$8</f>
        <v>60</v>
      </c>
      <c r="BR3" s="74">
        <f>'T&amp;E'!BR$8</f>
        <v>61</v>
      </c>
      <c r="BS3" s="74">
        <f>'T&amp;E'!BS$8</f>
        <v>62</v>
      </c>
      <c r="BT3" s="74">
        <f>'T&amp;E'!BT$8</f>
        <v>63</v>
      </c>
      <c r="BU3" s="74">
        <f>'T&amp;E'!BU$8</f>
        <v>64</v>
      </c>
      <c r="BV3" s="74">
        <f>'T&amp;E'!BV$8</f>
        <v>65</v>
      </c>
      <c r="BW3" s="74">
        <f>'T&amp;E'!BW$8</f>
        <v>66</v>
      </c>
      <c r="BX3" s="74">
        <f>'T&amp;E'!BX$8</f>
        <v>67</v>
      </c>
      <c r="BY3" s="74">
        <f>'T&amp;E'!BY$8</f>
        <v>68</v>
      </c>
      <c r="BZ3" s="74">
        <f>'T&amp;E'!BZ$8</f>
        <v>69</v>
      </c>
      <c r="CA3" s="74">
        <f>'T&amp;E'!CA$8</f>
        <v>70</v>
      </c>
    </row>
    <row r="4" spans="1:79" s="78" customFormat="1" x14ac:dyDescent="0.2">
      <c r="C4" s="79"/>
      <c r="D4" s="80"/>
      <c r="E4" s="78" t="str">
        <f xml:space="preserve"> 'T&amp;E'!E$12</f>
        <v>Model period ending</v>
      </c>
      <c r="F4" s="80" t="str">
        <f xml:space="preserve"> 'T&amp;E'!F$12</f>
        <v>constant</v>
      </c>
      <c r="G4" s="78" t="str">
        <f xml:space="preserve"> 'T&amp;E'!G$12</f>
        <v>unit</v>
      </c>
      <c r="H4" s="80" t="str">
        <f xml:space="preserve"> 'T&amp;E'!H$12</f>
        <v>total</v>
      </c>
      <c r="I4" s="78">
        <f xml:space="preserve"> 'T&amp;E'!I$12</f>
        <v>0</v>
      </c>
      <c r="J4" s="78">
        <f xml:space="preserve"> 'T&amp;E'!J$12</f>
        <v>41639</v>
      </c>
      <c r="K4" s="78">
        <f xml:space="preserve"> 'T&amp;E'!K$12</f>
        <v>41820</v>
      </c>
      <c r="L4" s="78">
        <f xml:space="preserve"> 'T&amp;E'!L$12</f>
        <v>42004</v>
      </c>
      <c r="M4" s="78">
        <f xml:space="preserve"> 'T&amp;E'!M$12</f>
        <v>42185</v>
      </c>
      <c r="N4" s="78">
        <f xml:space="preserve"> 'T&amp;E'!N$12</f>
        <v>42369</v>
      </c>
      <c r="O4" s="78">
        <f xml:space="preserve"> 'T&amp;E'!O$12</f>
        <v>42551</v>
      </c>
      <c r="P4" s="78">
        <f xml:space="preserve"> 'T&amp;E'!P$12</f>
        <v>42735</v>
      </c>
      <c r="Q4" s="78">
        <f xml:space="preserve"> 'T&amp;E'!Q$12</f>
        <v>42916</v>
      </c>
      <c r="R4" s="78">
        <f xml:space="preserve"> 'T&amp;E'!R$12</f>
        <v>43100</v>
      </c>
      <c r="S4" s="78">
        <f xml:space="preserve"> 'T&amp;E'!S$12</f>
        <v>43281</v>
      </c>
      <c r="T4" s="78">
        <f xml:space="preserve"> 'T&amp;E'!T$12</f>
        <v>43465</v>
      </c>
      <c r="U4" s="78">
        <f xml:space="preserve"> 'T&amp;E'!U$12</f>
        <v>43646</v>
      </c>
      <c r="V4" s="78">
        <f xml:space="preserve"> 'T&amp;E'!V$12</f>
        <v>43830</v>
      </c>
      <c r="W4" s="78">
        <f xml:space="preserve"> 'T&amp;E'!W$12</f>
        <v>44012</v>
      </c>
      <c r="X4" s="78">
        <f xml:space="preserve"> 'T&amp;E'!X$12</f>
        <v>44196</v>
      </c>
      <c r="Y4" s="78">
        <f xml:space="preserve"> 'T&amp;E'!Y$12</f>
        <v>44377</v>
      </c>
      <c r="Z4" s="78">
        <f xml:space="preserve"> 'T&amp;E'!Z$12</f>
        <v>44561</v>
      </c>
      <c r="AA4" s="78">
        <f xml:space="preserve"> 'T&amp;E'!AA$12</f>
        <v>44742</v>
      </c>
      <c r="AB4" s="78">
        <f xml:space="preserve"> 'T&amp;E'!AB$12</f>
        <v>44926</v>
      </c>
      <c r="AC4" s="78">
        <f xml:space="preserve"> 'T&amp;E'!AC$12</f>
        <v>45107</v>
      </c>
      <c r="AD4" s="78">
        <f xml:space="preserve"> 'T&amp;E'!AD$12</f>
        <v>45291</v>
      </c>
      <c r="AE4" s="78">
        <f xml:space="preserve"> 'T&amp;E'!AE$12</f>
        <v>45473</v>
      </c>
      <c r="AF4" s="78">
        <f xml:space="preserve"> 'T&amp;E'!AF$12</f>
        <v>45657</v>
      </c>
      <c r="AG4" s="78">
        <f xml:space="preserve"> 'T&amp;E'!AG$12</f>
        <v>45838</v>
      </c>
      <c r="AH4" s="78">
        <f xml:space="preserve"> 'T&amp;E'!AH$12</f>
        <v>46022</v>
      </c>
      <c r="AI4" s="78">
        <f xml:space="preserve"> 'T&amp;E'!AI$12</f>
        <v>46203</v>
      </c>
      <c r="AJ4" s="78">
        <f xml:space="preserve"> 'T&amp;E'!AJ$12</f>
        <v>46387</v>
      </c>
      <c r="AK4" s="78">
        <f xml:space="preserve"> 'T&amp;E'!AK$12</f>
        <v>46568</v>
      </c>
      <c r="AL4" s="78">
        <f xml:space="preserve"> 'T&amp;E'!AL$12</f>
        <v>46752</v>
      </c>
      <c r="AM4" s="78">
        <f xml:space="preserve"> 'T&amp;E'!AM$12</f>
        <v>46934</v>
      </c>
      <c r="AN4" s="78">
        <f xml:space="preserve"> 'T&amp;E'!AN$12</f>
        <v>47118</v>
      </c>
      <c r="AO4" s="78">
        <f xml:space="preserve"> 'T&amp;E'!AO$12</f>
        <v>47299</v>
      </c>
      <c r="AP4" s="78">
        <f xml:space="preserve"> 'T&amp;E'!AP$12</f>
        <v>47483</v>
      </c>
      <c r="AQ4" s="78">
        <f xml:space="preserve"> 'T&amp;E'!AQ$12</f>
        <v>47664</v>
      </c>
      <c r="AR4" s="78">
        <f xml:space="preserve"> 'T&amp;E'!AR$12</f>
        <v>47848</v>
      </c>
      <c r="AS4" s="78">
        <f xml:space="preserve"> 'T&amp;E'!AS$12</f>
        <v>48029</v>
      </c>
      <c r="AT4" s="78">
        <f xml:space="preserve"> 'T&amp;E'!AT$12</f>
        <v>48213</v>
      </c>
      <c r="AU4" s="78">
        <f xml:space="preserve"> 'T&amp;E'!AU$12</f>
        <v>48395</v>
      </c>
      <c r="AV4" s="78">
        <f xml:space="preserve"> 'T&amp;E'!AV$12</f>
        <v>48579</v>
      </c>
      <c r="AW4" s="78">
        <f xml:space="preserve"> 'T&amp;E'!AW$12</f>
        <v>48760</v>
      </c>
      <c r="AX4" s="78">
        <f xml:space="preserve"> 'T&amp;E'!AX$12</f>
        <v>48944</v>
      </c>
      <c r="AY4" s="78">
        <f xml:space="preserve"> 'T&amp;E'!AY$12</f>
        <v>49125</v>
      </c>
      <c r="AZ4" s="78">
        <f xml:space="preserve"> 'T&amp;E'!AZ$12</f>
        <v>49309</v>
      </c>
      <c r="BA4" s="78">
        <f xml:space="preserve"> 'T&amp;E'!BA$12</f>
        <v>49490</v>
      </c>
      <c r="BB4" s="78">
        <f xml:space="preserve"> 'T&amp;E'!BB$12</f>
        <v>49674</v>
      </c>
      <c r="BC4" s="78">
        <f xml:space="preserve"> 'T&amp;E'!BC$12</f>
        <v>49856</v>
      </c>
      <c r="BD4" s="78">
        <f xml:space="preserve"> 'T&amp;E'!BD$12</f>
        <v>50040</v>
      </c>
      <c r="BE4" s="78">
        <f xml:space="preserve"> 'T&amp;E'!BE$12</f>
        <v>50221</v>
      </c>
      <c r="BF4" s="78">
        <f xml:space="preserve"> 'T&amp;E'!BF$12</f>
        <v>50405</v>
      </c>
      <c r="BG4" s="78">
        <f xml:space="preserve"> 'T&amp;E'!BG$12</f>
        <v>50586</v>
      </c>
      <c r="BH4" s="78">
        <f xml:space="preserve"> 'T&amp;E'!BH$12</f>
        <v>50770</v>
      </c>
      <c r="BI4" s="78">
        <f xml:space="preserve"> 'T&amp;E'!BI$12</f>
        <v>50951</v>
      </c>
      <c r="BJ4" s="78">
        <f xml:space="preserve"> 'T&amp;E'!BJ$12</f>
        <v>51135</v>
      </c>
      <c r="BK4" s="78">
        <f xml:space="preserve"> 'T&amp;E'!BK$12</f>
        <v>51317</v>
      </c>
      <c r="BL4" s="78">
        <f xml:space="preserve"> 'T&amp;E'!BL$12</f>
        <v>51501</v>
      </c>
      <c r="BM4" s="78">
        <f xml:space="preserve"> 'T&amp;E'!BM$12</f>
        <v>51682</v>
      </c>
      <c r="BN4" s="78">
        <f xml:space="preserve"> 'T&amp;E'!BN$12</f>
        <v>51866</v>
      </c>
      <c r="BO4" s="78">
        <f xml:space="preserve"> 'T&amp;E'!BO$12</f>
        <v>52047</v>
      </c>
      <c r="BP4" s="78">
        <f xml:space="preserve"> 'T&amp;E'!BP$12</f>
        <v>52231</v>
      </c>
      <c r="BQ4" s="78">
        <f xml:space="preserve"> 'T&amp;E'!BQ$12</f>
        <v>52412</v>
      </c>
      <c r="BR4" s="78">
        <f xml:space="preserve"> 'T&amp;E'!BR$12</f>
        <v>52596</v>
      </c>
      <c r="BS4" s="78">
        <f xml:space="preserve"> 'T&amp;E'!BS$12</f>
        <v>52778</v>
      </c>
      <c r="BT4" s="78">
        <f xml:space="preserve"> 'T&amp;E'!BT$12</f>
        <v>52962</v>
      </c>
      <c r="BU4" s="78">
        <f xml:space="preserve"> 'T&amp;E'!BU$12</f>
        <v>53143</v>
      </c>
      <c r="BV4" s="78">
        <f xml:space="preserve"> 'T&amp;E'!BV$12</f>
        <v>53327</v>
      </c>
      <c r="BW4" s="78">
        <f xml:space="preserve"> 'T&amp;E'!BW$12</f>
        <v>53508</v>
      </c>
      <c r="BX4" s="78">
        <f xml:space="preserve"> 'T&amp;E'!BX$12</f>
        <v>53692</v>
      </c>
      <c r="BY4" s="78">
        <f xml:space="preserve"> 'T&amp;E'!BY$12</f>
        <v>53873</v>
      </c>
      <c r="BZ4" s="78">
        <f xml:space="preserve"> 'T&amp;E'!BZ$12</f>
        <v>54057</v>
      </c>
      <c r="CA4" s="78">
        <f xml:space="preserve"> 'T&amp;E'!CA$12</f>
        <v>54239</v>
      </c>
    </row>
    <row r="6" spans="1:79" x14ac:dyDescent="0.2">
      <c r="A6" s="81" t="s">
        <v>292</v>
      </c>
    </row>
    <row r="8" spans="1:79" s="144" customFormat="1" x14ac:dyDescent="0.2">
      <c r="A8" s="93"/>
      <c r="B8" s="93"/>
      <c r="C8" s="94"/>
      <c r="D8" s="143"/>
      <c r="E8" s="144" t="str">
        <f>'T&amp;E'!E$29</f>
        <v>Senior debt term / ratio calc date flag</v>
      </c>
      <c r="F8" s="144">
        <f>'T&amp;E'!F$29</f>
        <v>0</v>
      </c>
      <c r="G8" s="144" t="str">
        <f>'T&amp;E'!G$29</f>
        <v>flag</v>
      </c>
      <c r="H8" s="144">
        <f>'T&amp;E'!H$29</f>
        <v>40</v>
      </c>
      <c r="I8" s="144">
        <f>'T&amp;E'!I$29</f>
        <v>0</v>
      </c>
      <c r="J8" s="144">
        <f>'T&amp;E'!J$29</f>
        <v>0</v>
      </c>
      <c r="K8" s="144">
        <f>'T&amp;E'!K$29</f>
        <v>0</v>
      </c>
      <c r="L8" s="144">
        <f>'T&amp;E'!L$29</f>
        <v>0</v>
      </c>
      <c r="M8" s="144">
        <f>'T&amp;E'!M$29</f>
        <v>0</v>
      </c>
      <c r="N8" s="144">
        <f>'T&amp;E'!N$29</f>
        <v>0</v>
      </c>
      <c r="O8" s="144">
        <f>'T&amp;E'!O$29</f>
        <v>1</v>
      </c>
      <c r="P8" s="144">
        <f>'T&amp;E'!P$29</f>
        <v>1</v>
      </c>
      <c r="Q8" s="144">
        <f>'T&amp;E'!Q$29</f>
        <v>1</v>
      </c>
      <c r="R8" s="144">
        <f>'T&amp;E'!R$29</f>
        <v>1</v>
      </c>
      <c r="S8" s="144">
        <f>'T&amp;E'!S$29</f>
        <v>1</v>
      </c>
      <c r="T8" s="144">
        <f>'T&amp;E'!T$29</f>
        <v>1</v>
      </c>
      <c r="U8" s="144">
        <f>'T&amp;E'!U$29</f>
        <v>1</v>
      </c>
      <c r="V8" s="144">
        <f>'T&amp;E'!V$29</f>
        <v>1</v>
      </c>
      <c r="W8" s="144">
        <f>'T&amp;E'!W$29</f>
        <v>1</v>
      </c>
      <c r="X8" s="144">
        <f>'T&amp;E'!X$29</f>
        <v>1</v>
      </c>
      <c r="Y8" s="144">
        <f>'T&amp;E'!Y$29</f>
        <v>1</v>
      </c>
      <c r="Z8" s="144">
        <f>'T&amp;E'!Z$29</f>
        <v>1</v>
      </c>
      <c r="AA8" s="144">
        <f>'T&amp;E'!AA$29</f>
        <v>1</v>
      </c>
      <c r="AB8" s="144">
        <f>'T&amp;E'!AB$29</f>
        <v>1</v>
      </c>
      <c r="AC8" s="144">
        <f>'T&amp;E'!AC$29</f>
        <v>1</v>
      </c>
      <c r="AD8" s="144">
        <f>'T&amp;E'!AD$29</f>
        <v>1</v>
      </c>
      <c r="AE8" s="144">
        <f>'T&amp;E'!AE$29</f>
        <v>1</v>
      </c>
      <c r="AF8" s="144">
        <f>'T&amp;E'!AF$29</f>
        <v>1</v>
      </c>
      <c r="AG8" s="144">
        <f>'T&amp;E'!AG$29</f>
        <v>1</v>
      </c>
      <c r="AH8" s="144">
        <f>'T&amp;E'!AH$29</f>
        <v>1</v>
      </c>
      <c r="AI8" s="144">
        <f>'T&amp;E'!AI$29</f>
        <v>1</v>
      </c>
      <c r="AJ8" s="144">
        <f>'T&amp;E'!AJ$29</f>
        <v>1</v>
      </c>
      <c r="AK8" s="144">
        <f>'T&amp;E'!AK$29</f>
        <v>1</v>
      </c>
      <c r="AL8" s="144">
        <f>'T&amp;E'!AL$29</f>
        <v>1</v>
      </c>
      <c r="AM8" s="144">
        <f>'T&amp;E'!AM$29</f>
        <v>1</v>
      </c>
      <c r="AN8" s="144">
        <f>'T&amp;E'!AN$29</f>
        <v>1</v>
      </c>
      <c r="AO8" s="144">
        <f>'T&amp;E'!AO$29</f>
        <v>1</v>
      </c>
      <c r="AP8" s="144">
        <f>'T&amp;E'!AP$29</f>
        <v>1</v>
      </c>
      <c r="AQ8" s="144">
        <f>'T&amp;E'!AQ$29</f>
        <v>1</v>
      </c>
      <c r="AR8" s="144">
        <f>'T&amp;E'!AR$29</f>
        <v>1</v>
      </c>
      <c r="AS8" s="144">
        <f>'T&amp;E'!AS$29</f>
        <v>1</v>
      </c>
      <c r="AT8" s="144">
        <f>'T&amp;E'!AT$29</f>
        <v>1</v>
      </c>
      <c r="AU8" s="144">
        <f>'T&amp;E'!AU$29</f>
        <v>1</v>
      </c>
      <c r="AV8" s="144">
        <f>'T&amp;E'!AV$29</f>
        <v>1</v>
      </c>
      <c r="AW8" s="144">
        <f>'T&amp;E'!AW$29</f>
        <v>1</v>
      </c>
      <c r="AX8" s="144">
        <f>'T&amp;E'!AX$29</f>
        <v>1</v>
      </c>
      <c r="AY8" s="144">
        <f>'T&amp;E'!AY$29</f>
        <v>1</v>
      </c>
      <c r="AZ8" s="144">
        <f>'T&amp;E'!AZ$29</f>
        <v>1</v>
      </c>
      <c r="BA8" s="144">
        <f>'T&amp;E'!BA$29</f>
        <v>1</v>
      </c>
      <c r="BB8" s="144">
        <f>'T&amp;E'!BB$29</f>
        <v>1</v>
      </c>
      <c r="BC8" s="144">
        <f>'T&amp;E'!BC$29</f>
        <v>0</v>
      </c>
      <c r="BD8" s="144">
        <f>'T&amp;E'!BD$29</f>
        <v>0</v>
      </c>
      <c r="BE8" s="144">
        <f>'T&amp;E'!BE$29</f>
        <v>0</v>
      </c>
      <c r="BF8" s="144">
        <f>'T&amp;E'!BF$29</f>
        <v>0</v>
      </c>
      <c r="BG8" s="144">
        <f>'T&amp;E'!BG$29</f>
        <v>0</v>
      </c>
      <c r="BH8" s="144">
        <f>'T&amp;E'!BH$29</f>
        <v>0</v>
      </c>
      <c r="BI8" s="144">
        <f>'T&amp;E'!BI$29</f>
        <v>0</v>
      </c>
      <c r="BJ8" s="144">
        <f>'T&amp;E'!BJ$29</f>
        <v>0</v>
      </c>
      <c r="BK8" s="144">
        <f>'T&amp;E'!BK$29</f>
        <v>0</v>
      </c>
      <c r="BL8" s="144">
        <f>'T&amp;E'!BL$29</f>
        <v>0</v>
      </c>
      <c r="BM8" s="144">
        <f>'T&amp;E'!BM$29</f>
        <v>0</v>
      </c>
      <c r="BN8" s="144">
        <f>'T&amp;E'!BN$29</f>
        <v>0</v>
      </c>
      <c r="BO8" s="144">
        <f>'T&amp;E'!BO$29</f>
        <v>0</v>
      </c>
      <c r="BP8" s="144">
        <f>'T&amp;E'!BP$29</f>
        <v>0</v>
      </c>
      <c r="BQ8" s="144">
        <f>'T&amp;E'!BQ$29</f>
        <v>0</v>
      </c>
      <c r="BR8" s="144">
        <f>'T&amp;E'!BR$29</f>
        <v>0</v>
      </c>
      <c r="BS8" s="144">
        <f>'T&amp;E'!BS$29</f>
        <v>0</v>
      </c>
      <c r="BT8" s="144">
        <f>'T&amp;E'!BT$29</f>
        <v>0</v>
      </c>
      <c r="BU8" s="144">
        <f>'T&amp;E'!BU$29</f>
        <v>0</v>
      </c>
      <c r="BV8" s="144">
        <f>'T&amp;E'!BV$29</f>
        <v>0</v>
      </c>
      <c r="BW8" s="144">
        <f>'T&amp;E'!BW$29</f>
        <v>0</v>
      </c>
      <c r="BX8" s="144">
        <f>'T&amp;E'!BX$29</f>
        <v>0</v>
      </c>
      <c r="BY8" s="144">
        <f>'T&amp;E'!BY$29</f>
        <v>0</v>
      </c>
      <c r="BZ8" s="144">
        <f>'T&amp;E'!BZ$29</f>
        <v>0</v>
      </c>
      <c r="CA8" s="144">
        <f>'T&amp;E'!CA$29</f>
        <v>0</v>
      </c>
    </row>
    <row r="9" spans="1:79" s="96" customFormat="1" x14ac:dyDescent="0.2">
      <c r="A9" s="92"/>
      <c r="B9" s="93"/>
      <c r="C9" s="94"/>
      <c r="D9" s="95"/>
      <c r="E9" s="96" t="str">
        <f>Finstat!E$43</f>
        <v>Cash flow available for debt service</v>
      </c>
      <c r="F9" s="96">
        <f>Finstat!F$43</f>
        <v>0</v>
      </c>
      <c r="G9" s="96">
        <f>Finstat!G$43</f>
        <v>0</v>
      </c>
      <c r="H9" s="96">
        <f>Finstat!H$43</f>
        <v>1591083.1727996543</v>
      </c>
      <c r="I9" s="96">
        <f>Finstat!I$43</f>
        <v>0</v>
      </c>
      <c r="J9" s="96">
        <f>Finstat!J$43</f>
        <v>0</v>
      </c>
      <c r="K9" s="96">
        <f>Finstat!K$43</f>
        <v>0</v>
      </c>
      <c r="L9" s="96">
        <f>Finstat!L$43</f>
        <v>0</v>
      </c>
      <c r="M9" s="96">
        <f>Finstat!M$43</f>
        <v>0</v>
      </c>
      <c r="N9" s="96">
        <f>Finstat!N$43</f>
        <v>0</v>
      </c>
      <c r="O9" s="96">
        <f>Finstat!O$43</f>
        <v>25675.13464673726</v>
      </c>
      <c r="P9" s="96">
        <f>Finstat!P$43</f>
        <v>25784.292964742319</v>
      </c>
      <c r="Q9" s="96">
        <f>Finstat!Q$43</f>
        <v>26068.004233082032</v>
      </c>
      <c r="R9" s="96">
        <f>Finstat!R$43</f>
        <v>24437.58111890369</v>
      </c>
      <c r="S9" s="96">
        <f>Finstat!S$43</f>
        <v>24590.123895145382</v>
      </c>
      <c r="T9" s="96">
        <f>Finstat!T$43</f>
        <v>24124.254395239055</v>
      </c>
      <c r="U9" s="96">
        <f>Finstat!U$43</f>
        <v>24228.097816556641</v>
      </c>
      <c r="V9" s="96">
        <f>Finstat!V$43</f>
        <v>24056.90258435662</v>
      </c>
      <c r="W9" s="96">
        <f>Finstat!W$43</f>
        <v>24151.684677646354</v>
      </c>
      <c r="X9" s="96">
        <f>Finstat!X$43</f>
        <v>24425.085432866486</v>
      </c>
      <c r="Y9" s="96">
        <f>Finstat!Y$43</f>
        <v>24287.716298618838</v>
      </c>
      <c r="Z9" s="96">
        <f>Finstat!Z$43</f>
        <v>24025.129592320194</v>
      </c>
      <c r="AA9" s="96">
        <f>Finstat!AA$43</f>
        <v>24123.551568627714</v>
      </c>
      <c r="AB9" s="96">
        <f>Finstat!AB$43</f>
        <v>23997.923467359804</v>
      </c>
      <c r="AC9" s="96">
        <f>Finstat!AC$43</f>
        <v>24115.881462831905</v>
      </c>
      <c r="AD9" s="96">
        <f>Finstat!AD$43</f>
        <v>24477.309683099375</v>
      </c>
      <c r="AE9" s="96">
        <f>Finstat!AE$43</f>
        <v>24639.404533450455</v>
      </c>
      <c r="AF9" s="96">
        <f>Finstat!AF$43</f>
        <v>24512.12599020647</v>
      </c>
      <c r="AG9" s="96">
        <f>Finstat!AG$43</f>
        <v>24689.85257539494</v>
      </c>
      <c r="AH9" s="96">
        <f>Finstat!AH$43</f>
        <v>24569.77048010665</v>
      </c>
      <c r="AI9" s="96">
        <f>Finstat!AI$43</f>
        <v>24580.861717312084</v>
      </c>
      <c r="AJ9" s="96">
        <f>Finstat!AJ$43</f>
        <v>24465.033108015967</v>
      </c>
      <c r="AK9" s="96">
        <f>Finstat!AK$43</f>
        <v>24667.568342318882</v>
      </c>
      <c r="AL9" s="96">
        <f>Finstat!AL$43</f>
        <v>24555.326669155816</v>
      </c>
      <c r="AM9" s="96">
        <f>Finstat!AM$43</f>
        <v>24768.418348333769</v>
      </c>
      <c r="AN9" s="96">
        <f>Finstat!AN$43</f>
        <v>25013.636788182725</v>
      </c>
      <c r="AO9" s="96">
        <f>Finstat!AO$43</f>
        <v>25265.609721331355</v>
      </c>
      <c r="AP9" s="96">
        <f>Finstat!AP$43</f>
        <v>25127.01087842273</v>
      </c>
      <c r="AQ9" s="96">
        <f>Finstat!AQ$43</f>
        <v>25386.829231084077</v>
      </c>
      <c r="AR9" s="96">
        <f>Finstat!AR$43</f>
        <v>25245.415737159736</v>
      </c>
      <c r="AS9" s="96">
        <f>Finstat!AS$43</f>
        <v>25511.552489639838</v>
      </c>
      <c r="AT9" s="96">
        <f>Finstat!AT$43</f>
        <v>25365.594349984302</v>
      </c>
      <c r="AU9" s="96">
        <f>Finstat!AU$43</f>
        <v>25636.523523664422</v>
      </c>
      <c r="AV9" s="96">
        <f>Finstat!AV$43</f>
        <v>25484.199625947636</v>
      </c>
      <c r="AW9" s="96">
        <f>Finstat!AW$43</f>
        <v>25758.389026750567</v>
      </c>
      <c r="AX9" s="96">
        <f>Finstat!AX$43</f>
        <v>26149.691339109697</v>
      </c>
      <c r="AY9" s="96">
        <f>Finstat!AY$43</f>
        <v>26460.07010022788</v>
      </c>
      <c r="AZ9" s="96">
        <f>Finstat!AZ$43</f>
        <v>26258.514335888001</v>
      </c>
      <c r="BA9" s="96">
        <f>Finstat!BA$43</f>
        <v>26569.619688357227</v>
      </c>
      <c r="BB9" s="96">
        <f>Finstat!BB$43</f>
        <v>26355.226543934212</v>
      </c>
      <c r="BC9" s="96">
        <f>Finstat!BC$43</f>
        <v>26665.4957125605</v>
      </c>
      <c r="BD9" s="96">
        <f>Finstat!BD$43</f>
        <v>26679.509517069491</v>
      </c>
      <c r="BE9" s="96">
        <f>Finstat!BE$43</f>
        <v>27238.761751659724</v>
      </c>
      <c r="BF9" s="96">
        <f>Finstat!BF$43</f>
        <v>27132.130690617203</v>
      </c>
      <c r="BG9" s="96">
        <f>Finstat!BG$43</f>
        <v>27708.238269792957</v>
      </c>
      <c r="BH9" s="96">
        <f>Finstat!BH$43</f>
        <v>27730.379693491417</v>
      </c>
      <c r="BI9" s="96">
        <f>Finstat!BI$43</f>
        <v>27173.623053413656</v>
      </c>
      <c r="BJ9" s="96">
        <f>Finstat!BJ$43</f>
        <v>29384.936361395878</v>
      </c>
      <c r="BK9" s="96">
        <f>Finstat!BK$43</f>
        <v>27650.661466390051</v>
      </c>
      <c r="BL9" s="96">
        <f>Finstat!BL$43</f>
        <v>30054.355071744991</v>
      </c>
      <c r="BM9" s="96">
        <f>Finstat!BM$43</f>
        <v>28279.983539298279</v>
      </c>
      <c r="BN9" s="96">
        <f>Finstat!BN$43</f>
        <v>30746.866707974674</v>
      </c>
      <c r="BO9" s="96">
        <f>Finstat!BO$43</f>
        <v>28931.078249245016</v>
      </c>
      <c r="BP9" s="96">
        <f>Finstat!BP$43</f>
        <v>31462.428741065087</v>
      </c>
      <c r="BQ9" s="96">
        <f>Finstat!BQ$43</f>
        <v>29603.901052597634</v>
      </c>
      <c r="BR9" s="96">
        <f>Finstat!BR$43</f>
        <v>30914.484995175917</v>
      </c>
      <c r="BS9" s="96">
        <f>Finstat!BS$43</f>
        <v>31601.01961146824</v>
      </c>
      <c r="BT9" s="96">
        <f>Finstat!BT$43</f>
        <v>31972.652849087732</v>
      </c>
      <c r="BU9" s="96">
        <f>Finstat!BU$43</f>
        <v>32349.94987889695</v>
      </c>
      <c r="BV9" s="96">
        <f>Finstat!BV$43</f>
        <v>38197.796604595904</v>
      </c>
      <c r="BW9" s="96">
        <f>Finstat!BW$43</f>
        <v>0</v>
      </c>
      <c r="BX9" s="96">
        <f>Finstat!BX$43</f>
        <v>0</v>
      </c>
      <c r="BY9" s="96">
        <f>Finstat!BY$43</f>
        <v>0</v>
      </c>
      <c r="BZ9" s="96">
        <f>Finstat!BZ$43</f>
        <v>0</v>
      </c>
      <c r="CA9" s="96">
        <f>Finstat!CA$43</f>
        <v>0</v>
      </c>
    </row>
    <row r="10" spans="1:79" s="96" customFormat="1" x14ac:dyDescent="0.2">
      <c r="A10" s="92"/>
      <c r="B10" s="93"/>
      <c r="C10" s="94"/>
      <c r="D10" s="95"/>
      <c r="E10" s="96" t="str">
        <f>SrDebt!E$79</f>
        <v>Senior debt service</v>
      </c>
      <c r="F10" s="96">
        <f>SrDebt!F$79</f>
        <v>0</v>
      </c>
      <c r="G10" s="96">
        <f>SrDebt!G$79</f>
        <v>0</v>
      </c>
      <c r="H10" s="96">
        <f>SrDebt!H$79</f>
        <v>714998.25608077052</v>
      </c>
      <c r="I10" s="96">
        <f>SrDebt!I$79</f>
        <v>0</v>
      </c>
      <c r="J10" s="96">
        <f>SrDebt!J$79</f>
        <v>0</v>
      </c>
      <c r="K10" s="96">
        <f>SrDebt!K$79</f>
        <v>0</v>
      </c>
      <c r="L10" s="96">
        <f>SrDebt!L$79</f>
        <v>0</v>
      </c>
      <c r="M10" s="96">
        <f>SrDebt!M$79</f>
        <v>0</v>
      </c>
      <c r="N10" s="96">
        <f>SrDebt!N$79</f>
        <v>0</v>
      </c>
      <c r="O10" s="96">
        <f>SrDebt!O$79</f>
        <v>18366.220321521923</v>
      </c>
      <c r="P10" s="96">
        <f>SrDebt!P$79</f>
        <v>18441.423071309706</v>
      </c>
      <c r="Q10" s="96">
        <f>SrDebt!Q$79</f>
        <v>18644.973138297792</v>
      </c>
      <c r="R10" s="96">
        <f>SrDebt!R$79</f>
        <v>17479.294210142154</v>
      </c>
      <c r="S10" s="96">
        <f>SrDebt!S$79</f>
        <v>17590.408068105608</v>
      </c>
      <c r="T10" s="96">
        <f>SrDebt!T$79</f>
        <v>17254.65413264605</v>
      </c>
      <c r="U10" s="96">
        <f>SrDebt!U$79</f>
        <v>17328.582122808635</v>
      </c>
      <c r="V10" s="96">
        <f>SrDebt!V$79</f>
        <v>17209.0532376991</v>
      </c>
      <c r="W10" s="96">
        <f>SrDebt!W$79</f>
        <v>17275.937777527521</v>
      </c>
      <c r="X10" s="96">
        <f>SrDebt!X$79</f>
        <v>17471.936103951146</v>
      </c>
      <c r="Y10" s="96">
        <f>SrDebt!Y$79</f>
        <v>17372.343491207837</v>
      </c>
      <c r="Z10" s="96">
        <f>SrDebt!Z$79</f>
        <v>17186.051087753283</v>
      </c>
      <c r="AA10" s="96">
        <f>SrDebt!AA$79</f>
        <v>17254.565383558223</v>
      </c>
      <c r="AB10" s="96">
        <f>SrDebt!AB$79</f>
        <v>17166.235836870459</v>
      </c>
      <c r="AC10" s="96">
        <f>SrDebt!AC$79</f>
        <v>17250.321563540158</v>
      </c>
      <c r="AD10" s="96">
        <f>SrDebt!AD$79</f>
        <v>17508.516864334983</v>
      </c>
      <c r="AE10" s="96">
        <f>SrDebt!AE$79</f>
        <v>17622.583646493513</v>
      </c>
      <c r="AF10" s="96">
        <f>SrDebt!AF$79</f>
        <v>17533.495698509745</v>
      </c>
      <c r="AG10" s="96">
        <f>SrDebt!AG$79</f>
        <v>17659.535539426462</v>
      </c>
      <c r="AH10" s="96">
        <f>SrDebt!AH$79</f>
        <v>17574.368687505015</v>
      </c>
      <c r="AI10" s="96">
        <f>SrDebt!AI$79</f>
        <v>17582.807918947779</v>
      </c>
      <c r="AJ10" s="96">
        <f>SrDebt!AJ$79</f>
        <v>17498.948099047106</v>
      </c>
      <c r="AK10" s="96">
        <f>SrDebt!AK$79</f>
        <v>17644.165811034047</v>
      </c>
      <c r="AL10" s="96">
        <f>SrDebt!AL$79</f>
        <v>17562.952327570492</v>
      </c>
      <c r="AM10" s="96">
        <f>SrDebt!AM$79</f>
        <v>17715.899278297555</v>
      </c>
      <c r="AN10" s="96">
        <f>SrDebt!AN$79</f>
        <v>17892.493826881931</v>
      </c>
      <c r="AO10" s="96">
        <f>SrDebt!AO$79</f>
        <v>18071.452328442148</v>
      </c>
      <c r="AP10" s="96">
        <f>SrDebt!AP$79</f>
        <v>17974.134919586853</v>
      </c>
      <c r="AQ10" s="96">
        <f>SrDebt!AQ$79</f>
        <v>18159.87062421774</v>
      </c>
      <c r="AR10" s="96">
        <f>SrDebt!AR$79</f>
        <v>18057.728492224036</v>
      </c>
      <c r="AS10" s="96">
        <f>SrDebt!AS$79</f>
        <v>18246.812457895794</v>
      </c>
      <c r="AT10" s="96">
        <f>SrDebt!AT$79</f>
        <v>18142.871139848805</v>
      </c>
      <c r="AU10" s="96">
        <f>SrDebt!AU$79</f>
        <v>18338.054588284165</v>
      </c>
      <c r="AV10" s="96">
        <f>SrDebt!AV$79</f>
        <v>18228.336511429316</v>
      </c>
      <c r="AW10" s="96">
        <f>SrDebt!AW$79</f>
        <v>18425.641869873711</v>
      </c>
      <c r="AX10" s="96">
        <f>SrDebt!AX$79</f>
        <v>18703.119927024381</v>
      </c>
      <c r="AY10" s="96">
        <f>SrDebt!AY$79</f>
        <v>18926.880581741076</v>
      </c>
      <c r="AZ10" s="96">
        <f>SrDebt!AZ$79</f>
        <v>18781.340145798389</v>
      </c>
      <c r="BA10" s="96">
        <f>SrDebt!BA$79</f>
        <v>19003.527521230822</v>
      </c>
      <c r="BB10" s="96">
        <f>SrDebt!BB$79</f>
        <v>18850.717728184958</v>
      </c>
      <c r="BC10" s="96">
        <f>SrDebt!BC$79</f>
        <v>0</v>
      </c>
      <c r="BD10" s="96">
        <f>SrDebt!BD$79</f>
        <v>0</v>
      </c>
      <c r="BE10" s="96">
        <f>SrDebt!BE$79</f>
        <v>0</v>
      </c>
      <c r="BF10" s="96">
        <f>SrDebt!BF$79</f>
        <v>0</v>
      </c>
      <c r="BG10" s="96">
        <f>SrDebt!BG$79</f>
        <v>0</v>
      </c>
      <c r="BH10" s="96">
        <f>SrDebt!BH$79</f>
        <v>0</v>
      </c>
      <c r="BI10" s="96">
        <f>SrDebt!BI$79</f>
        <v>0</v>
      </c>
      <c r="BJ10" s="96">
        <f>SrDebt!BJ$79</f>
        <v>0</v>
      </c>
      <c r="BK10" s="96">
        <f>SrDebt!BK$79</f>
        <v>0</v>
      </c>
      <c r="BL10" s="96">
        <f>SrDebt!BL$79</f>
        <v>0</v>
      </c>
      <c r="BM10" s="96">
        <f>SrDebt!BM$79</f>
        <v>0</v>
      </c>
      <c r="BN10" s="96">
        <f>SrDebt!BN$79</f>
        <v>0</v>
      </c>
      <c r="BO10" s="96">
        <f>SrDebt!BO$79</f>
        <v>0</v>
      </c>
      <c r="BP10" s="96">
        <f>SrDebt!BP$79</f>
        <v>0</v>
      </c>
      <c r="BQ10" s="96">
        <f>SrDebt!BQ$79</f>
        <v>0</v>
      </c>
      <c r="BR10" s="96">
        <f>SrDebt!BR$79</f>
        <v>0</v>
      </c>
      <c r="BS10" s="96">
        <f>SrDebt!BS$79</f>
        <v>0</v>
      </c>
      <c r="BT10" s="96">
        <f>SrDebt!BT$79</f>
        <v>0</v>
      </c>
      <c r="BU10" s="96">
        <f>SrDebt!BU$79</f>
        <v>0</v>
      </c>
      <c r="BV10" s="96">
        <f>SrDebt!BV$79</f>
        <v>0</v>
      </c>
      <c r="BW10" s="96">
        <f>SrDebt!BW$79</f>
        <v>0</v>
      </c>
      <c r="BX10" s="96">
        <f>SrDebt!BX$79</f>
        <v>0</v>
      </c>
      <c r="BY10" s="96">
        <f>SrDebt!BY$79</f>
        <v>0</v>
      </c>
      <c r="BZ10" s="96">
        <f>SrDebt!BZ$79</f>
        <v>0</v>
      </c>
      <c r="CA10" s="96">
        <f>SrDebt!CA$79</f>
        <v>0</v>
      </c>
    </row>
    <row r="11" spans="1:79" s="375" customFormat="1" x14ac:dyDescent="0.2">
      <c r="A11" s="369"/>
      <c r="B11" s="369"/>
      <c r="C11" s="370"/>
      <c r="D11" s="374"/>
      <c r="E11" s="375" t="s">
        <v>288</v>
      </c>
      <c r="J11" s="375" t="str">
        <f xml:space="preserve"> IF(J8 = 1, J9 / J10, "n/a")</f>
        <v>n/a</v>
      </c>
      <c r="K11" s="375" t="str">
        <f t="shared" ref="K11:BV11" si="0" xml:space="preserve"> IF(K8 = 1, K9 / K10, "n/a")</f>
        <v>n/a</v>
      </c>
      <c r="L11" s="375" t="str">
        <f t="shared" si="0"/>
        <v>n/a</v>
      </c>
      <c r="M11" s="375" t="str">
        <f t="shared" si="0"/>
        <v>n/a</v>
      </c>
      <c r="N11" s="375" t="str">
        <f t="shared" si="0"/>
        <v>n/a</v>
      </c>
      <c r="O11" s="375">
        <f t="shared" si="0"/>
        <v>1.397954189662562</v>
      </c>
      <c r="P11" s="375">
        <f t="shared" si="0"/>
        <v>1.3981726282748919</v>
      </c>
      <c r="Q11" s="375">
        <f t="shared" si="0"/>
        <v>1.3981250624350288</v>
      </c>
      <c r="R11" s="375">
        <f t="shared" si="0"/>
        <v>1.3980874070260843</v>
      </c>
      <c r="S11" s="375">
        <f t="shared" si="0"/>
        <v>1.3979279957542001</v>
      </c>
      <c r="T11" s="375">
        <f t="shared" si="0"/>
        <v>1.398130278925477</v>
      </c>
      <c r="U11" s="375">
        <f t="shared" si="0"/>
        <v>1.3981581207770348</v>
      </c>
      <c r="V11" s="375">
        <f t="shared" si="0"/>
        <v>1.3979213296671222</v>
      </c>
      <c r="W11" s="375">
        <f t="shared" si="0"/>
        <v>1.3979955814070355</v>
      </c>
      <c r="X11" s="375">
        <f t="shared" si="0"/>
        <v>1.3979610094466255</v>
      </c>
      <c r="Y11" s="375">
        <f t="shared" si="0"/>
        <v>1.3980679296901353</v>
      </c>
      <c r="Z11" s="375">
        <f t="shared" si="0"/>
        <v>1.3979435688655908</v>
      </c>
      <c r="AA11" s="375">
        <f t="shared" si="0"/>
        <v>1.3980967374359314</v>
      </c>
      <c r="AB11" s="375">
        <f t="shared" si="0"/>
        <v>1.3979723741075443</v>
      </c>
      <c r="AC11" s="375">
        <f t="shared" si="0"/>
        <v>1.3979960532331537</v>
      </c>
      <c r="AD11" s="375">
        <f t="shared" si="0"/>
        <v>1.3980230234669329</v>
      </c>
      <c r="AE11" s="375">
        <f t="shared" si="0"/>
        <v>1.3981720857573077</v>
      </c>
      <c r="AF11" s="375">
        <f t="shared" si="0"/>
        <v>1.3980170532844669</v>
      </c>
      <c r="AG11" s="375">
        <f t="shared" si="0"/>
        <v>1.3981031675647799</v>
      </c>
      <c r="AH11" s="375">
        <f t="shared" si="0"/>
        <v>1.3980456946698296</v>
      </c>
      <c r="AI11" s="375">
        <f t="shared" si="0"/>
        <v>1.3980054739051653</v>
      </c>
      <c r="AJ11" s="375">
        <f t="shared" si="0"/>
        <v>1.3980859289106753</v>
      </c>
      <c r="AK11" s="375">
        <f t="shared" si="0"/>
        <v>1.3980580667005886</v>
      </c>
      <c r="AL11" s="375">
        <f t="shared" si="0"/>
        <v>1.3981320572514808</v>
      </c>
      <c r="AM11" s="375">
        <f t="shared" si="0"/>
        <v>1.3980898152133738</v>
      </c>
      <c r="AN11" s="375">
        <f t="shared" si="0"/>
        <v>1.397996111117942</v>
      </c>
      <c r="AO11" s="375">
        <f t="shared" si="0"/>
        <v>1.3980951426668971</v>
      </c>
      <c r="AP11" s="375">
        <f t="shared" si="0"/>
        <v>1.397953837046211</v>
      </c>
      <c r="AQ11" s="375">
        <f t="shared" si="0"/>
        <v>1.3979631108840924</v>
      </c>
      <c r="AR11" s="375">
        <f t="shared" si="0"/>
        <v>1.3980393906149846</v>
      </c>
      <c r="AS11" s="375">
        <f t="shared" si="0"/>
        <v>1.3981374855749358</v>
      </c>
      <c r="AT11" s="375">
        <f t="shared" si="0"/>
        <v>1.3981025469707264</v>
      </c>
      <c r="AU11" s="375">
        <f t="shared" si="0"/>
        <v>1.397995812491643</v>
      </c>
      <c r="AV11" s="375">
        <f t="shared" si="0"/>
        <v>1.3980540467841833</v>
      </c>
      <c r="AW11" s="375">
        <f t="shared" si="0"/>
        <v>1.3979642722170804</v>
      </c>
      <c r="AX11" s="375">
        <f t="shared" si="0"/>
        <v>1.3981459479028238</v>
      </c>
      <c r="AY11" s="375">
        <f t="shared" si="0"/>
        <v>1.3980153774391189</v>
      </c>
      <c r="AZ11" s="375">
        <f t="shared" si="0"/>
        <v>1.3981171807786221</v>
      </c>
      <c r="BA11" s="375">
        <f t="shared" si="0"/>
        <v>1.3981414586672676</v>
      </c>
      <c r="BB11" s="375">
        <f t="shared" si="0"/>
        <v>1.3981020205150472</v>
      </c>
      <c r="BC11" s="375" t="str">
        <f t="shared" si="0"/>
        <v>n/a</v>
      </c>
      <c r="BD11" s="375" t="str">
        <f t="shared" si="0"/>
        <v>n/a</v>
      </c>
      <c r="BE11" s="375" t="str">
        <f t="shared" si="0"/>
        <v>n/a</v>
      </c>
      <c r="BF11" s="375" t="str">
        <f t="shared" si="0"/>
        <v>n/a</v>
      </c>
      <c r="BG11" s="375" t="str">
        <f t="shared" si="0"/>
        <v>n/a</v>
      </c>
      <c r="BH11" s="375" t="str">
        <f t="shared" si="0"/>
        <v>n/a</v>
      </c>
      <c r="BI11" s="375" t="str">
        <f t="shared" si="0"/>
        <v>n/a</v>
      </c>
      <c r="BJ11" s="375" t="str">
        <f t="shared" si="0"/>
        <v>n/a</v>
      </c>
      <c r="BK11" s="375" t="str">
        <f t="shared" si="0"/>
        <v>n/a</v>
      </c>
      <c r="BL11" s="375" t="str">
        <f t="shared" si="0"/>
        <v>n/a</v>
      </c>
      <c r="BM11" s="375" t="str">
        <f t="shared" si="0"/>
        <v>n/a</v>
      </c>
      <c r="BN11" s="375" t="str">
        <f t="shared" si="0"/>
        <v>n/a</v>
      </c>
      <c r="BO11" s="375" t="str">
        <f t="shared" si="0"/>
        <v>n/a</v>
      </c>
      <c r="BP11" s="375" t="str">
        <f t="shared" si="0"/>
        <v>n/a</v>
      </c>
      <c r="BQ11" s="375" t="str">
        <f t="shared" si="0"/>
        <v>n/a</v>
      </c>
      <c r="BR11" s="375" t="str">
        <f t="shared" si="0"/>
        <v>n/a</v>
      </c>
      <c r="BS11" s="375" t="str">
        <f t="shared" si="0"/>
        <v>n/a</v>
      </c>
      <c r="BT11" s="375" t="str">
        <f t="shared" si="0"/>
        <v>n/a</v>
      </c>
      <c r="BU11" s="375" t="str">
        <f t="shared" si="0"/>
        <v>n/a</v>
      </c>
      <c r="BV11" s="375" t="str">
        <f t="shared" si="0"/>
        <v>n/a</v>
      </c>
      <c r="BW11" s="375" t="str">
        <f t="shared" ref="BW11:CA11" si="1" xml:space="preserve"> IF(BW8 = 1, BW9 / BW10, "n/a")</f>
        <v>n/a</v>
      </c>
      <c r="BX11" s="375" t="str">
        <f t="shared" si="1"/>
        <v>n/a</v>
      </c>
      <c r="BY11" s="375" t="str">
        <f t="shared" si="1"/>
        <v>n/a</v>
      </c>
      <c r="BZ11" s="375" t="str">
        <f t="shared" si="1"/>
        <v>n/a</v>
      </c>
      <c r="CA11" s="375" t="str">
        <f t="shared" si="1"/>
        <v>n/a</v>
      </c>
    </row>
    <row r="13" spans="1:79" s="372" customFormat="1" x14ac:dyDescent="0.2">
      <c r="A13" s="368"/>
      <c r="B13" s="369"/>
      <c r="C13" s="370"/>
      <c r="D13" s="371"/>
      <c r="E13" s="372" t="s">
        <v>289</v>
      </c>
      <c r="F13" s="385">
        <f xml:space="preserve"> MIN(J11:CA11)</f>
        <v>1.3979213296671222</v>
      </c>
      <c r="G13" s="372" t="s">
        <v>290</v>
      </c>
    </row>
    <row r="14" spans="1:79" x14ac:dyDescent="0.2">
      <c r="E14" s="85" t="s">
        <v>293</v>
      </c>
      <c r="F14" s="385">
        <f xml:space="preserve"> AVERAGE(J11:CA11)</f>
        <v>1.3980516593776147</v>
      </c>
      <c r="G14" s="85" t="s">
        <v>294</v>
      </c>
    </row>
    <row r="16" spans="1:79" s="96" customFormat="1" x14ac:dyDescent="0.2">
      <c r="A16" s="92"/>
      <c r="B16" s="93"/>
      <c r="C16" s="94"/>
      <c r="D16" s="95"/>
      <c r="E16" s="96" t="str">
        <f>Finstat!E$43</f>
        <v>Cash flow available for debt service</v>
      </c>
      <c r="F16" s="96">
        <f>Finstat!F$43</f>
        <v>0</v>
      </c>
      <c r="G16" s="96">
        <f>Finstat!G$43</f>
        <v>0</v>
      </c>
      <c r="H16" s="96">
        <f>Finstat!H$43</f>
        <v>1591083.1727996543</v>
      </c>
      <c r="I16" s="96">
        <f>Finstat!I$43</f>
        <v>0</v>
      </c>
      <c r="J16" s="96">
        <f>Finstat!J$43</f>
        <v>0</v>
      </c>
      <c r="K16" s="96">
        <f>Finstat!K$43</f>
        <v>0</v>
      </c>
      <c r="L16" s="96">
        <f>Finstat!L$43</f>
        <v>0</v>
      </c>
      <c r="M16" s="96">
        <f>Finstat!M$43</f>
        <v>0</v>
      </c>
      <c r="N16" s="96">
        <f>Finstat!N$43</f>
        <v>0</v>
      </c>
      <c r="O16" s="96">
        <f>Finstat!O$43</f>
        <v>25675.13464673726</v>
      </c>
      <c r="P16" s="96">
        <f>Finstat!P$43</f>
        <v>25784.292964742319</v>
      </c>
      <c r="Q16" s="96">
        <f>Finstat!Q$43</f>
        <v>26068.004233082032</v>
      </c>
      <c r="R16" s="96">
        <f>Finstat!R$43</f>
        <v>24437.58111890369</v>
      </c>
      <c r="S16" s="96">
        <f>Finstat!S$43</f>
        <v>24590.123895145382</v>
      </c>
      <c r="T16" s="96">
        <f>Finstat!T$43</f>
        <v>24124.254395239055</v>
      </c>
      <c r="U16" s="96">
        <f>Finstat!U$43</f>
        <v>24228.097816556641</v>
      </c>
      <c r="V16" s="96">
        <f>Finstat!V$43</f>
        <v>24056.90258435662</v>
      </c>
      <c r="W16" s="96">
        <f>Finstat!W$43</f>
        <v>24151.684677646354</v>
      </c>
      <c r="X16" s="96">
        <f>Finstat!X$43</f>
        <v>24425.085432866486</v>
      </c>
      <c r="Y16" s="96">
        <f>Finstat!Y$43</f>
        <v>24287.716298618838</v>
      </c>
      <c r="Z16" s="96">
        <f>Finstat!Z$43</f>
        <v>24025.129592320194</v>
      </c>
      <c r="AA16" s="96">
        <f>Finstat!AA$43</f>
        <v>24123.551568627714</v>
      </c>
      <c r="AB16" s="96">
        <f>Finstat!AB$43</f>
        <v>23997.923467359804</v>
      </c>
      <c r="AC16" s="96">
        <f>Finstat!AC$43</f>
        <v>24115.881462831905</v>
      </c>
      <c r="AD16" s="96">
        <f>Finstat!AD$43</f>
        <v>24477.309683099375</v>
      </c>
      <c r="AE16" s="96">
        <f>Finstat!AE$43</f>
        <v>24639.404533450455</v>
      </c>
      <c r="AF16" s="96">
        <f>Finstat!AF$43</f>
        <v>24512.12599020647</v>
      </c>
      <c r="AG16" s="96">
        <f>Finstat!AG$43</f>
        <v>24689.85257539494</v>
      </c>
      <c r="AH16" s="96">
        <f>Finstat!AH$43</f>
        <v>24569.77048010665</v>
      </c>
      <c r="AI16" s="96">
        <f>Finstat!AI$43</f>
        <v>24580.861717312084</v>
      </c>
      <c r="AJ16" s="96">
        <f>Finstat!AJ$43</f>
        <v>24465.033108015967</v>
      </c>
      <c r="AK16" s="96">
        <f>Finstat!AK$43</f>
        <v>24667.568342318882</v>
      </c>
      <c r="AL16" s="96">
        <f>Finstat!AL$43</f>
        <v>24555.326669155816</v>
      </c>
      <c r="AM16" s="96">
        <f>Finstat!AM$43</f>
        <v>24768.418348333769</v>
      </c>
      <c r="AN16" s="96">
        <f>Finstat!AN$43</f>
        <v>25013.636788182725</v>
      </c>
      <c r="AO16" s="96">
        <f>Finstat!AO$43</f>
        <v>25265.609721331355</v>
      </c>
      <c r="AP16" s="96">
        <f>Finstat!AP$43</f>
        <v>25127.01087842273</v>
      </c>
      <c r="AQ16" s="96">
        <f>Finstat!AQ$43</f>
        <v>25386.829231084077</v>
      </c>
      <c r="AR16" s="96">
        <f>Finstat!AR$43</f>
        <v>25245.415737159736</v>
      </c>
      <c r="AS16" s="96">
        <f>Finstat!AS$43</f>
        <v>25511.552489639838</v>
      </c>
      <c r="AT16" s="96">
        <f>Finstat!AT$43</f>
        <v>25365.594349984302</v>
      </c>
      <c r="AU16" s="96">
        <f>Finstat!AU$43</f>
        <v>25636.523523664422</v>
      </c>
      <c r="AV16" s="96">
        <f>Finstat!AV$43</f>
        <v>25484.199625947636</v>
      </c>
      <c r="AW16" s="96">
        <f>Finstat!AW$43</f>
        <v>25758.389026750567</v>
      </c>
      <c r="AX16" s="96">
        <f>Finstat!AX$43</f>
        <v>26149.691339109697</v>
      </c>
      <c r="AY16" s="96">
        <f>Finstat!AY$43</f>
        <v>26460.07010022788</v>
      </c>
      <c r="AZ16" s="96">
        <f>Finstat!AZ$43</f>
        <v>26258.514335888001</v>
      </c>
      <c r="BA16" s="96">
        <f>Finstat!BA$43</f>
        <v>26569.619688357227</v>
      </c>
      <c r="BB16" s="96">
        <f>Finstat!BB$43</f>
        <v>26355.226543934212</v>
      </c>
      <c r="BC16" s="96">
        <f>Finstat!BC$43</f>
        <v>26665.4957125605</v>
      </c>
      <c r="BD16" s="96">
        <f>Finstat!BD$43</f>
        <v>26679.509517069491</v>
      </c>
      <c r="BE16" s="96">
        <f>Finstat!BE$43</f>
        <v>27238.761751659724</v>
      </c>
      <c r="BF16" s="96">
        <f>Finstat!BF$43</f>
        <v>27132.130690617203</v>
      </c>
      <c r="BG16" s="96">
        <f>Finstat!BG$43</f>
        <v>27708.238269792957</v>
      </c>
      <c r="BH16" s="96">
        <f>Finstat!BH$43</f>
        <v>27730.379693491417</v>
      </c>
      <c r="BI16" s="96">
        <f>Finstat!BI$43</f>
        <v>27173.623053413656</v>
      </c>
      <c r="BJ16" s="96">
        <f>Finstat!BJ$43</f>
        <v>29384.936361395878</v>
      </c>
      <c r="BK16" s="96">
        <f>Finstat!BK$43</f>
        <v>27650.661466390051</v>
      </c>
      <c r="BL16" s="96">
        <f>Finstat!BL$43</f>
        <v>30054.355071744991</v>
      </c>
      <c r="BM16" s="96">
        <f>Finstat!BM$43</f>
        <v>28279.983539298279</v>
      </c>
      <c r="BN16" s="96">
        <f>Finstat!BN$43</f>
        <v>30746.866707974674</v>
      </c>
      <c r="BO16" s="96">
        <f>Finstat!BO$43</f>
        <v>28931.078249245016</v>
      </c>
      <c r="BP16" s="96">
        <f>Finstat!BP$43</f>
        <v>31462.428741065087</v>
      </c>
      <c r="BQ16" s="96">
        <f>Finstat!BQ$43</f>
        <v>29603.901052597634</v>
      </c>
      <c r="BR16" s="96">
        <f>Finstat!BR$43</f>
        <v>30914.484995175917</v>
      </c>
      <c r="BS16" s="96">
        <f>Finstat!BS$43</f>
        <v>31601.01961146824</v>
      </c>
      <c r="BT16" s="96">
        <f>Finstat!BT$43</f>
        <v>31972.652849087732</v>
      </c>
      <c r="BU16" s="96">
        <f>Finstat!BU$43</f>
        <v>32349.94987889695</v>
      </c>
      <c r="BV16" s="96">
        <f>Finstat!BV$43</f>
        <v>38197.796604595904</v>
      </c>
      <c r="BW16" s="96">
        <f>Finstat!BW$43</f>
        <v>0</v>
      </c>
      <c r="BX16" s="96">
        <f>Finstat!BX$43</f>
        <v>0</v>
      </c>
      <c r="BY16" s="96">
        <f>Finstat!BY$43</f>
        <v>0</v>
      </c>
      <c r="BZ16" s="96">
        <f>Finstat!BZ$43</f>
        <v>0</v>
      </c>
      <c r="CA16" s="96">
        <f>Finstat!CA$43</f>
        <v>0</v>
      </c>
    </row>
    <row r="17" spans="1:79" s="144" customFormat="1" x14ac:dyDescent="0.2">
      <c r="A17" s="93"/>
      <c r="B17" s="93"/>
      <c r="C17" s="94"/>
      <c r="D17" s="143"/>
      <c r="E17" s="144" t="str">
        <f>'T&amp;E'!E$29</f>
        <v>Senior debt term / ratio calc date flag</v>
      </c>
      <c r="F17" s="144">
        <f>'T&amp;E'!F$29</f>
        <v>0</v>
      </c>
      <c r="G17" s="144" t="str">
        <f>'T&amp;E'!G$29</f>
        <v>flag</v>
      </c>
      <c r="H17" s="144">
        <f>'T&amp;E'!H$29</f>
        <v>40</v>
      </c>
      <c r="I17" s="144">
        <f>'T&amp;E'!I$29</f>
        <v>0</v>
      </c>
      <c r="J17" s="144">
        <f>'T&amp;E'!J$29</f>
        <v>0</v>
      </c>
      <c r="K17" s="144">
        <f>'T&amp;E'!K$29</f>
        <v>0</v>
      </c>
      <c r="L17" s="144">
        <f>'T&amp;E'!L$29</f>
        <v>0</v>
      </c>
      <c r="M17" s="144">
        <f>'T&amp;E'!M$29</f>
        <v>0</v>
      </c>
      <c r="N17" s="144">
        <f>'T&amp;E'!N$29</f>
        <v>0</v>
      </c>
      <c r="O17" s="144">
        <f>'T&amp;E'!O$29</f>
        <v>1</v>
      </c>
      <c r="P17" s="144">
        <f>'T&amp;E'!P$29</f>
        <v>1</v>
      </c>
      <c r="Q17" s="144">
        <f>'T&amp;E'!Q$29</f>
        <v>1</v>
      </c>
      <c r="R17" s="144">
        <f>'T&amp;E'!R$29</f>
        <v>1</v>
      </c>
      <c r="S17" s="144">
        <f>'T&amp;E'!S$29</f>
        <v>1</v>
      </c>
      <c r="T17" s="144">
        <f>'T&amp;E'!T$29</f>
        <v>1</v>
      </c>
      <c r="U17" s="144">
        <f>'T&amp;E'!U$29</f>
        <v>1</v>
      </c>
      <c r="V17" s="144">
        <f>'T&amp;E'!V$29</f>
        <v>1</v>
      </c>
      <c r="W17" s="144">
        <f>'T&amp;E'!W$29</f>
        <v>1</v>
      </c>
      <c r="X17" s="144">
        <f>'T&amp;E'!X$29</f>
        <v>1</v>
      </c>
      <c r="Y17" s="144">
        <f>'T&amp;E'!Y$29</f>
        <v>1</v>
      </c>
      <c r="Z17" s="144">
        <f>'T&amp;E'!Z$29</f>
        <v>1</v>
      </c>
      <c r="AA17" s="144">
        <f>'T&amp;E'!AA$29</f>
        <v>1</v>
      </c>
      <c r="AB17" s="144">
        <f>'T&amp;E'!AB$29</f>
        <v>1</v>
      </c>
      <c r="AC17" s="144">
        <f>'T&amp;E'!AC$29</f>
        <v>1</v>
      </c>
      <c r="AD17" s="144">
        <f>'T&amp;E'!AD$29</f>
        <v>1</v>
      </c>
      <c r="AE17" s="144">
        <f>'T&amp;E'!AE$29</f>
        <v>1</v>
      </c>
      <c r="AF17" s="144">
        <f>'T&amp;E'!AF$29</f>
        <v>1</v>
      </c>
      <c r="AG17" s="144">
        <f>'T&amp;E'!AG$29</f>
        <v>1</v>
      </c>
      <c r="AH17" s="144">
        <f>'T&amp;E'!AH$29</f>
        <v>1</v>
      </c>
      <c r="AI17" s="144">
        <f>'T&amp;E'!AI$29</f>
        <v>1</v>
      </c>
      <c r="AJ17" s="144">
        <f>'T&amp;E'!AJ$29</f>
        <v>1</v>
      </c>
      <c r="AK17" s="144">
        <f>'T&amp;E'!AK$29</f>
        <v>1</v>
      </c>
      <c r="AL17" s="144">
        <f>'T&amp;E'!AL$29</f>
        <v>1</v>
      </c>
      <c r="AM17" s="144">
        <f>'T&amp;E'!AM$29</f>
        <v>1</v>
      </c>
      <c r="AN17" s="144">
        <f>'T&amp;E'!AN$29</f>
        <v>1</v>
      </c>
      <c r="AO17" s="144">
        <f>'T&amp;E'!AO$29</f>
        <v>1</v>
      </c>
      <c r="AP17" s="144">
        <f>'T&amp;E'!AP$29</f>
        <v>1</v>
      </c>
      <c r="AQ17" s="144">
        <f>'T&amp;E'!AQ$29</f>
        <v>1</v>
      </c>
      <c r="AR17" s="144">
        <f>'T&amp;E'!AR$29</f>
        <v>1</v>
      </c>
      <c r="AS17" s="144">
        <f>'T&amp;E'!AS$29</f>
        <v>1</v>
      </c>
      <c r="AT17" s="144">
        <f>'T&amp;E'!AT$29</f>
        <v>1</v>
      </c>
      <c r="AU17" s="144">
        <f>'T&amp;E'!AU$29</f>
        <v>1</v>
      </c>
      <c r="AV17" s="144">
        <f>'T&amp;E'!AV$29</f>
        <v>1</v>
      </c>
      <c r="AW17" s="144">
        <f>'T&amp;E'!AW$29</f>
        <v>1</v>
      </c>
      <c r="AX17" s="144">
        <f>'T&amp;E'!AX$29</f>
        <v>1</v>
      </c>
      <c r="AY17" s="144">
        <f>'T&amp;E'!AY$29</f>
        <v>1</v>
      </c>
      <c r="AZ17" s="144">
        <f>'T&amp;E'!AZ$29</f>
        <v>1</v>
      </c>
      <c r="BA17" s="144">
        <f>'T&amp;E'!BA$29</f>
        <v>1</v>
      </c>
      <c r="BB17" s="144">
        <f>'T&amp;E'!BB$29</f>
        <v>1</v>
      </c>
      <c r="BC17" s="144">
        <f>'T&amp;E'!BC$29</f>
        <v>0</v>
      </c>
      <c r="BD17" s="144">
        <f>'T&amp;E'!BD$29</f>
        <v>0</v>
      </c>
      <c r="BE17" s="144">
        <f>'T&amp;E'!BE$29</f>
        <v>0</v>
      </c>
      <c r="BF17" s="144">
        <f>'T&amp;E'!BF$29</f>
        <v>0</v>
      </c>
      <c r="BG17" s="144">
        <f>'T&amp;E'!BG$29</f>
        <v>0</v>
      </c>
      <c r="BH17" s="144">
        <f>'T&amp;E'!BH$29</f>
        <v>0</v>
      </c>
      <c r="BI17" s="144">
        <f>'T&amp;E'!BI$29</f>
        <v>0</v>
      </c>
      <c r="BJ17" s="144">
        <f>'T&amp;E'!BJ$29</f>
        <v>0</v>
      </c>
      <c r="BK17" s="144">
        <f>'T&amp;E'!BK$29</f>
        <v>0</v>
      </c>
      <c r="BL17" s="144">
        <f>'T&amp;E'!BL$29</f>
        <v>0</v>
      </c>
      <c r="BM17" s="144">
        <f>'T&amp;E'!BM$29</f>
        <v>0</v>
      </c>
      <c r="BN17" s="144">
        <f>'T&amp;E'!BN$29</f>
        <v>0</v>
      </c>
      <c r="BO17" s="144">
        <f>'T&amp;E'!BO$29</f>
        <v>0</v>
      </c>
      <c r="BP17" s="144">
        <f>'T&amp;E'!BP$29</f>
        <v>0</v>
      </c>
      <c r="BQ17" s="144">
        <f>'T&amp;E'!BQ$29</f>
        <v>0</v>
      </c>
      <c r="BR17" s="144">
        <f>'T&amp;E'!BR$29</f>
        <v>0</v>
      </c>
      <c r="BS17" s="144">
        <f>'T&amp;E'!BS$29</f>
        <v>0</v>
      </c>
      <c r="BT17" s="144">
        <f>'T&amp;E'!BT$29</f>
        <v>0</v>
      </c>
      <c r="BU17" s="144">
        <f>'T&amp;E'!BU$29</f>
        <v>0</v>
      </c>
      <c r="BV17" s="144">
        <f>'T&amp;E'!BV$29</f>
        <v>0</v>
      </c>
      <c r="BW17" s="144">
        <f>'T&amp;E'!BW$29</f>
        <v>0</v>
      </c>
      <c r="BX17" s="144">
        <f>'T&amp;E'!BX$29</f>
        <v>0</v>
      </c>
      <c r="BY17" s="144">
        <f>'T&amp;E'!BY$29</f>
        <v>0</v>
      </c>
      <c r="BZ17" s="144">
        <f>'T&amp;E'!BZ$29</f>
        <v>0</v>
      </c>
      <c r="CA17" s="144">
        <f>'T&amp;E'!CA$29</f>
        <v>0</v>
      </c>
    </row>
    <row r="18" spans="1:79" s="140" customFormat="1" x14ac:dyDescent="0.2">
      <c r="A18" s="137"/>
      <c r="B18" s="145"/>
      <c r="C18" s="146"/>
      <c r="D18" s="139"/>
      <c r="E18" s="140" t="s">
        <v>295</v>
      </c>
      <c r="H18" s="140">
        <f>SUM(J18:CA18)</f>
        <v>999604.91898211325</v>
      </c>
      <c r="J18" s="140">
        <f xml:space="preserve"> J16 * J17</f>
        <v>0</v>
      </c>
      <c r="K18" s="140">
        <f t="shared" ref="K18:BV18" si="2" xml:space="preserve"> K16 * K17</f>
        <v>0</v>
      </c>
      <c r="L18" s="140">
        <f t="shared" si="2"/>
        <v>0</v>
      </c>
      <c r="M18" s="140">
        <f t="shared" si="2"/>
        <v>0</v>
      </c>
      <c r="N18" s="140">
        <f t="shared" si="2"/>
        <v>0</v>
      </c>
      <c r="O18" s="140">
        <f t="shared" si="2"/>
        <v>25675.13464673726</v>
      </c>
      <c r="P18" s="140">
        <f t="shared" si="2"/>
        <v>25784.292964742319</v>
      </c>
      <c r="Q18" s="140">
        <f t="shared" si="2"/>
        <v>26068.004233082032</v>
      </c>
      <c r="R18" s="140">
        <f t="shared" si="2"/>
        <v>24437.58111890369</v>
      </c>
      <c r="S18" s="140">
        <f t="shared" si="2"/>
        <v>24590.123895145382</v>
      </c>
      <c r="T18" s="140">
        <f t="shared" si="2"/>
        <v>24124.254395239055</v>
      </c>
      <c r="U18" s="140">
        <f t="shared" si="2"/>
        <v>24228.097816556641</v>
      </c>
      <c r="V18" s="140">
        <f t="shared" si="2"/>
        <v>24056.90258435662</v>
      </c>
      <c r="W18" s="140">
        <f t="shared" si="2"/>
        <v>24151.684677646354</v>
      </c>
      <c r="X18" s="140">
        <f t="shared" si="2"/>
        <v>24425.085432866486</v>
      </c>
      <c r="Y18" s="140">
        <f t="shared" si="2"/>
        <v>24287.716298618838</v>
      </c>
      <c r="Z18" s="140">
        <f t="shared" si="2"/>
        <v>24025.129592320194</v>
      </c>
      <c r="AA18" s="140">
        <f t="shared" si="2"/>
        <v>24123.551568627714</v>
      </c>
      <c r="AB18" s="140">
        <f t="shared" si="2"/>
        <v>23997.923467359804</v>
      </c>
      <c r="AC18" s="140">
        <f t="shared" si="2"/>
        <v>24115.881462831905</v>
      </c>
      <c r="AD18" s="140">
        <f t="shared" si="2"/>
        <v>24477.309683099375</v>
      </c>
      <c r="AE18" s="140">
        <f t="shared" si="2"/>
        <v>24639.404533450455</v>
      </c>
      <c r="AF18" s="140">
        <f t="shared" si="2"/>
        <v>24512.12599020647</v>
      </c>
      <c r="AG18" s="140">
        <f t="shared" si="2"/>
        <v>24689.85257539494</v>
      </c>
      <c r="AH18" s="140">
        <f t="shared" si="2"/>
        <v>24569.77048010665</v>
      </c>
      <c r="AI18" s="140">
        <f t="shared" si="2"/>
        <v>24580.861717312084</v>
      </c>
      <c r="AJ18" s="140">
        <f t="shared" si="2"/>
        <v>24465.033108015967</v>
      </c>
      <c r="AK18" s="140">
        <f t="shared" si="2"/>
        <v>24667.568342318882</v>
      </c>
      <c r="AL18" s="140">
        <f t="shared" si="2"/>
        <v>24555.326669155816</v>
      </c>
      <c r="AM18" s="140">
        <f t="shared" si="2"/>
        <v>24768.418348333769</v>
      </c>
      <c r="AN18" s="140">
        <f t="shared" si="2"/>
        <v>25013.636788182725</v>
      </c>
      <c r="AO18" s="140">
        <f t="shared" si="2"/>
        <v>25265.609721331355</v>
      </c>
      <c r="AP18" s="140">
        <f t="shared" si="2"/>
        <v>25127.01087842273</v>
      </c>
      <c r="AQ18" s="140">
        <f t="shared" si="2"/>
        <v>25386.829231084077</v>
      </c>
      <c r="AR18" s="140">
        <f t="shared" si="2"/>
        <v>25245.415737159736</v>
      </c>
      <c r="AS18" s="140">
        <f t="shared" si="2"/>
        <v>25511.552489639838</v>
      </c>
      <c r="AT18" s="140">
        <f t="shared" si="2"/>
        <v>25365.594349984302</v>
      </c>
      <c r="AU18" s="140">
        <f t="shared" si="2"/>
        <v>25636.523523664422</v>
      </c>
      <c r="AV18" s="140">
        <f t="shared" si="2"/>
        <v>25484.199625947636</v>
      </c>
      <c r="AW18" s="140">
        <f t="shared" si="2"/>
        <v>25758.389026750567</v>
      </c>
      <c r="AX18" s="140">
        <f t="shared" si="2"/>
        <v>26149.691339109697</v>
      </c>
      <c r="AY18" s="140">
        <f t="shared" si="2"/>
        <v>26460.07010022788</v>
      </c>
      <c r="AZ18" s="140">
        <f t="shared" si="2"/>
        <v>26258.514335888001</v>
      </c>
      <c r="BA18" s="140">
        <f t="shared" si="2"/>
        <v>26569.619688357227</v>
      </c>
      <c r="BB18" s="140">
        <f t="shared" si="2"/>
        <v>26355.226543934212</v>
      </c>
      <c r="BC18" s="140">
        <f t="shared" si="2"/>
        <v>0</v>
      </c>
      <c r="BD18" s="140">
        <f t="shared" si="2"/>
        <v>0</v>
      </c>
      <c r="BE18" s="140">
        <f t="shared" si="2"/>
        <v>0</v>
      </c>
      <c r="BF18" s="140">
        <f t="shared" si="2"/>
        <v>0</v>
      </c>
      <c r="BG18" s="140">
        <f t="shared" si="2"/>
        <v>0</v>
      </c>
      <c r="BH18" s="140">
        <f t="shared" si="2"/>
        <v>0</v>
      </c>
      <c r="BI18" s="140">
        <f t="shared" si="2"/>
        <v>0</v>
      </c>
      <c r="BJ18" s="140">
        <f t="shared" si="2"/>
        <v>0</v>
      </c>
      <c r="BK18" s="140">
        <f t="shared" si="2"/>
        <v>0</v>
      </c>
      <c r="BL18" s="140">
        <f t="shared" si="2"/>
        <v>0</v>
      </c>
      <c r="BM18" s="140">
        <f t="shared" si="2"/>
        <v>0</v>
      </c>
      <c r="BN18" s="140">
        <f t="shared" si="2"/>
        <v>0</v>
      </c>
      <c r="BO18" s="140">
        <f t="shared" si="2"/>
        <v>0</v>
      </c>
      <c r="BP18" s="140">
        <f t="shared" si="2"/>
        <v>0</v>
      </c>
      <c r="BQ18" s="140">
        <f t="shared" si="2"/>
        <v>0</v>
      </c>
      <c r="BR18" s="140">
        <f t="shared" si="2"/>
        <v>0</v>
      </c>
      <c r="BS18" s="140">
        <f t="shared" si="2"/>
        <v>0</v>
      </c>
      <c r="BT18" s="140">
        <f t="shared" si="2"/>
        <v>0</v>
      </c>
      <c r="BU18" s="140">
        <f t="shared" si="2"/>
        <v>0</v>
      </c>
      <c r="BV18" s="140">
        <f t="shared" si="2"/>
        <v>0</v>
      </c>
      <c r="BW18" s="140">
        <f t="shared" ref="BW18:CA18" si="3" xml:space="preserve"> BW16 * BW17</f>
        <v>0</v>
      </c>
      <c r="BX18" s="140">
        <f t="shared" si="3"/>
        <v>0</v>
      </c>
      <c r="BY18" s="140">
        <f t="shared" si="3"/>
        <v>0</v>
      </c>
      <c r="BZ18" s="140">
        <f t="shared" si="3"/>
        <v>0</v>
      </c>
      <c r="CA18" s="140">
        <f t="shared" si="3"/>
        <v>0</v>
      </c>
    </row>
    <row r="19" spans="1:79" x14ac:dyDescent="0.2">
      <c r="E19" s="85" t="str">
        <f xml:space="preserve"> "Sum of " &amp; E18</f>
        <v>Sum of CFADS over debt term</v>
      </c>
      <c r="F19" s="85">
        <f xml:space="preserve"> SUM(J18:CA18)</f>
        <v>999604.91898211325</v>
      </c>
      <c r="G19" s="85" t="str">
        <f xml:space="preserve"> SMU</f>
        <v>€ 000s</v>
      </c>
    </row>
    <row r="21" spans="1:79" s="96" customFormat="1" x14ac:dyDescent="0.2">
      <c r="A21" s="92"/>
      <c r="B21" s="93"/>
      <c r="C21" s="94"/>
      <c r="D21" s="95"/>
      <c r="E21" s="96" t="str">
        <f>SrDebt!E$79</f>
        <v>Senior debt service</v>
      </c>
      <c r="F21" s="96">
        <f>SrDebt!F$79</f>
        <v>0</v>
      </c>
      <c r="G21" s="96">
        <f>SrDebt!G$79</f>
        <v>0</v>
      </c>
      <c r="H21" s="96">
        <f>SrDebt!H$79</f>
        <v>714998.25608077052</v>
      </c>
      <c r="I21" s="96">
        <f>SrDebt!I$79</f>
        <v>0</v>
      </c>
      <c r="J21" s="96">
        <f>SrDebt!J$79</f>
        <v>0</v>
      </c>
      <c r="K21" s="96">
        <f>SrDebt!K$79</f>
        <v>0</v>
      </c>
      <c r="L21" s="96">
        <f>SrDebt!L$79</f>
        <v>0</v>
      </c>
      <c r="M21" s="96">
        <f>SrDebt!M$79</f>
        <v>0</v>
      </c>
      <c r="N21" s="96">
        <f>SrDebt!N$79</f>
        <v>0</v>
      </c>
      <c r="O21" s="96">
        <f>SrDebt!O$79</f>
        <v>18366.220321521923</v>
      </c>
      <c r="P21" s="96">
        <f>SrDebt!P$79</f>
        <v>18441.423071309706</v>
      </c>
      <c r="Q21" s="96">
        <f>SrDebt!Q$79</f>
        <v>18644.973138297792</v>
      </c>
      <c r="R21" s="96">
        <f>SrDebt!R$79</f>
        <v>17479.294210142154</v>
      </c>
      <c r="S21" s="96">
        <f>SrDebt!S$79</f>
        <v>17590.408068105608</v>
      </c>
      <c r="T21" s="96">
        <f>SrDebt!T$79</f>
        <v>17254.65413264605</v>
      </c>
      <c r="U21" s="96">
        <f>SrDebt!U$79</f>
        <v>17328.582122808635</v>
      </c>
      <c r="V21" s="96">
        <f>SrDebt!V$79</f>
        <v>17209.0532376991</v>
      </c>
      <c r="W21" s="96">
        <f>SrDebt!W$79</f>
        <v>17275.937777527521</v>
      </c>
      <c r="X21" s="96">
        <f>SrDebt!X$79</f>
        <v>17471.936103951146</v>
      </c>
      <c r="Y21" s="96">
        <f>SrDebt!Y$79</f>
        <v>17372.343491207837</v>
      </c>
      <c r="Z21" s="96">
        <f>SrDebt!Z$79</f>
        <v>17186.051087753283</v>
      </c>
      <c r="AA21" s="96">
        <f>SrDebt!AA$79</f>
        <v>17254.565383558223</v>
      </c>
      <c r="AB21" s="96">
        <f>SrDebt!AB$79</f>
        <v>17166.235836870459</v>
      </c>
      <c r="AC21" s="96">
        <f>SrDebt!AC$79</f>
        <v>17250.321563540158</v>
      </c>
      <c r="AD21" s="96">
        <f>SrDebt!AD$79</f>
        <v>17508.516864334983</v>
      </c>
      <c r="AE21" s="96">
        <f>SrDebt!AE$79</f>
        <v>17622.583646493513</v>
      </c>
      <c r="AF21" s="96">
        <f>SrDebt!AF$79</f>
        <v>17533.495698509745</v>
      </c>
      <c r="AG21" s="96">
        <f>SrDebt!AG$79</f>
        <v>17659.535539426462</v>
      </c>
      <c r="AH21" s="96">
        <f>SrDebt!AH$79</f>
        <v>17574.368687505015</v>
      </c>
      <c r="AI21" s="96">
        <f>SrDebt!AI$79</f>
        <v>17582.807918947779</v>
      </c>
      <c r="AJ21" s="96">
        <f>SrDebt!AJ$79</f>
        <v>17498.948099047106</v>
      </c>
      <c r="AK21" s="96">
        <f>SrDebt!AK$79</f>
        <v>17644.165811034047</v>
      </c>
      <c r="AL21" s="96">
        <f>SrDebt!AL$79</f>
        <v>17562.952327570492</v>
      </c>
      <c r="AM21" s="96">
        <f>SrDebt!AM$79</f>
        <v>17715.899278297555</v>
      </c>
      <c r="AN21" s="96">
        <f>SrDebt!AN$79</f>
        <v>17892.493826881931</v>
      </c>
      <c r="AO21" s="96">
        <f>SrDebt!AO$79</f>
        <v>18071.452328442148</v>
      </c>
      <c r="AP21" s="96">
        <f>SrDebt!AP$79</f>
        <v>17974.134919586853</v>
      </c>
      <c r="AQ21" s="96">
        <f>SrDebt!AQ$79</f>
        <v>18159.87062421774</v>
      </c>
      <c r="AR21" s="96">
        <f>SrDebt!AR$79</f>
        <v>18057.728492224036</v>
      </c>
      <c r="AS21" s="96">
        <f>SrDebt!AS$79</f>
        <v>18246.812457895794</v>
      </c>
      <c r="AT21" s="96">
        <f>SrDebt!AT$79</f>
        <v>18142.871139848805</v>
      </c>
      <c r="AU21" s="96">
        <f>SrDebt!AU$79</f>
        <v>18338.054588284165</v>
      </c>
      <c r="AV21" s="96">
        <f>SrDebt!AV$79</f>
        <v>18228.336511429316</v>
      </c>
      <c r="AW21" s="96">
        <f>SrDebt!AW$79</f>
        <v>18425.641869873711</v>
      </c>
      <c r="AX21" s="96">
        <f>SrDebt!AX$79</f>
        <v>18703.119927024381</v>
      </c>
      <c r="AY21" s="96">
        <f>SrDebt!AY$79</f>
        <v>18926.880581741076</v>
      </c>
      <c r="AZ21" s="96">
        <f>SrDebt!AZ$79</f>
        <v>18781.340145798389</v>
      </c>
      <c r="BA21" s="96">
        <f>SrDebt!BA$79</f>
        <v>19003.527521230822</v>
      </c>
      <c r="BB21" s="96">
        <f>SrDebt!BB$79</f>
        <v>18850.717728184958</v>
      </c>
      <c r="BC21" s="96">
        <f>SrDebt!BC$79</f>
        <v>0</v>
      </c>
      <c r="BD21" s="96">
        <f>SrDebt!BD$79</f>
        <v>0</v>
      </c>
      <c r="BE21" s="96">
        <f>SrDebt!BE$79</f>
        <v>0</v>
      </c>
      <c r="BF21" s="96">
        <f>SrDebt!BF$79</f>
        <v>0</v>
      </c>
      <c r="BG21" s="96">
        <f>SrDebt!BG$79</f>
        <v>0</v>
      </c>
      <c r="BH21" s="96">
        <f>SrDebt!BH$79</f>
        <v>0</v>
      </c>
      <c r="BI21" s="96">
        <f>SrDebt!BI$79</f>
        <v>0</v>
      </c>
      <c r="BJ21" s="96">
        <f>SrDebt!BJ$79</f>
        <v>0</v>
      </c>
      <c r="BK21" s="96">
        <f>SrDebt!BK$79</f>
        <v>0</v>
      </c>
      <c r="BL21" s="96">
        <f>SrDebt!BL$79</f>
        <v>0</v>
      </c>
      <c r="BM21" s="96">
        <f>SrDebt!BM$79</f>
        <v>0</v>
      </c>
      <c r="BN21" s="96">
        <f>SrDebt!BN$79</f>
        <v>0</v>
      </c>
      <c r="BO21" s="96">
        <f>SrDebt!BO$79</f>
        <v>0</v>
      </c>
      <c r="BP21" s="96">
        <f>SrDebt!BP$79</f>
        <v>0</v>
      </c>
      <c r="BQ21" s="96">
        <f>SrDebt!BQ$79</f>
        <v>0</v>
      </c>
      <c r="BR21" s="96">
        <f>SrDebt!BR$79</f>
        <v>0</v>
      </c>
      <c r="BS21" s="96">
        <f>SrDebt!BS$79</f>
        <v>0</v>
      </c>
      <c r="BT21" s="96">
        <f>SrDebt!BT$79</f>
        <v>0</v>
      </c>
      <c r="BU21" s="96">
        <f>SrDebt!BU$79</f>
        <v>0</v>
      </c>
      <c r="BV21" s="96">
        <f>SrDebt!BV$79</f>
        <v>0</v>
      </c>
      <c r="BW21" s="96">
        <f>SrDebt!BW$79</f>
        <v>0</v>
      </c>
      <c r="BX21" s="96">
        <f>SrDebt!BX$79</f>
        <v>0</v>
      </c>
      <c r="BY21" s="96">
        <f>SrDebt!BY$79</f>
        <v>0</v>
      </c>
      <c r="BZ21" s="96">
        <f>SrDebt!BZ$79</f>
        <v>0</v>
      </c>
      <c r="CA21" s="96">
        <f>SrDebt!CA$79</f>
        <v>0</v>
      </c>
    </row>
    <row r="22" spans="1:79" x14ac:dyDescent="0.2">
      <c r="E22" s="85" t="str">
        <f xml:space="preserve"> "Sum of " &amp; E21</f>
        <v>Sum of Senior debt service</v>
      </c>
      <c r="F22" s="85">
        <f xml:space="preserve"> SUM(J21:CA21)</f>
        <v>714998.25608077052</v>
      </c>
      <c r="G22" s="85" t="str">
        <f xml:space="preserve"> SMU</f>
        <v>€ 000s</v>
      </c>
    </row>
    <row r="24" spans="1:79" x14ac:dyDescent="0.2">
      <c r="E24" s="85" t="str">
        <f xml:space="preserve"> E$19</f>
        <v>Sum of CFADS over debt term</v>
      </c>
      <c r="F24" s="85">
        <f t="shared" ref="F24:G24" si="4" xml:space="preserve"> F$19</f>
        <v>999604.91898211325</v>
      </c>
      <c r="G24" s="85" t="str">
        <f t="shared" si="4"/>
        <v>€ 000s</v>
      </c>
    </row>
    <row r="25" spans="1:79" x14ac:dyDescent="0.2">
      <c r="E25" s="85" t="str">
        <f xml:space="preserve"> E$22</f>
        <v>Sum of Senior debt service</v>
      </c>
      <c r="F25" s="85">
        <f t="shared" ref="F25:G25" si="5" xml:space="preserve"> F$22</f>
        <v>714998.25608077052</v>
      </c>
      <c r="G25" s="85" t="str">
        <f t="shared" si="5"/>
        <v>€ 000s</v>
      </c>
    </row>
    <row r="26" spans="1:79" x14ac:dyDescent="0.2">
      <c r="E26" s="85" t="s">
        <v>296</v>
      </c>
      <c r="F26" s="385">
        <f xml:space="preserve"> F24 / F25</f>
        <v>1.3980522476535828</v>
      </c>
      <c r="G26" s="85" t="s">
        <v>290</v>
      </c>
    </row>
    <row r="29" spans="1:79" x14ac:dyDescent="0.2">
      <c r="A29" s="81" t="s">
        <v>297</v>
      </c>
    </row>
    <row r="31" spans="1:79" s="219" customFormat="1" x14ac:dyDescent="0.2">
      <c r="A31" s="148"/>
      <c r="B31" s="148"/>
      <c r="C31" s="149"/>
      <c r="D31" s="218"/>
      <c r="E31" s="219" t="s">
        <v>299</v>
      </c>
      <c r="F31" s="219">
        <v>0</v>
      </c>
      <c r="G31" s="219" t="s">
        <v>12</v>
      </c>
      <c r="H31" s="219">
        <v>40</v>
      </c>
      <c r="I31" s="219">
        <v>0</v>
      </c>
      <c r="P31" s="219">
        <v>1</v>
      </c>
      <c r="Q31" s="219">
        <v>1</v>
      </c>
      <c r="R31" s="219">
        <v>1</v>
      </c>
      <c r="S31" s="219">
        <v>1</v>
      </c>
      <c r="T31" s="219">
        <v>1</v>
      </c>
      <c r="U31" s="219">
        <v>1</v>
      </c>
      <c r="V31" s="219">
        <v>1</v>
      </c>
      <c r="W31" s="219">
        <v>1</v>
      </c>
      <c r="X31" s="219">
        <v>1</v>
      </c>
      <c r="Y31" s="219">
        <v>1</v>
      </c>
      <c r="Z31" s="219">
        <v>1</v>
      </c>
      <c r="AA31" s="219">
        <v>1</v>
      </c>
      <c r="AB31" s="219">
        <v>1</v>
      </c>
      <c r="AC31" s="219">
        <v>1</v>
      </c>
      <c r="AD31" s="219">
        <v>1</v>
      </c>
      <c r="AE31" s="219">
        <v>1</v>
      </c>
      <c r="AF31" s="219">
        <v>1</v>
      </c>
      <c r="AG31" s="219">
        <v>1</v>
      </c>
      <c r="AH31" s="219">
        <v>1</v>
      </c>
      <c r="AI31" s="219">
        <v>1</v>
      </c>
      <c r="AJ31" s="219">
        <v>1</v>
      </c>
      <c r="AK31" s="219">
        <v>1</v>
      </c>
      <c r="AL31" s="219">
        <v>1</v>
      </c>
      <c r="AM31" s="219">
        <v>1</v>
      </c>
      <c r="AN31" s="219">
        <v>1</v>
      </c>
      <c r="AO31" s="219">
        <v>1</v>
      </c>
      <c r="AP31" s="219">
        <v>1</v>
      </c>
      <c r="AQ31" s="219">
        <v>1</v>
      </c>
      <c r="AR31" s="219">
        <v>1</v>
      </c>
      <c r="AS31" s="219">
        <v>1</v>
      </c>
      <c r="AT31" s="219">
        <v>1</v>
      </c>
      <c r="AU31" s="219">
        <v>1</v>
      </c>
      <c r="AV31" s="219">
        <v>1</v>
      </c>
      <c r="AW31" s="219">
        <v>1</v>
      </c>
      <c r="AX31" s="219">
        <v>1</v>
      </c>
      <c r="AY31" s="219">
        <v>1</v>
      </c>
      <c r="AZ31" s="219">
        <v>1</v>
      </c>
      <c r="BA31" s="219">
        <v>1</v>
      </c>
      <c r="BB31" s="219">
        <v>1</v>
      </c>
    </row>
    <row r="32" spans="1:79" s="96" customFormat="1" x14ac:dyDescent="0.2">
      <c r="A32" s="92"/>
      <c r="B32" s="93"/>
      <c r="C32" s="94"/>
      <c r="D32" s="95"/>
      <c r="E32" s="96" t="str">
        <f>Finstat!E$43</f>
        <v>Cash flow available for debt service</v>
      </c>
      <c r="F32" s="96">
        <f>Finstat!F$43</f>
        <v>0</v>
      </c>
      <c r="G32" s="96">
        <f>Finstat!G$43</f>
        <v>0</v>
      </c>
      <c r="H32" s="96">
        <f>Finstat!H$43</f>
        <v>1591083.1727996543</v>
      </c>
      <c r="I32" s="96">
        <f>Finstat!I$43</f>
        <v>0</v>
      </c>
      <c r="J32" s="96">
        <f>Finstat!J$43</f>
        <v>0</v>
      </c>
      <c r="K32" s="96">
        <f>Finstat!K$43</f>
        <v>0</v>
      </c>
      <c r="L32" s="96">
        <f>Finstat!L$43</f>
        <v>0</v>
      </c>
      <c r="M32" s="96">
        <f>Finstat!M$43</f>
        <v>0</v>
      </c>
      <c r="N32" s="96">
        <f>Finstat!N$43</f>
        <v>0</v>
      </c>
      <c r="O32" s="96">
        <f>Finstat!O$43</f>
        <v>25675.13464673726</v>
      </c>
      <c r="P32" s="96">
        <f>Finstat!P$43</f>
        <v>25784.292964742319</v>
      </c>
      <c r="Q32" s="96">
        <f>Finstat!Q$43</f>
        <v>26068.004233082032</v>
      </c>
      <c r="R32" s="96">
        <f>Finstat!R$43</f>
        <v>24437.58111890369</v>
      </c>
      <c r="S32" s="96">
        <f>Finstat!S$43</f>
        <v>24590.123895145382</v>
      </c>
      <c r="T32" s="96">
        <f>Finstat!T$43</f>
        <v>24124.254395239055</v>
      </c>
      <c r="U32" s="96">
        <f>Finstat!U$43</f>
        <v>24228.097816556641</v>
      </c>
      <c r="V32" s="96">
        <f>Finstat!V$43</f>
        <v>24056.90258435662</v>
      </c>
      <c r="W32" s="96">
        <f>Finstat!W$43</f>
        <v>24151.684677646354</v>
      </c>
      <c r="X32" s="96">
        <f>Finstat!X$43</f>
        <v>24425.085432866486</v>
      </c>
      <c r="Y32" s="96">
        <f>Finstat!Y$43</f>
        <v>24287.716298618838</v>
      </c>
      <c r="Z32" s="96">
        <f>Finstat!Z$43</f>
        <v>24025.129592320194</v>
      </c>
      <c r="AA32" s="96">
        <f>Finstat!AA$43</f>
        <v>24123.551568627714</v>
      </c>
      <c r="AB32" s="96">
        <f>Finstat!AB$43</f>
        <v>23997.923467359804</v>
      </c>
      <c r="AC32" s="96">
        <f>Finstat!AC$43</f>
        <v>24115.881462831905</v>
      </c>
      <c r="AD32" s="96">
        <f>Finstat!AD$43</f>
        <v>24477.309683099375</v>
      </c>
      <c r="AE32" s="96">
        <f>Finstat!AE$43</f>
        <v>24639.404533450455</v>
      </c>
      <c r="AF32" s="96">
        <f>Finstat!AF$43</f>
        <v>24512.12599020647</v>
      </c>
      <c r="AG32" s="96">
        <f>Finstat!AG$43</f>
        <v>24689.85257539494</v>
      </c>
      <c r="AH32" s="96">
        <f>Finstat!AH$43</f>
        <v>24569.77048010665</v>
      </c>
      <c r="AI32" s="96">
        <f>Finstat!AI$43</f>
        <v>24580.861717312084</v>
      </c>
      <c r="AJ32" s="96">
        <f>Finstat!AJ$43</f>
        <v>24465.033108015967</v>
      </c>
      <c r="AK32" s="96">
        <f>Finstat!AK$43</f>
        <v>24667.568342318882</v>
      </c>
      <c r="AL32" s="96">
        <f>Finstat!AL$43</f>
        <v>24555.326669155816</v>
      </c>
      <c r="AM32" s="96">
        <f>Finstat!AM$43</f>
        <v>24768.418348333769</v>
      </c>
      <c r="AN32" s="96">
        <f>Finstat!AN$43</f>
        <v>25013.636788182725</v>
      </c>
      <c r="AO32" s="96">
        <f>Finstat!AO$43</f>
        <v>25265.609721331355</v>
      </c>
      <c r="AP32" s="96">
        <f>Finstat!AP$43</f>
        <v>25127.01087842273</v>
      </c>
      <c r="AQ32" s="96">
        <f>Finstat!AQ$43</f>
        <v>25386.829231084077</v>
      </c>
      <c r="AR32" s="96">
        <f>Finstat!AR$43</f>
        <v>25245.415737159736</v>
      </c>
      <c r="AS32" s="96">
        <f>Finstat!AS$43</f>
        <v>25511.552489639838</v>
      </c>
      <c r="AT32" s="96">
        <f>Finstat!AT$43</f>
        <v>25365.594349984302</v>
      </c>
      <c r="AU32" s="96">
        <f>Finstat!AU$43</f>
        <v>25636.523523664422</v>
      </c>
      <c r="AV32" s="96">
        <f>Finstat!AV$43</f>
        <v>25484.199625947636</v>
      </c>
      <c r="AW32" s="96">
        <f>Finstat!AW$43</f>
        <v>25758.389026750567</v>
      </c>
      <c r="AX32" s="96">
        <f>Finstat!AX$43</f>
        <v>26149.691339109697</v>
      </c>
      <c r="AY32" s="96">
        <f>Finstat!AY$43</f>
        <v>26460.07010022788</v>
      </c>
      <c r="AZ32" s="96">
        <f>Finstat!AZ$43</f>
        <v>26258.514335888001</v>
      </c>
      <c r="BA32" s="96">
        <f>Finstat!BA$43</f>
        <v>26569.619688357227</v>
      </c>
      <c r="BB32" s="96">
        <f>Finstat!BB$43</f>
        <v>26355.226543934212</v>
      </c>
      <c r="BC32" s="96">
        <f>Finstat!BC$43</f>
        <v>26665.4957125605</v>
      </c>
      <c r="BD32" s="96">
        <f>Finstat!BD$43</f>
        <v>26679.509517069491</v>
      </c>
      <c r="BE32" s="96">
        <f>Finstat!BE$43</f>
        <v>27238.761751659724</v>
      </c>
      <c r="BF32" s="96">
        <f>Finstat!BF$43</f>
        <v>27132.130690617203</v>
      </c>
      <c r="BG32" s="96">
        <f>Finstat!BG$43</f>
        <v>27708.238269792957</v>
      </c>
      <c r="BH32" s="96">
        <f>Finstat!BH$43</f>
        <v>27730.379693491417</v>
      </c>
      <c r="BI32" s="96">
        <f>Finstat!BI$43</f>
        <v>27173.623053413656</v>
      </c>
      <c r="BJ32" s="96">
        <f>Finstat!BJ$43</f>
        <v>29384.936361395878</v>
      </c>
      <c r="BK32" s="96">
        <f>Finstat!BK$43</f>
        <v>27650.661466390051</v>
      </c>
      <c r="BL32" s="96">
        <f>Finstat!BL$43</f>
        <v>30054.355071744991</v>
      </c>
      <c r="BM32" s="96">
        <f>Finstat!BM$43</f>
        <v>28279.983539298279</v>
      </c>
      <c r="BN32" s="96">
        <f>Finstat!BN$43</f>
        <v>30746.866707974674</v>
      </c>
      <c r="BO32" s="96">
        <f>Finstat!BO$43</f>
        <v>28931.078249245016</v>
      </c>
      <c r="BP32" s="96">
        <f>Finstat!BP$43</f>
        <v>31462.428741065087</v>
      </c>
      <c r="BQ32" s="96">
        <f>Finstat!BQ$43</f>
        <v>29603.901052597634</v>
      </c>
      <c r="BR32" s="96">
        <f>Finstat!BR$43</f>
        <v>30914.484995175917</v>
      </c>
      <c r="BS32" s="96">
        <f>Finstat!BS$43</f>
        <v>31601.01961146824</v>
      </c>
      <c r="BT32" s="96">
        <f>Finstat!BT$43</f>
        <v>31972.652849087732</v>
      </c>
      <c r="BU32" s="96">
        <f>Finstat!BU$43</f>
        <v>32349.94987889695</v>
      </c>
      <c r="BV32" s="96">
        <f>Finstat!BV$43</f>
        <v>38197.796604595904</v>
      </c>
      <c r="BW32" s="96">
        <f>Finstat!BW$43</f>
        <v>0</v>
      </c>
      <c r="BX32" s="96">
        <f>Finstat!BX$43</f>
        <v>0</v>
      </c>
      <c r="BY32" s="96">
        <f>Finstat!BY$43</f>
        <v>0</v>
      </c>
      <c r="BZ32" s="96">
        <f>Finstat!BZ$43</f>
        <v>0</v>
      </c>
      <c r="CA32" s="96">
        <f>Finstat!CA$43</f>
        <v>0</v>
      </c>
    </row>
    <row r="33" spans="1:79" s="96" customFormat="1" x14ac:dyDescent="0.2">
      <c r="A33" s="92"/>
      <c r="B33" s="93"/>
      <c r="C33" s="94"/>
      <c r="D33" s="95"/>
      <c r="E33" s="96" t="str">
        <f>SrDebt!E$79</f>
        <v>Senior debt service</v>
      </c>
      <c r="F33" s="96">
        <f>SrDebt!F$79</f>
        <v>0</v>
      </c>
      <c r="G33" s="96">
        <f>SrDebt!G$79</f>
        <v>0</v>
      </c>
      <c r="H33" s="96">
        <f>SrDebt!H$79</f>
        <v>714998.25608077052</v>
      </c>
      <c r="I33" s="96">
        <f>SrDebt!I$79</f>
        <v>0</v>
      </c>
      <c r="J33" s="96">
        <f>SrDebt!J$79</f>
        <v>0</v>
      </c>
      <c r="K33" s="96">
        <f>SrDebt!K$79</f>
        <v>0</v>
      </c>
      <c r="L33" s="96">
        <f>SrDebt!L$79</f>
        <v>0</v>
      </c>
      <c r="M33" s="96">
        <f>SrDebt!M$79</f>
        <v>0</v>
      </c>
      <c r="N33" s="96">
        <f>SrDebt!N$79</f>
        <v>0</v>
      </c>
      <c r="O33" s="96">
        <f>SrDebt!O$79</f>
        <v>18366.220321521923</v>
      </c>
      <c r="P33" s="96">
        <f>SrDebt!P$79</f>
        <v>18441.423071309706</v>
      </c>
      <c r="Q33" s="96">
        <f>SrDebt!Q$79</f>
        <v>18644.973138297792</v>
      </c>
      <c r="R33" s="96">
        <f>SrDebt!R$79</f>
        <v>17479.294210142154</v>
      </c>
      <c r="S33" s="96">
        <f>SrDebt!S$79</f>
        <v>17590.408068105608</v>
      </c>
      <c r="T33" s="96">
        <f>SrDebt!T$79</f>
        <v>17254.65413264605</v>
      </c>
      <c r="U33" s="96">
        <f>SrDebt!U$79</f>
        <v>17328.582122808635</v>
      </c>
      <c r="V33" s="96">
        <f>SrDebt!V$79</f>
        <v>17209.0532376991</v>
      </c>
      <c r="W33" s="96">
        <f>SrDebt!W$79</f>
        <v>17275.937777527521</v>
      </c>
      <c r="X33" s="96">
        <f>SrDebt!X$79</f>
        <v>17471.936103951146</v>
      </c>
      <c r="Y33" s="96">
        <f>SrDebt!Y$79</f>
        <v>17372.343491207837</v>
      </c>
      <c r="Z33" s="96">
        <f>SrDebt!Z$79</f>
        <v>17186.051087753283</v>
      </c>
      <c r="AA33" s="96">
        <f>SrDebt!AA$79</f>
        <v>17254.565383558223</v>
      </c>
      <c r="AB33" s="96">
        <f>SrDebt!AB$79</f>
        <v>17166.235836870459</v>
      </c>
      <c r="AC33" s="96">
        <f>SrDebt!AC$79</f>
        <v>17250.321563540158</v>
      </c>
      <c r="AD33" s="96">
        <f>SrDebt!AD$79</f>
        <v>17508.516864334983</v>
      </c>
      <c r="AE33" s="96">
        <f>SrDebt!AE$79</f>
        <v>17622.583646493513</v>
      </c>
      <c r="AF33" s="96">
        <f>SrDebt!AF$79</f>
        <v>17533.495698509745</v>
      </c>
      <c r="AG33" s="96">
        <f>SrDebt!AG$79</f>
        <v>17659.535539426462</v>
      </c>
      <c r="AH33" s="96">
        <f>SrDebt!AH$79</f>
        <v>17574.368687505015</v>
      </c>
      <c r="AI33" s="96">
        <f>SrDebt!AI$79</f>
        <v>17582.807918947779</v>
      </c>
      <c r="AJ33" s="96">
        <f>SrDebt!AJ$79</f>
        <v>17498.948099047106</v>
      </c>
      <c r="AK33" s="96">
        <f>SrDebt!AK$79</f>
        <v>17644.165811034047</v>
      </c>
      <c r="AL33" s="96">
        <f>SrDebt!AL$79</f>
        <v>17562.952327570492</v>
      </c>
      <c r="AM33" s="96">
        <f>SrDebt!AM$79</f>
        <v>17715.899278297555</v>
      </c>
      <c r="AN33" s="96">
        <f>SrDebt!AN$79</f>
        <v>17892.493826881931</v>
      </c>
      <c r="AO33" s="96">
        <f>SrDebt!AO$79</f>
        <v>18071.452328442148</v>
      </c>
      <c r="AP33" s="96">
        <f>SrDebt!AP$79</f>
        <v>17974.134919586853</v>
      </c>
      <c r="AQ33" s="96">
        <f>SrDebt!AQ$79</f>
        <v>18159.87062421774</v>
      </c>
      <c r="AR33" s="96">
        <f>SrDebt!AR$79</f>
        <v>18057.728492224036</v>
      </c>
      <c r="AS33" s="96">
        <f>SrDebt!AS$79</f>
        <v>18246.812457895794</v>
      </c>
      <c r="AT33" s="96">
        <f>SrDebt!AT$79</f>
        <v>18142.871139848805</v>
      </c>
      <c r="AU33" s="96">
        <f>SrDebt!AU$79</f>
        <v>18338.054588284165</v>
      </c>
      <c r="AV33" s="96">
        <f>SrDebt!AV$79</f>
        <v>18228.336511429316</v>
      </c>
      <c r="AW33" s="96">
        <f>SrDebt!AW$79</f>
        <v>18425.641869873711</v>
      </c>
      <c r="AX33" s="96">
        <f>SrDebt!AX$79</f>
        <v>18703.119927024381</v>
      </c>
      <c r="AY33" s="96">
        <f>SrDebt!AY$79</f>
        <v>18926.880581741076</v>
      </c>
      <c r="AZ33" s="96">
        <f>SrDebt!AZ$79</f>
        <v>18781.340145798389</v>
      </c>
      <c r="BA33" s="96">
        <f>SrDebt!BA$79</f>
        <v>19003.527521230822</v>
      </c>
      <c r="BB33" s="96">
        <f>SrDebt!BB$79</f>
        <v>18850.717728184958</v>
      </c>
      <c r="BC33" s="96">
        <f>SrDebt!BC$79</f>
        <v>0</v>
      </c>
      <c r="BD33" s="96">
        <f>SrDebt!BD$79</f>
        <v>0</v>
      </c>
      <c r="BE33" s="96">
        <f>SrDebt!BE$79</f>
        <v>0</v>
      </c>
      <c r="BF33" s="96">
        <f>SrDebt!BF$79</f>
        <v>0</v>
      </c>
      <c r="BG33" s="96">
        <f>SrDebt!BG$79</f>
        <v>0</v>
      </c>
      <c r="BH33" s="96">
        <f>SrDebt!BH$79</f>
        <v>0</v>
      </c>
      <c r="BI33" s="96">
        <f>SrDebt!BI$79</f>
        <v>0</v>
      </c>
      <c r="BJ33" s="96">
        <f>SrDebt!BJ$79</f>
        <v>0</v>
      </c>
      <c r="BK33" s="96">
        <f>SrDebt!BK$79</f>
        <v>0</v>
      </c>
      <c r="BL33" s="96">
        <f>SrDebt!BL$79</f>
        <v>0</v>
      </c>
      <c r="BM33" s="96">
        <f>SrDebt!BM$79</f>
        <v>0</v>
      </c>
      <c r="BN33" s="96">
        <f>SrDebt!BN$79</f>
        <v>0</v>
      </c>
      <c r="BO33" s="96">
        <f>SrDebt!BO$79</f>
        <v>0</v>
      </c>
      <c r="BP33" s="96">
        <f>SrDebt!BP$79</f>
        <v>0</v>
      </c>
      <c r="BQ33" s="96">
        <f>SrDebt!BQ$79</f>
        <v>0</v>
      </c>
      <c r="BR33" s="96">
        <f>SrDebt!BR$79</f>
        <v>0</v>
      </c>
      <c r="BS33" s="96">
        <f>SrDebt!BS$79</f>
        <v>0</v>
      </c>
      <c r="BT33" s="96">
        <f>SrDebt!BT$79</f>
        <v>0</v>
      </c>
      <c r="BU33" s="96">
        <f>SrDebt!BU$79</f>
        <v>0</v>
      </c>
      <c r="BV33" s="96">
        <f>SrDebt!BV$79</f>
        <v>0</v>
      </c>
      <c r="BW33" s="96">
        <f>SrDebt!BW$79</f>
        <v>0</v>
      </c>
      <c r="BX33" s="96">
        <f>SrDebt!BX$79</f>
        <v>0</v>
      </c>
      <c r="BY33" s="96">
        <f>SrDebt!BY$79</f>
        <v>0</v>
      </c>
      <c r="BZ33" s="96">
        <f>SrDebt!BZ$79</f>
        <v>0</v>
      </c>
      <c r="CA33" s="96">
        <f>SrDebt!CA$79</f>
        <v>0</v>
      </c>
    </row>
    <row r="34" spans="1:79" s="372" customFormat="1" x14ac:dyDescent="0.2">
      <c r="A34" s="368"/>
      <c r="B34" s="369"/>
      <c r="C34" s="370"/>
      <c r="D34" s="371"/>
      <c r="E34" s="372" t="s">
        <v>298</v>
      </c>
      <c r="J34" s="372" t="str">
        <f t="shared" ref="J34:N34" si="6" xml:space="preserve"> IF(J31 = 1, SUM(I32:J32) / SUM(I33:J33), "n/a")</f>
        <v>n/a</v>
      </c>
      <c r="K34" s="372" t="str">
        <f t="shared" si="6"/>
        <v>n/a</v>
      </c>
      <c r="L34" s="372" t="str">
        <f t="shared" si="6"/>
        <v>n/a</v>
      </c>
      <c r="M34" s="372" t="str">
        <f t="shared" si="6"/>
        <v>n/a</v>
      </c>
      <c r="N34" s="372" t="str">
        <f t="shared" si="6"/>
        <v>n/a</v>
      </c>
      <c r="O34" s="373" t="str">
        <f xml:space="preserve"> IF(O31 = 1, SUM(N32:O32) / SUM(N33:O33), "n/a")</f>
        <v>n/a</v>
      </c>
      <c r="P34" s="372">
        <f t="shared" ref="P34:CA34" si="7" xml:space="preserve"> IF(P31 = 1, SUM(O32:P32) / SUM(O33:P33), "n/a")</f>
        <v>1.3980636321178177</v>
      </c>
      <c r="Q34" s="372">
        <f t="shared" si="7"/>
        <v>1.3981487148215184</v>
      </c>
      <c r="R34" s="372">
        <f t="shared" si="7"/>
        <v>1.3981068422739056</v>
      </c>
      <c r="S34" s="372">
        <f t="shared" si="7"/>
        <v>1.3980074488530481</v>
      </c>
      <c r="T34" s="372">
        <f t="shared" si="7"/>
        <v>1.3980281627774969</v>
      </c>
      <c r="U34" s="372">
        <f t="shared" si="7"/>
        <v>1.3981442296097797</v>
      </c>
      <c r="V34" s="372">
        <f t="shared" si="7"/>
        <v>1.3980401349689688</v>
      </c>
      <c r="W34" s="372">
        <f t="shared" si="7"/>
        <v>1.3979585275436719</v>
      </c>
      <c r="X34" s="372">
        <f t="shared" si="7"/>
        <v>1.3979781979237949</v>
      </c>
      <c r="Y34" s="372">
        <f t="shared" si="7"/>
        <v>1.3980143167675976</v>
      </c>
      <c r="Z34" s="372">
        <f t="shared" si="7"/>
        <v>1.3980060844710511</v>
      </c>
      <c r="AA34" s="372">
        <f t="shared" si="7"/>
        <v>1.3980203055033873</v>
      </c>
      <c r="AB34" s="372">
        <f t="shared" si="7"/>
        <v>1.3980347153403134</v>
      </c>
      <c r="AC34" s="372">
        <f t="shared" si="7"/>
        <v>1.3979842425964915</v>
      </c>
      <c r="AD34" s="372">
        <f t="shared" si="7"/>
        <v>1.3980096385200711</v>
      </c>
      <c r="AE34" s="372">
        <f t="shared" si="7"/>
        <v>1.3980977966064723</v>
      </c>
      <c r="AF34" s="372">
        <f t="shared" si="7"/>
        <v>1.3980947659524168</v>
      </c>
      <c r="AG34" s="372">
        <f t="shared" si="7"/>
        <v>1.3980602646288767</v>
      </c>
      <c r="AH34" s="372">
        <f t="shared" si="7"/>
        <v>1.3980745005786039</v>
      </c>
      <c r="AI34" s="372">
        <f t="shared" si="7"/>
        <v>1.3980255794601426</v>
      </c>
      <c r="AJ34" s="372">
        <f t="shared" si="7"/>
        <v>1.3980456052476502</v>
      </c>
      <c r="AK34" s="372">
        <f t="shared" si="7"/>
        <v>1.3980719402397825</v>
      </c>
      <c r="AL34" s="372">
        <f t="shared" si="7"/>
        <v>1.3980949766377468</v>
      </c>
      <c r="AM34" s="372">
        <f t="shared" si="7"/>
        <v>1.3981108446649495</v>
      </c>
      <c r="AN34" s="372">
        <f t="shared" si="7"/>
        <v>1.3980427308098706</v>
      </c>
      <c r="AO34" s="372">
        <f t="shared" si="7"/>
        <v>1.3980458732855368</v>
      </c>
      <c r="AP34" s="372">
        <f t="shared" si="7"/>
        <v>1.398024680608015</v>
      </c>
      <c r="AQ34" s="372">
        <f t="shared" si="7"/>
        <v>1.3979584977998025</v>
      </c>
      <c r="AR34" s="372">
        <f t="shared" si="7"/>
        <v>1.3980011431861641</v>
      </c>
      <c r="AS34" s="372">
        <f t="shared" si="7"/>
        <v>1.3980886935476329</v>
      </c>
      <c r="AT34" s="372">
        <f t="shared" si="7"/>
        <v>1.3981200661711017</v>
      </c>
      <c r="AU34" s="372">
        <f t="shared" si="7"/>
        <v>1.3980488942010989</v>
      </c>
      <c r="AV34" s="372">
        <f t="shared" si="7"/>
        <v>1.3980248422714217</v>
      </c>
      <c r="AW34" s="372">
        <f t="shared" si="7"/>
        <v>1.3980089178760673</v>
      </c>
      <c r="AX34" s="372">
        <f t="shared" si="7"/>
        <v>1.3980557889274106</v>
      </c>
      <c r="AY34" s="372">
        <f t="shared" si="7"/>
        <v>1.3980802744629983</v>
      </c>
      <c r="AZ34" s="372">
        <f t="shared" si="7"/>
        <v>1.3980660826463736</v>
      </c>
      <c r="BA34" s="372">
        <f t="shared" si="7"/>
        <v>1.3981293911039063</v>
      </c>
      <c r="BB34" s="372">
        <f t="shared" si="7"/>
        <v>1.3981218191930074</v>
      </c>
      <c r="BC34" s="372" t="str">
        <f t="shared" si="7"/>
        <v>n/a</v>
      </c>
      <c r="BD34" s="372" t="str">
        <f t="shared" si="7"/>
        <v>n/a</v>
      </c>
      <c r="BE34" s="372" t="str">
        <f t="shared" si="7"/>
        <v>n/a</v>
      </c>
      <c r="BF34" s="372" t="str">
        <f t="shared" si="7"/>
        <v>n/a</v>
      </c>
      <c r="BG34" s="372" t="str">
        <f t="shared" si="7"/>
        <v>n/a</v>
      </c>
      <c r="BH34" s="372" t="str">
        <f t="shared" si="7"/>
        <v>n/a</v>
      </c>
      <c r="BI34" s="372" t="str">
        <f t="shared" si="7"/>
        <v>n/a</v>
      </c>
      <c r="BJ34" s="372" t="str">
        <f t="shared" si="7"/>
        <v>n/a</v>
      </c>
      <c r="BK34" s="372" t="str">
        <f t="shared" si="7"/>
        <v>n/a</v>
      </c>
      <c r="BL34" s="372" t="str">
        <f t="shared" si="7"/>
        <v>n/a</v>
      </c>
      <c r="BM34" s="372" t="str">
        <f t="shared" si="7"/>
        <v>n/a</v>
      </c>
      <c r="BN34" s="372" t="str">
        <f t="shared" si="7"/>
        <v>n/a</v>
      </c>
      <c r="BO34" s="372" t="str">
        <f t="shared" si="7"/>
        <v>n/a</v>
      </c>
      <c r="BP34" s="372" t="str">
        <f t="shared" si="7"/>
        <v>n/a</v>
      </c>
      <c r="BQ34" s="372" t="str">
        <f t="shared" si="7"/>
        <v>n/a</v>
      </c>
      <c r="BR34" s="372" t="str">
        <f t="shared" si="7"/>
        <v>n/a</v>
      </c>
      <c r="BS34" s="372" t="str">
        <f t="shared" si="7"/>
        <v>n/a</v>
      </c>
      <c r="BT34" s="372" t="str">
        <f t="shared" si="7"/>
        <v>n/a</v>
      </c>
      <c r="BU34" s="372" t="str">
        <f t="shared" si="7"/>
        <v>n/a</v>
      </c>
      <c r="BV34" s="372" t="str">
        <f t="shared" si="7"/>
        <v>n/a</v>
      </c>
      <c r="BW34" s="372" t="str">
        <f t="shared" si="7"/>
        <v>n/a</v>
      </c>
      <c r="BX34" s="372" t="str">
        <f t="shared" si="7"/>
        <v>n/a</v>
      </c>
      <c r="BY34" s="372" t="str">
        <f t="shared" si="7"/>
        <v>n/a</v>
      </c>
      <c r="BZ34" s="372" t="str">
        <f t="shared" si="7"/>
        <v>n/a</v>
      </c>
      <c r="CA34" s="372" t="str">
        <f t="shared" si="7"/>
        <v>n/a</v>
      </c>
    </row>
    <row r="36" spans="1:79" s="372" customFormat="1" x14ac:dyDescent="0.2">
      <c r="A36" s="368"/>
      <c r="B36" s="369"/>
      <c r="C36" s="370"/>
      <c r="D36" s="371"/>
      <c r="E36" s="372" t="str">
        <f xml:space="preserve"> "Minimum " &amp; E34</f>
        <v>Minimum 12-month HDSCR</v>
      </c>
      <c r="F36" s="385">
        <f xml:space="preserve"> MIN(J34:CA34)</f>
        <v>1.3979584977998025</v>
      </c>
      <c r="G36" s="372" t="s">
        <v>290</v>
      </c>
    </row>
    <row r="38" spans="1:79" s="219" customFormat="1" x14ac:dyDescent="0.2">
      <c r="A38" s="148"/>
      <c r="B38" s="148"/>
      <c r="C38" s="149"/>
      <c r="D38" s="218"/>
      <c r="E38" s="219" t="s">
        <v>301</v>
      </c>
      <c r="F38" s="219">
        <v>0</v>
      </c>
      <c r="G38" s="219" t="s">
        <v>12</v>
      </c>
      <c r="H38" s="219">
        <v>40</v>
      </c>
      <c r="I38" s="219">
        <v>0</v>
      </c>
      <c r="N38" s="219">
        <v>1</v>
      </c>
      <c r="O38" s="219">
        <v>1</v>
      </c>
      <c r="P38" s="219">
        <v>1</v>
      </c>
      <c r="Q38" s="219">
        <v>1</v>
      </c>
      <c r="R38" s="219">
        <v>1</v>
      </c>
      <c r="S38" s="219">
        <v>1</v>
      </c>
      <c r="T38" s="219">
        <v>1</v>
      </c>
      <c r="U38" s="219">
        <v>1</v>
      </c>
      <c r="V38" s="219">
        <v>1</v>
      </c>
      <c r="W38" s="219">
        <v>1</v>
      </c>
      <c r="X38" s="219">
        <v>1</v>
      </c>
      <c r="Y38" s="219">
        <v>1</v>
      </c>
      <c r="Z38" s="219">
        <v>1</v>
      </c>
      <c r="AA38" s="219">
        <v>1</v>
      </c>
      <c r="AB38" s="219">
        <v>1</v>
      </c>
      <c r="AC38" s="219">
        <v>1</v>
      </c>
      <c r="AD38" s="219">
        <v>1</v>
      </c>
      <c r="AE38" s="219">
        <v>1</v>
      </c>
      <c r="AF38" s="219">
        <v>1</v>
      </c>
      <c r="AG38" s="219">
        <v>1</v>
      </c>
      <c r="AH38" s="219">
        <v>1</v>
      </c>
      <c r="AI38" s="219">
        <v>1</v>
      </c>
      <c r="AJ38" s="219">
        <v>1</v>
      </c>
      <c r="AK38" s="219">
        <v>1</v>
      </c>
      <c r="AL38" s="219">
        <v>1</v>
      </c>
      <c r="AM38" s="219">
        <v>1</v>
      </c>
      <c r="AN38" s="219">
        <v>1</v>
      </c>
      <c r="AO38" s="219">
        <v>1</v>
      </c>
      <c r="AP38" s="219">
        <v>1</v>
      </c>
      <c r="AQ38" s="219">
        <v>1</v>
      </c>
      <c r="AR38" s="219">
        <v>1</v>
      </c>
      <c r="AS38" s="219">
        <v>1</v>
      </c>
      <c r="AT38" s="219">
        <v>1</v>
      </c>
      <c r="AU38" s="219">
        <v>1</v>
      </c>
      <c r="AV38" s="219">
        <v>1</v>
      </c>
      <c r="AW38" s="219">
        <v>1</v>
      </c>
      <c r="AX38" s="219">
        <v>1</v>
      </c>
      <c r="AY38" s="219">
        <v>1</v>
      </c>
      <c r="AZ38" s="219">
        <v>1</v>
      </c>
      <c r="BA38" s="219">
        <v>1</v>
      </c>
    </row>
    <row r="39" spans="1:79" s="96" customFormat="1" x14ac:dyDescent="0.2">
      <c r="A39" s="92"/>
      <c r="B39" s="93"/>
      <c r="C39" s="94"/>
      <c r="D39" s="95"/>
      <c r="E39" s="96" t="str">
        <f>Finstat!E$43</f>
        <v>Cash flow available for debt service</v>
      </c>
      <c r="F39" s="96">
        <f>Finstat!F$43</f>
        <v>0</v>
      </c>
      <c r="G39" s="96">
        <f>Finstat!G$43</f>
        <v>0</v>
      </c>
      <c r="H39" s="96">
        <f>Finstat!H$43</f>
        <v>1591083.1727996543</v>
      </c>
      <c r="I39" s="96">
        <f>Finstat!I$43</f>
        <v>0</v>
      </c>
      <c r="J39" s="96">
        <f>Finstat!J$43</f>
        <v>0</v>
      </c>
      <c r="K39" s="96">
        <f>Finstat!K$43</f>
        <v>0</v>
      </c>
      <c r="L39" s="96">
        <f>Finstat!L$43</f>
        <v>0</v>
      </c>
      <c r="M39" s="96">
        <f>Finstat!M$43</f>
        <v>0</v>
      </c>
      <c r="N39" s="96">
        <f>Finstat!N$43</f>
        <v>0</v>
      </c>
      <c r="O39" s="96">
        <f>Finstat!O$43</f>
        <v>25675.13464673726</v>
      </c>
      <c r="P39" s="96">
        <f>Finstat!P$43</f>
        <v>25784.292964742319</v>
      </c>
      <c r="Q39" s="96">
        <f>Finstat!Q$43</f>
        <v>26068.004233082032</v>
      </c>
      <c r="R39" s="96">
        <f>Finstat!R$43</f>
        <v>24437.58111890369</v>
      </c>
      <c r="S39" s="96">
        <f>Finstat!S$43</f>
        <v>24590.123895145382</v>
      </c>
      <c r="T39" s="96">
        <f>Finstat!T$43</f>
        <v>24124.254395239055</v>
      </c>
      <c r="U39" s="96">
        <f>Finstat!U$43</f>
        <v>24228.097816556641</v>
      </c>
      <c r="V39" s="96">
        <f>Finstat!V$43</f>
        <v>24056.90258435662</v>
      </c>
      <c r="W39" s="96">
        <f>Finstat!W$43</f>
        <v>24151.684677646354</v>
      </c>
      <c r="X39" s="96">
        <f>Finstat!X$43</f>
        <v>24425.085432866486</v>
      </c>
      <c r="Y39" s="96">
        <f>Finstat!Y$43</f>
        <v>24287.716298618838</v>
      </c>
      <c r="Z39" s="96">
        <f>Finstat!Z$43</f>
        <v>24025.129592320194</v>
      </c>
      <c r="AA39" s="96">
        <f>Finstat!AA$43</f>
        <v>24123.551568627714</v>
      </c>
      <c r="AB39" s="96">
        <f>Finstat!AB$43</f>
        <v>23997.923467359804</v>
      </c>
      <c r="AC39" s="96">
        <f>Finstat!AC$43</f>
        <v>24115.881462831905</v>
      </c>
      <c r="AD39" s="96">
        <f>Finstat!AD$43</f>
        <v>24477.309683099375</v>
      </c>
      <c r="AE39" s="96">
        <f>Finstat!AE$43</f>
        <v>24639.404533450455</v>
      </c>
      <c r="AF39" s="96">
        <f>Finstat!AF$43</f>
        <v>24512.12599020647</v>
      </c>
      <c r="AG39" s="96">
        <f>Finstat!AG$43</f>
        <v>24689.85257539494</v>
      </c>
      <c r="AH39" s="96">
        <f>Finstat!AH$43</f>
        <v>24569.77048010665</v>
      </c>
      <c r="AI39" s="96">
        <f>Finstat!AI$43</f>
        <v>24580.861717312084</v>
      </c>
      <c r="AJ39" s="96">
        <f>Finstat!AJ$43</f>
        <v>24465.033108015967</v>
      </c>
      <c r="AK39" s="96">
        <f>Finstat!AK$43</f>
        <v>24667.568342318882</v>
      </c>
      <c r="AL39" s="96">
        <f>Finstat!AL$43</f>
        <v>24555.326669155816</v>
      </c>
      <c r="AM39" s="96">
        <f>Finstat!AM$43</f>
        <v>24768.418348333769</v>
      </c>
      <c r="AN39" s="96">
        <f>Finstat!AN$43</f>
        <v>25013.636788182725</v>
      </c>
      <c r="AO39" s="96">
        <f>Finstat!AO$43</f>
        <v>25265.609721331355</v>
      </c>
      <c r="AP39" s="96">
        <f>Finstat!AP$43</f>
        <v>25127.01087842273</v>
      </c>
      <c r="AQ39" s="96">
        <f>Finstat!AQ$43</f>
        <v>25386.829231084077</v>
      </c>
      <c r="AR39" s="96">
        <f>Finstat!AR$43</f>
        <v>25245.415737159736</v>
      </c>
      <c r="AS39" s="96">
        <f>Finstat!AS$43</f>
        <v>25511.552489639838</v>
      </c>
      <c r="AT39" s="96">
        <f>Finstat!AT$43</f>
        <v>25365.594349984302</v>
      </c>
      <c r="AU39" s="96">
        <f>Finstat!AU$43</f>
        <v>25636.523523664422</v>
      </c>
      <c r="AV39" s="96">
        <f>Finstat!AV$43</f>
        <v>25484.199625947636</v>
      </c>
      <c r="AW39" s="96">
        <f>Finstat!AW$43</f>
        <v>25758.389026750567</v>
      </c>
      <c r="AX39" s="96">
        <f>Finstat!AX$43</f>
        <v>26149.691339109697</v>
      </c>
      <c r="AY39" s="96">
        <f>Finstat!AY$43</f>
        <v>26460.07010022788</v>
      </c>
      <c r="AZ39" s="96">
        <f>Finstat!AZ$43</f>
        <v>26258.514335888001</v>
      </c>
      <c r="BA39" s="96">
        <f>Finstat!BA$43</f>
        <v>26569.619688357227</v>
      </c>
      <c r="BB39" s="96">
        <f>Finstat!BB$43</f>
        <v>26355.226543934212</v>
      </c>
      <c r="BC39" s="96">
        <f>Finstat!BC$43</f>
        <v>26665.4957125605</v>
      </c>
      <c r="BD39" s="96">
        <f>Finstat!BD$43</f>
        <v>26679.509517069491</v>
      </c>
      <c r="BE39" s="96">
        <f>Finstat!BE$43</f>
        <v>27238.761751659724</v>
      </c>
      <c r="BF39" s="96">
        <f>Finstat!BF$43</f>
        <v>27132.130690617203</v>
      </c>
      <c r="BG39" s="96">
        <f>Finstat!BG$43</f>
        <v>27708.238269792957</v>
      </c>
      <c r="BH39" s="96">
        <f>Finstat!BH$43</f>
        <v>27730.379693491417</v>
      </c>
      <c r="BI39" s="96">
        <f>Finstat!BI$43</f>
        <v>27173.623053413656</v>
      </c>
      <c r="BJ39" s="96">
        <f>Finstat!BJ$43</f>
        <v>29384.936361395878</v>
      </c>
      <c r="BK39" s="96">
        <f>Finstat!BK$43</f>
        <v>27650.661466390051</v>
      </c>
      <c r="BL39" s="96">
        <f>Finstat!BL$43</f>
        <v>30054.355071744991</v>
      </c>
      <c r="BM39" s="96">
        <f>Finstat!BM$43</f>
        <v>28279.983539298279</v>
      </c>
      <c r="BN39" s="96">
        <f>Finstat!BN$43</f>
        <v>30746.866707974674</v>
      </c>
      <c r="BO39" s="96">
        <f>Finstat!BO$43</f>
        <v>28931.078249245016</v>
      </c>
      <c r="BP39" s="96">
        <f>Finstat!BP$43</f>
        <v>31462.428741065087</v>
      </c>
      <c r="BQ39" s="96">
        <f>Finstat!BQ$43</f>
        <v>29603.901052597634</v>
      </c>
      <c r="BR39" s="96">
        <f>Finstat!BR$43</f>
        <v>30914.484995175917</v>
      </c>
      <c r="BS39" s="96">
        <f>Finstat!BS$43</f>
        <v>31601.01961146824</v>
      </c>
      <c r="BT39" s="96">
        <f>Finstat!BT$43</f>
        <v>31972.652849087732</v>
      </c>
      <c r="BU39" s="96">
        <f>Finstat!BU$43</f>
        <v>32349.94987889695</v>
      </c>
      <c r="BV39" s="96">
        <f>Finstat!BV$43</f>
        <v>38197.796604595904</v>
      </c>
      <c r="BW39" s="96">
        <f>Finstat!BW$43</f>
        <v>0</v>
      </c>
      <c r="BX39" s="96">
        <f>Finstat!BX$43</f>
        <v>0</v>
      </c>
      <c r="BY39" s="96">
        <f>Finstat!BY$43</f>
        <v>0</v>
      </c>
      <c r="BZ39" s="96">
        <f>Finstat!BZ$43</f>
        <v>0</v>
      </c>
      <c r="CA39" s="96">
        <f>Finstat!CA$43</f>
        <v>0</v>
      </c>
    </row>
    <row r="40" spans="1:79" s="96" customFormat="1" x14ac:dyDescent="0.2">
      <c r="A40" s="92"/>
      <c r="B40" s="93"/>
      <c r="C40" s="94"/>
      <c r="D40" s="95"/>
      <c r="E40" s="96" t="str">
        <f>SrDebt!E$79</f>
        <v>Senior debt service</v>
      </c>
      <c r="F40" s="96">
        <f>SrDebt!F$79</f>
        <v>0</v>
      </c>
      <c r="G40" s="96">
        <f>SrDebt!G$79</f>
        <v>0</v>
      </c>
      <c r="H40" s="96">
        <f>SrDebt!H$79</f>
        <v>714998.25608077052</v>
      </c>
      <c r="I40" s="96">
        <f>SrDebt!I$79</f>
        <v>0</v>
      </c>
      <c r="J40" s="96">
        <f>SrDebt!J$79</f>
        <v>0</v>
      </c>
      <c r="K40" s="96">
        <f>SrDebt!K$79</f>
        <v>0</v>
      </c>
      <c r="L40" s="96">
        <f>SrDebt!L$79</f>
        <v>0</v>
      </c>
      <c r="M40" s="96">
        <f>SrDebt!M$79</f>
        <v>0</v>
      </c>
      <c r="N40" s="96">
        <f>SrDebt!N$79</f>
        <v>0</v>
      </c>
      <c r="O40" s="96">
        <f>SrDebt!O$79</f>
        <v>18366.220321521923</v>
      </c>
      <c r="P40" s="96">
        <f>SrDebt!P$79</f>
        <v>18441.423071309706</v>
      </c>
      <c r="Q40" s="96">
        <f>SrDebt!Q$79</f>
        <v>18644.973138297792</v>
      </c>
      <c r="R40" s="96">
        <f>SrDebt!R$79</f>
        <v>17479.294210142154</v>
      </c>
      <c r="S40" s="96">
        <f>SrDebt!S$79</f>
        <v>17590.408068105608</v>
      </c>
      <c r="T40" s="96">
        <f>SrDebt!T$79</f>
        <v>17254.65413264605</v>
      </c>
      <c r="U40" s="96">
        <f>SrDebt!U$79</f>
        <v>17328.582122808635</v>
      </c>
      <c r="V40" s="96">
        <f>SrDebt!V$79</f>
        <v>17209.0532376991</v>
      </c>
      <c r="W40" s="96">
        <f>SrDebt!W$79</f>
        <v>17275.937777527521</v>
      </c>
      <c r="X40" s="96">
        <f>SrDebt!X$79</f>
        <v>17471.936103951146</v>
      </c>
      <c r="Y40" s="96">
        <f>SrDebt!Y$79</f>
        <v>17372.343491207837</v>
      </c>
      <c r="Z40" s="96">
        <f>SrDebt!Z$79</f>
        <v>17186.051087753283</v>
      </c>
      <c r="AA40" s="96">
        <f>SrDebt!AA$79</f>
        <v>17254.565383558223</v>
      </c>
      <c r="AB40" s="96">
        <f>SrDebt!AB$79</f>
        <v>17166.235836870459</v>
      </c>
      <c r="AC40" s="96">
        <f>SrDebt!AC$79</f>
        <v>17250.321563540158</v>
      </c>
      <c r="AD40" s="96">
        <f>SrDebt!AD$79</f>
        <v>17508.516864334983</v>
      </c>
      <c r="AE40" s="96">
        <f>SrDebt!AE$79</f>
        <v>17622.583646493513</v>
      </c>
      <c r="AF40" s="96">
        <f>SrDebt!AF$79</f>
        <v>17533.495698509745</v>
      </c>
      <c r="AG40" s="96">
        <f>SrDebt!AG$79</f>
        <v>17659.535539426462</v>
      </c>
      <c r="AH40" s="96">
        <f>SrDebt!AH$79</f>
        <v>17574.368687505015</v>
      </c>
      <c r="AI40" s="96">
        <f>SrDebt!AI$79</f>
        <v>17582.807918947779</v>
      </c>
      <c r="AJ40" s="96">
        <f>SrDebt!AJ$79</f>
        <v>17498.948099047106</v>
      </c>
      <c r="AK40" s="96">
        <f>SrDebt!AK$79</f>
        <v>17644.165811034047</v>
      </c>
      <c r="AL40" s="96">
        <f>SrDebt!AL$79</f>
        <v>17562.952327570492</v>
      </c>
      <c r="AM40" s="96">
        <f>SrDebt!AM$79</f>
        <v>17715.899278297555</v>
      </c>
      <c r="AN40" s="96">
        <f>SrDebt!AN$79</f>
        <v>17892.493826881931</v>
      </c>
      <c r="AO40" s="96">
        <f>SrDebt!AO$79</f>
        <v>18071.452328442148</v>
      </c>
      <c r="AP40" s="96">
        <f>SrDebt!AP$79</f>
        <v>17974.134919586853</v>
      </c>
      <c r="AQ40" s="96">
        <f>SrDebt!AQ$79</f>
        <v>18159.87062421774</v>
      </c>
      <c r="AR40" s="96">
        <f>SrDebt!AR$79</f>
        <v>18057.728492224036</v>
      </c>
      <c r="AS40" s="96">
        <f>SrDebt!AS$79</f>
        <v>18246.812457895794</v>
      </c>
      <c r="AT40" s="96">
        <f>SrDebt!AT$79</f>
        <v>18142.871139848805</v>
      </c>
      <c r="AU40" s="96">
        <f>SrDebt!AU$79</f>
        <v>18338.054588284165</v>
      </c>
      <c r="AV40" s="96">
        <f>SrDebt!AV$79</f>
        <v>18228.336511429316</v>
      </c>
      <c r="AW40" s="96">
        <f>SrDebt!AW$79</f>
        <v>18425.641869873711</v>
      </c>
      <c r="AX40" s="96">
        <f>SrDebt!AX$79</f>
        <v>18703.119927024381</v>
      </c>
      <c r="AY40" s="96">
        <f>SrDebt!AY$79</f>
        <v>18926.880581741076</v>
      </c>
      <c r="AZ40" s="96">
        <f>SrDebt!AZ$79</f>
        <v>18781.340145798389</v>
      </c>
      <c r="BA40" s="96">
        <f>SrDebt!BA$79</f>
        <v>19003.527521230822</v>
      </c>
      <c r="BB40" s="96">
        <f>SrDebt!BB$79</f>
        <v>18850.717728184958</v>
      </c>
      <c r="BC40" s="96">
        <f>SrDebt!BC$79</f>
        <v>0</v>
      </c>
      <c r="BD40" s="96">
        <f>SrDebt!BD$79</f>
        <v>0</v>
      </c>
      <c r="BE40" s="96">
        <f>SrDebt!BE$79</f>
        <v>0</v>
      </c>
      <c r="BF40" s="96">
        <f>SrDebt!BF$79</f>
        <v>0</v>
      </c>
      <c r="BG40" s="96">
        <f>SrDebt!BG$79</f>
        <v>0</v>
      </c>
      <c r="BH40" s="96">
        <f>SrDebt!BH$79</f>
        <v>0</v>
      </c>
      <c r="BI40" s="96">
        <f>SrDebt!BI$79</f>
        <v>0</v>
      </c>
      <c r="BJ40" s="96">
        <f>SrDebt!BJ$79</f>
        <v>0</v>
      </c>
      <c r="BK40" s="96">
        <f>SrDebt!BK$79</f>
        <v>0</v>
      </c>
      <c r="BL40" s="96">
        <f>SrDebt!BL$79</f>
        <v>0</v>
      </c>
      <c r="BM40" s="96">
        <f>SrDebt!BM$79</f>
        <v>0</v>
      </c>
      <c r="BN40" s="96">
        <f>SrDebt!BN$79</f>
        <v>0</v>
      </c>
      <c r="BO40" s="96">
        <f>SrDebt!BO$79</f>
        <v>0</v>
      </c>
      <c r="BP40" s="96">
        <f>SrDebt!BP$79</f>
        <v>0</v>
      </c>
      <c r="BQ40" s="96">
        <f>SrDebt!BQ$79</f>
        <v>0</v>
      </c>
      <c r="BR40" s="96">
        <f>SrDebt!BR$79</f>
        <v>0</v>
      </c>
      <c r="BS40" s="96">
        <f>SrDebt!BS$79</f>
        <v>0</v>
      </c>
      <c r="BT40" s="96">
        <f>SrDebt!BT$79</f>
        <v>0</v>
      </c>
      <c r="BU40" s="96">
        <f>SrDebt!BU$79</f>
        <v>0</v>
      </c>
      <c r="BV40" s="96">
        <f>SrDebt!BV$79</f>
        <v>0</v>
      </c>
      <c r="BW40" s="96">
        <f>SrDebt!BW$79</f>
        <v>0</v>
      </c>
      <c r="BX40" s="96">
        <f>SrDebt!BX$79</f>
        <v>0</v>
      </c>
      <c r="BY40" s="96">
        <f>SrDebt!BY$79</f>
        <v>0</v>
      </c>
      <c r="BZ40" s="96">
        <f>SrDebt!BZ$79</f>
        <v>0</v>
      </c>
      <c r="CA40" s="96">
        <f>SrDebt!CA$79</f>
        <v>0</v>
      </c>
    </row>
    <row r="41" spans="1:79" s="375" customFormat="1" x14ac:dyDescent="0.2">
      <c r="A41" s="369"/>
      <c r="B41" s="369"/>
      <c r="C41" s="370"/>
      <c r="D41" s="374"/>
      <c r="E41" s="375" t="s">
        <v>300</v>
      </c>
      <c r="J41" s="375" t="str">
        <f t="shared" ref="J41:N41" si="8" xml:space="preserve"> IF(J38 = 1, SUM(K39:L39) / SUM(K40:L40), "n/a")</f>
        <v>n/a</v>
      </c>
      <c r="K41" s="375" t="str">
        <f t="shared" si="8"/>
        <v>n/a</v>
      </c>
      <c r="L41" s="375" t="str">
        <f t="shared" si="8"/>
        <v>n/a</v>
      </c>
      <c r="M41" s="375" t="str">
        <f t="shared" si="8"/>
        <v>n/a</v>
      </c>
      <c r="N41" s="375">
        <f t="shared" si="8"/>
        <v>1.3980636321178177</v>
      </c>
      <c r="O41" s="375">
        <f xml:space="preserve"> IF(O38 = 1, SUM(P39:Q39) / SUM(P40:Q40), "n/a")</f>
        <v>1.3981487148215184</v>
      </c>
      <c r="P41" s="375">
        <f t="shared" ref="P41:CA41" si="9" xml:space="preserve"> IF(P38 = 1, SUM(Q39:R39) / SUM(Q40:R40), "n/a")</f>
        <v>1.3981068422739056</v>
      </c>
      <c r="Q41" s="375">
        <f t="shared" si="9"/>
        <v>1.3980074488530481</v>
      </c>
      <c r="R41" s="375">
        <f t="shared" si="9"/>
        <v>1.3980281627774969</v>
      </c>
      <c r="S41" s="375">
        <f t="shared" si="9"/>
        <v>1.3981442296097797</v>
      </c>
      <c r="T41" s="375">
        <f t="shared" si="9"/>
        <v>1.3980401349689688</v>
      </c>
      <c r="U41" s="375">
        <f t="shared" si="9"/>
        <v>1.3979585275436719</v>
      </c>
      <c r="V41" s="375">
        <f t="shared" si="9"/>
        <v>1.3979781979237949</v>
      </c>
      <c r="W41" s="375">
        <f t="shared" si="9"/>
        <v>1.3980143167675976</v>
      </c>
      <c r="X41" s="375">
        <f t="shared" si="9"/>
        <v>1.3980060844710511</v>
      </c>
      <c r="Y41" s="375">
        <f t="shared" si="9"/>
        <v>1.3980203055033873</v>
      </c>
      <c r="Z41" s="375">
        <f t="shared" si="9"/>
        <v>1.3980347153403134</v>
      </c>
      <c r="AA41" s="375">
        <f t="shared" si="9"/>
        <v>1.3979842425964915</v>
      </c>
      <c r="AB41" s="375">
        <f t="shared" si="9"/>
        <v>1.3980096385200711</v>
      </c>
      <c r="AC41" s="375">
        <f t="shared" si="9"/>
        <v>1.3980977966064723</v>
      </c>
      <c r="AD41" s="375">
        <f t="shared" si="9"/>
        <v>1.3980947659524168</v>
      </c>
      <c r="AE41" s="375">
        <f t="shared" si="9"/>
        <v>1.3980602646288767</v>
      </c>
      <c r="AF41" s="375">
        <f t="shared" si="9"/>
        <v>1.3980745005786039</v>
      </c>
      <c r="AG41" s="375">
        <f t="shared" si="9"/>
        <v>1.3980255794601426</v>
      </c>
      <c r="AH41" s="375">
        <f t="shared" si="9"/>
        <v>1.3980456052476502</v>
      </c>
      <c r="AI41" s="375">
        <f t="shared" si="9"/>
        <v>1.3980719402397825</v>
      </c>
      <c r="AJ41" s="375">
        <f t="shared" si="9"/>
        <v>1.3980949766377468</v>
      </c>
      <c r="AK41" s="375">
        <f t="shared" si="9"/>
        <v>1.3981108446649495</v>
      </c>
      <c r="AL41" s="375">
        <f t="shared" si="9"/>
        <v>1.3980427308098706</v>
      </c>
      <c r="AM41" s="375">
        <f t="shared" si="9"/>
        <v>1.3980458732855368</v>
      </c>
      <c r="AN41" s="375">
        <f t="shared" si="9"/>
        <v>1.398024680608015</v>
      </c>
      <c r="AO41" s="375">
        <f t="shared" si="9"/>
        <v>1.3979584977998025</v>
      </c>
      <c r="AP41" s="375">
        <f t="shared" si="9"/>
        <v>1.3980011431861641</v>
      </c>
      <c r="AQ41" s="375">
        <f t="shared" si="9"/>
        <v>1.3980886935476329</v>
      </c>
      <c r="AR41" s="375">
        <f t="shared" si="9"/>
        <v>1.3981200661711017</v>
      </c>
      <c r="AS41" s="375">
        <f t="shared" si="9"/>
        <v>1.3980488942010989</v>
      </c>
      <c r="AT41" s="375">
        <f t="shared" si="9"/>
        <v>1.3980248422714217</v>
      </c>
      <c r="AU41" s="375">
        <f t="shared" si="9"/>
        <v>1.3980089178760673</v>
      </c>
      <c r="AV41" s="375">
        <f t="shared" si="9"/>
        <v>1.3980557889274106</v>
      </c>
      <c r="AW41" s="375">
        <f t="shared" si="9"/>
        <v>1.3980802744629983</v>
      </c>
      <c r="AX41" s="375">
        <f t="shared" si="9"/>
        <v>1.3980660826463736</v>
      </c>
      <c r="AY41" s="375">
        <f t="shared" si="9"/>
        <v>1.3981293911039063</v>
      </c>
      <c r="AZ41" s="375">
        <f t="shared" si="9"/>
        <v>1.3981218191930074</v>
      </c>
      <c r="BA41" s="375">
        <f t="shared" si="9"/>
        <v>2.8126633171754474</v>
      </c>
      <c r="BB41" s="375" t="str">
        <f t="shared" si="9"/>
        <v>n/a</v>
      </c>
      <c r="BC41" s="375" t="str">
        <f t="shared" si="9"/>
        <v>n/a</v>
      </c>
      <c r="BD41" s="375" t="str">
        <f t="shared" si="9"/>
        <v>n/a</v>
      </c>
      <c r="BE41" s="375" t="str">
        <f t="shared" si="9"/>
        <v>n/a</v>
      </c>
      <c r="BF41" s="375" t="str">
        <f t="shared" si="9"/>
        <v>n/a</v>
      </c>
      <c r="BG41" s="375" t="str">
        <f t="shared" si="9"/>
        <v>n/a</v>
      </c>
      <c r="BH41" s="375" t="str">
        <f t="shared" si="9"/>
        <v>n/a</v>
      </c>
      <c r="BI41" s="375" t="str">
        <f t="shared" si="9"/>
        <v>n/a</v>
      </c>
      <c r="BJ41" s="375" t="str">
        <f t="shared" si="9"/>
        <v>n/a</v>
      </c>
      <c r="BK41" s="375" t="str">
        <f t="shared" si="9"/>
        <v>n/a</v>
      </c>
      <c r="BL41" s="375" t="str">
        <f t="shared" si="9"/>
        <v>n/a</v>
      </c>
      <c r="BM41" s="375" t="str">
        <f t="shared" si="9"/>
        <v>n/a</v>
      </c>
      <c r="BN41" s="375" t="str">
        <f t="shared" si="9"/>
        <v>n/a</v>
      </c>
      <c r="BO41" s="375" t="str">
        <f t="shared" si="9"/>
        <v>n/a</v>
      </c>
      <c r="BP41" s="375" t="str">
        <f t="shared" si="9"/>
        <v>n/a</v>
      </c>
      <c r="BQ41" s="375" t="str">
        <f t="shared" si="9"/>
        <v>n/a</v>
      </c>
      <c r="BR41" s="375" t="str">
        <f t="shared" si="9"/>
        <v>n/a</v>
      </c>
      <c r="BS41" s="375" t="str">
        <f t="shared" si="9"/>
        <v>n/a</v>
      </c>
      <c r="BT41" s="375" t="str">
        <f t="shared" si="9"/>
        <v>n/a</v>
      </c>
      <c r="BU41" s="375" t="str">
        <f t="shared" si="9"/>
        <v>n/a</v>
      </c>
      <c r="BV41" s="375" t="str">
        <f t="shared" si="9"/>
        <v>n/a</v>
      </c>
      <c r="BW41" s="375" t="str">
        <f t="shared" si="9"/>
        <v>n/a</v>
      </c>
      <c r="BX41" s="375" t="str">
        <f t="shared" si="9"/>
        <v>n/a</v>
      </c>
      <c r="BY41" s="375" t="str">
        <f t="shared" si="9"/>
        <v>n/a</v>
      </c>
      <c r="BZ41" s="375" t="str">
        <f t="shared" si="9"/>
        <v>n/a</v>
      </c>
      <c r="CA41" s="375" t="str">
        <f t="shared" si="9"/>
        <v>n/a</v>
      </c>
    </row>
    <row r="43" spans="1:79" s="372" customFormat="1" x14ac:dyDescent="0.2">
      <c r="A43" s="368"/>
      <c r="B43" s="369"/>
      <c r="C43" s="370"/>
      <c r="D43" s="371"/>
      <c r="E43" s="372" t="str">
        <f xml:space="preserve"> "Minimum " &amp; E41</f>
        <v>Minimum 12-month FDSCR</v>
      </c>
      <c r="F43" s="385">
        <f xml:space="preserve"> MIN(J41:CA41)</f>
        <v>1.3979584977998025</v>
      </c>
      <c r="G43" s="372" t="s">
        <v>290</v>
      </c>
    </row>
  </sheetData>
  <printOptions heading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&amp;L&amp;"Arial,Bold"&amp;14Financial Mechanics Training Model&amp;C&amp;"Arial,Bold"&amp;14Sheet: &amp;A&amp;R&amp;"Arial,Bold"&amp;14STRICTLY NOT CONFIDENTIAL</oddHeader>
    <oddFooter>&amp;L&amp;12&amp;F (Printed on &amp;D at &amp;T) &amp;C&amp;12Page &amp;P of &amp;N&amp;R&amp;12© 2008 Financial Mechanics Ltd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CA64"/>
  <sheetViews>
    <sheetView defaultGridColor="0" colorId="22" workbookViewId="0">
      <pane xSplit="6" ySplit="4" topLeftCell="G5" activePane="bottomRight" state="frozen"/>
      <selection activeCell="G5" sqref="G5"/>
      <selection pane="topRight" activeCell="G5" sqref="G5"/>
      <selection pane="bottomLeft" activeCell="G5" sqref="G5"/>
      <selection pane="bottomRight" activeCell="G23" sqref="G23"/>
    </sheetView>
  </sheetViews>
  <sheetFormatPr defaultColWidth="0" defaultRowHeight="12.75" x14ac:dyDescent="0.2"/>
  <cols>
    <col min="1" max="1" width="1.28515625" style="81" customWidth="1"/>
    <col min="2" max="2" width="1.28515625" style="82" customWidth="1"/>
    <col min="3" max="3" width="1.28515625" style="83" customWidth="1"/>
    <col min="4" max="4" width="1.28515625" style="84" customWidth="1"/>
    <col min="5" max="5" width="40.7109375" style="85" customWidth="1"/>
    <col min="6" max="6" width="12.7109375" style="85" customWidth="1"/>
    <col min="7" max="8" width="11.7109375" style="85" customWidth="1"/>
    <col min="9" max="9" width="2.7109375" style="85" customWidth="1"/>
    <col min="10" max="79" width="11.7109375" style="85" customWidth="1"/>
    <col min="80" max="16384" width="0" style="85" hidden="1"/>
  </cols>
  <sheetData>
    <row r="1" spans="1:79" s="72" customFormat="1" x14ac:dyDescent="0.2">
      <c r="A1" s="69" t="str">
        <f ca="1" xml:space="preserve"> RIGHT(CELL("filename", A1), LEN(CELL("filename", A1)) - SEARCH("]", CELL("filename", A1)))</f>
        <v>Returns</v>
      </c>
      <c r="B1" s="69"/>
      <c r="C1" s="70"/>
      <c r="D1" s="71"/>
      <c r="F1" s="73"/>
      <c r="G1" s="73"/>
      <c r="H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</row>
    <row r="2" spans="1:79" s="74" customFormat="1" x14ac:dyDescent="0.2">
      <c r="A2" s="75"/>
      <c r="B2" s="75"/>
      <c r="C2" s="107"/>
      <c r="D2" s="77"/>
      <c r="E2" s="74" t="str">
        <f xml:space="preserve"> 'T&amp;E'!E$24</f>
        <v>Operating period flag</v>
      </c>
      <c r="F2" s="74">
        <f xml:space="preserve"> 'T&amp;E'!F$24</f>
        <v>0</v>
      </c>
      <c r="G2" s="74" t="str">
        <f xml:space="preserve"> 'T&amp;E'!G$24</f>
        <v>flag</v>
      </c>
      <c r="H2" s="74">
        <f xml:space="preserve"> 'T&amp;E'!H$24</f>
        <v>60</v>
      </c>
      <c r="I2" s="74">
        <f xml:space="preserve"> 'T&amp;E'!I$24</f>
        <v>0</v>
      </c>
      <c r="J2" s="74">
        <f xml:space="preserve"> 'T&amp;E'!J$24</f>
        <v>0</v>
      </c>
      <c r="K2" s="74">
        <f xml:space="preserve"> 'T&amp;E'!K$24</f>
        <v>0</v>
      </c>
      <c r="L2" s="74">
        <f xml:space="preserve"> 'T&amp;E'!L$24</f>
        <v>0</v>
      </c>
      <c r="M2" s="74">
        <f xml:space="preserve"> 'T&amp;E'!M$24</f>
        <v>0</v>
      </c>
      <c r="N2" s="74">
        <f xml:space="preserve"> 'T&amp;E'!N$24</f>
        <v>0</v>
      </c>
      <c r="O2" s="74">
        <f xml:space="preserve"> 'T&amp;E'!O$24</f>
        <v>1</v>
      </c>
      <c r="P2" s="74">
        <f xml:space="preserve"> 'T&amp;E'!P$24</f>
        <v>1</v>
      </c>
      <c r="Q2" s="74">
        <f xml:space="preserve"> 'T&amp;E'!Q$24</f>
        <v>1</v>
      </c>
      <c r="R2" s="74">
        <f xml:space="preserve"> 'T&amp;E'!R$24</f>
        <v>1</v>
      </c>
      <c r="S2" s="74">
        <f xml:space="preserve"> 'T&amp;E'!S$24</f>
        <v>1</v>
      </c>
      <c r="T2" s="74">
        <f xml:space="preserve"> 'T&amp;E'!T$24</f>
        <v>1</v>
      </c>
      <c r="U2" s="74">
        <f xml:space="preserve"> 'T&amp;E'!U$24</f>
        <v>1</v>
      </c>
      <c r="V2" s="74">
        <f xml:space="preserve"> 'T&amp;E'!V$24</f>
        <v>1</v>
      </c>
      <c r="W2" s="74">
        <f xml:space="preserve"> 'T&amp;E'!W$24</f>
        <v>1</v>
      </c>
      <c r="X2" s="74">
        <f xml:space="preserve"> 'T&amp;E'!X$24</f>
        <v>1</v>
      </c>
      <c r="Y2" s="74">
        <f xml:space="preserve"> 'T&amp;E'!Y$24</f>
        <v>1</v>
      </c>
      <c r="Z2" s="74">
        <f xml:space="preserve"> 'T&amp;E'!Z$24</f>
        <v>1</v>
      </c>
      <c r="AA2" s="74">
        <f xml:space="preserve"> 'T&amp;E'!AA$24</f>
        <v>1</v>
      </c>
      <c r="AB2" s="74">
        <f xml:space="preserve"> 'T&amp;E'!AB$24</f>
        <v>1</v>
      </c>
      <c r="AC2" s="74">
        <f xml:space="preserve"> 'T&amp;E'!AC$24</f>
        <v>1</v>
      </c>
      <c r="AD2" s="74">
        <f xml:space="preserve"> 'T&amp;E'!AD$24</f>
        <v>1</v>
      </c>
      <c r="AE2" s="74">
        <f xml:space="preserve"> 'T&amp;E'!AE$24</f>
        <v>1</v>
      </c>
      <c r="AF2" s="74">
        <f xml:space="preserve"> 'T&amp;E'!AF$24</f>
        <v>1</v>
      </c>
      <c r="AG2" s="74">
        <f xml:space="preserve"> 'T&amp;E'!AG$24</f>
        <v>1</v>
      </c>
      <c r="AH2" s="74">
        <f xml:space="preserve"> 'T&amp;E'!AH$24</f>
        <v>1</v>
      </c>
      <c r="AI2" s="74">
        <f xml:space="preserve"> 'T&amp;E'!AI$24</f>
        <v>1</v>
      </c>
      <c r="AJ2" s="74">
        <f xml:space="preserve"> 'T&amp;E'!AJ$24</f>
        <v>1</v>
      </c>
      <c r="AK2" s="74">
        <f xml:space="preserve"> 'T&amp;E'!AK$24</f>
        <v>1</v>
      </c>
      <c r="AL2" s="74">
        <f xml:space="preserve"> 'T&amp;E'!AL$24</f>
        <v>1</v>
      </c>
      <c r="AM2" s="74">
        <f xml:space="preserve"> 'T&amp;E'!AM$24</f>
        <v>1</v>
      </c>
      <c r="AN2" s="74">
        <f xml:space="preserve"> 'T&amp;E'!AN$24</f>
        <v>1</v>
      </c>
      <c r="AO2" s="74">
        <f xml:space="preserve"> 'T&amp;E'!AO$24</f>
        <v>1</v>
      </c>
      <c r="AP2" s="74">
        <f xml:space="preserve"> 'T&amp;E'!AP$24</f>
        <v>1</v>
      </c>
      <c r="AQ2" s="74">
        <f xml:space="preserve"> 'T&amp;E'!AQ$24</f>
        <v>1</v>
      </c>
      <c r="AR2" s="74">
        <f xml:space="preserve"> 'T&amp;E'!AR$24</f>
        <v>1</v>
      </c>
      <c r="AS2" s="74">
        <f xml:space="preserve"> 'T&amp;E'!AS$24</f>
        <v>1</v>
      </c>
      <c r="AT2" s="74">
        <f xml:space="preserve"> 'T&amp;E'!AT$24</f>
        <v>1</v>
      </c>
      <c r="AU2" s="74">
        <f xml:space="preserve"> 'T&amp;E'!AU$24</f>
        <v>1</v>
      </c>
      <c r="AV2" s="74">
        <f xml:space="preserve"> 'T&amp;E'!AV$24</f>
        <v>1</v>
      </c>
      <c r="AW2" s="74">
        <f xml:space="preserve"> 'T&amp;E'!AW$24</f>
        <v>1</v>
      </c>
      <c r="AX2" s="74">
        <f xml:space="preserve"> 'T&amp;E'!AX$24</f>
        <v>1</v>
      </c>
      <c r="AY2" s="74">
        <f xml:space="preserve"> 'T&amp;E'!AY$24</f>
        <v>1</v>
      </c>
      <c r="AZ2" s="74">
        <f xml:space="preserve"> 'T&amp;E'!AZ$24</f>
        <v>1</v>
      </c>
      <c r="BA2" s="74">
        <f xml:space="preserve"> 'T&amp;E'!BA$24</f>
        <v>1</v>
      </c>
      <c r="BB2" s="74">
        <f xml:space="preserve"> 'T&amp;E'!BB$24</f>
        <v>1</v>
      </c>
      <c r="BC2" s="74">
        <f xml:space="preserve"> 'T&amp;E'!BC$24</f>
        <v>1</v>
      </c>
      <c r="BD2" s="74">
        <f xml:space="preserve"> 'T&amp;E'!BD$24</f>
        <v>1</v>
      </c>
      <c r="BE2" s="74">
        <f xml:space="preserve"> 'T&amp;E'!BE$24</f>
        <v>1</v>
      </c>
      <c r="BF2" s="74">
        <f xml:space="preserve"> 'T&amp;E'!BF$24</f>
        <v>1</v>
      </c>
      <c r="BG2" s="74">
        <f xml:space="preserve"> 'T&amp;E'!BG$24</f>
        <v>1</v>
      </c>
      <c r="BH2" s="74">
        <f xml:space="preserve"> 'T&amp;E'!BH$24</f>
        <v>1</v>
      </c>
      <c r="BI2" s="74">
        <f xml:space="preserve"> 'T&amp;E'!BI$24</f>
        <v>1</v>
      </c>
      <c r="BJ2" s="74">
        <f xml:space="preserve"> 'T&amp;E'!BJ$24</f>
        <v>1</v>
      </c>
      <c r="BK2" s="74">
        <f xml:space="preserve"> 'T&amp;E'!BK$24</f>
        <v>1</v>
      </c>
      <c r="BL2" s="74">
        <f xml:space="preserve"> 'T&amp;E'!BL$24</f>
        <v>1</v>
      </c>
      <c r="BM2" s="74">
        <f xml:space="preserve"> 'T&amp;E'!BM$24</f>
        <v>1</v>
      </c>
      <c r="BN2" s="74">
        <f xml:space="preserve"> 'T&amp;E'!BN$24</f>
        <v>1</v>
      </c>
      <c r="BO2" s="74">
        <f xml:space="preserve"> 'T&amp;E'!BO$24</f>
        <v>1</v>
      </c>
      <c r="BP2" s="74">
        <f xml:space="preserve"> 'T&amp;E'!BP$24</f>
        <v>1</v>
      </c>
      <c r="BQ2" s="74">
        <f xml:space="preserve"> 'T&amp;E'!BQ$24</f>
        <v>1</v>
      </c>
      <c r="BR2" s="74">
        <f xml:space="preserve"> 'T&amp;E'!BR$24</f>
        <v>1</v>
      </c>
      <c r="BS2" s="74">
        <f xml:space="preserve"> 'T&amp;E'!BS$24</f>
        <v>1</v>
      </c>
      <c r="BT2" s="74">
        <f xml:space="preserve"> 'T&amp;E'!BT$24</f>
        <v>1</v>
      </c>
      <c r="BU2" s="74">
        <f xml:space="preserve"> 'T&amp;E'!BU$24</f>
        <v>1</v>
      </c>
      <c r="BV2" s="74">
        <f xml:space="preserve"> 'T&amp;E'!BV$24</f>
        <v>1</v>
      </c>
      <c r="BW2" s="74">
        <f xml:space="preserve"> 'T&amp;E'!BW$24</f>
        <v>0</v>
      </c>
      <c r="BX2" s="74">
        <f xml:space="preserve"> 'T&amp;E'!BX$24</f>
        <v>0</v>
      </c>
      <c r="BY2" s="74">
        <f xml:space="preserve"> 'T&amp;E'!BY$24</f>
        <v>0</v>
      </c>
      <c r="BZ2" s="74">
        <f xml:space="preserve"> 'T&amp;E'!BZ$24</f>
        <v>0</v>
      </c>
      <c r="CA2" s="74">
        <f xml:space="preserve"> 'T&amp;E'!CA$24</f>
        <v>0</v>
      </c>
    </row>
    <row r="3" spans="1:79" s="74" customFormat="1" x14ac:dyDescent="0.2">
      <c r="A3" s="75"/>
      <c r="B3" s="75"/>
      <c r="C3" s="107"/>
      <c r="D3" s="77"/>
      <c r="E3" s="74" t="str">
        <f>'T&amp;E'!E$8</f>
        <v>Model column counter</v>
      </c>
      <c r="F3" s="74">
        <f>'T&amp;E'!F$8</f>
        <v>0</v>
      </c>
      <c r="G3" s="74">
        <f>'T&amp;E'!G$8</f>
        <v>0</v>
      </c>
      <c r="H3" s="74">
        <f>'T&amp;E'!H$8</f>
        <v>0</v>
      </c>
      <c r="I3" s="74">
        <f>'T&amp;E'!I$8</f>
        <v>0</v>
      </c>
      <c r="J3" s="74">
        <f>'T&amp;E'!J$8</f>
        <v>1</v>
      </c>
      <c r="K3" s="74">
        <f>'T&amp;E'!K$8</f>
        <v>2</v>
      </c>
      <c r="L3" s="74">
        <f>'T&amp;E'!L$8</f>
        <v>3</v>
      </c>
      <c r="M3" s="74">
        <f>'T&amp;E'!M$8</f>
        <v>4</v>
      </c>
      <c r="N3" s="74">
        <f>'T&amp;E'!N$8</f>
        <v>5</v>
      </c>
      <c r="O3" s="74">
        <f>'T&amp;E'!O$8</f>
        <v>6</v>
      </c>
      <c r="P3" s="74">
        <f>'T&amp;E'!P$8</f>
        <v>7</v>
      </c>
      <c r="Q3" s="74">
        <f>'T&amp;E'!Q$8</f>
        <v>8</v>
      </c>
      <c r="R3" s="74">
        <f>'T&amp;E'!R$8</f>
        <v>9</v>
      </c>
      <c r="S3" s="74">
        <f>'T&amp;E'!S$8</f>
        <v>10</v>
      </c>
      <c r="T3" s="74">
        <f>'T&amp;E'!T$8</f>
        <v>11</v>
      </c>
      <c r="U3" s="74">
        <f>'T&amp;E'!U$8</f>
        <v>12</v>
      </c>
      <c r="V3" s="74">
        <f>'T&amp;E'!V$8</f>
        <v>13</v>
      </c>
      <c r="W3" s="74">
        <f>'T&amp;E'!W$8</f>
        <v>14</v>
      </c>
      <c r="X3" s="74">
        <f>'T&amp;E'!X$8</f>
        <v>15</v>
      </c>
      <c r="Y3" s="74">
        <f>'T&amp;E'!Y$8</f>
        <v>16</v>
      </c>
      <c r="Z3" s="74">
        <f>'T&amp;E'!Z$8</f>
        <v>17</v>
      </c>
      <c r="AA3" s="74">
        <f>'T&amp;E'!AA$8</f>
        <v>18</v>
      </c>
      <c r="AB3" s="74">
        <f>'T&amp;E'!AB$8</f>
        <v>19</v>
      </c>
      <c r="AC3" s="74">
        <f>'T&amp;E'!AC$8</f>
        <v>20</v>
      </c>
      <c r="AD3" s="74">
        <f>'T&amp;E'!AD$8</f>
        <v>21</v>
      </c>
      <c r="AE3" s="74">
        <f>'T&amp;E'!AE$8</f>
        <v>22</v>
      </c>
      <c r="AF3" s="74">
        <f>'T&amp;E'!AF$8</f>
        <v>23</v>
      </c>
      <c r="AG3" s="74">
        <f>'T&amp;E'!AG$8</f>
        <v>24</v>
      </c>
      <c r="AH3" s="74">
        <f>'T&amp;E'!AH$8</f>
        <v>25</v>
      </c>
      <c r="AI3" s="74">
        <f>'T&amp;E'!AI$8</f>
        <v>26</v>
      </c>
      <c r="AJ3" s="74">
        <f>'T&amp;E'!AJ$8</f>
        <v>27</v>
      </c>
      <c r="AK3" s="74">
        <f>'T&amp;E'!AK$8</f>
        <v>28</v>
      </c>
      <c r="AL3" s="74">
        <f>'T&amp;E'!AL$8</f>
        <v>29</v>
      </c>
      <c r="AM3" s="74">
        <f>'T&amp;E'!AM$8</f>
        <v>30</v>
      </c>
      <c r="AN3" s="74">
        <f>'T&amp;E'!AN$8</f>
        <v>31</v>
      </c>
      <c r="AO3" s="74">
        <f>'T&amp;E'!AO$8</f>
        <v>32</v>
      </c>
      <c r="AP3" s="74">
        <f>'T&amp;E'!AP$8</f>
        <v>33</v>
      </c>
      <c r="AQ3" s="74">
        <f>'T&amp;E'!AQ$8</f>
        <v>34</v>
      </c>
      <c r="AR3" s="74">
        <f>'T&amp;E'!AR$8</f>
        <v>35</v>
      </c>
      <c r="AS3" s="74">
        <f>'T&amp;E'!AS$8</f>
        <v>36</v>
      </c>
      <c r="AT3" s="74">
        <f>'T&amp;E'!AT$8</f>
        <v>37</v>
      </c>
      <c r="AU3" s="74">
        <f>'T&amp;E'!AU$8</f>
        <v>38</v>
      </c>
      <c r="AV3" s="74">
        <f>'T&amp;E'!AV$8</f>
        <v>39</v>
      </c>
      <c r="AW3" s="74">
        <f>'T&amp;E'!AW$8</f>
        <v>40</v>
      </c>
      <c r="AX3" s="74">
        <f>'T&amp;E'!AX$8</f>
        <v>41</v>
      </c>
      <c r="AY3" s="74">
        <f>'T&amp;E'!AY$8</f>
        <v>42</v>
      </c>
      <c r="AZ3" s="74">
        <f>'T&amp;E'!AZ$8</f>
        <v>43</v>
      </c>
      <c r="BA3" s="74">
        <f>'T&amp;E'!BA$8</f>
        <v>44</v>
      </c>
      <c r="BB3" s="74">
        <f>'T&amp;E'!BB$8</f>
        <v>45</v>
      </c>
      <c r="BC3" s="74">
        <f>'T&amp;E'!BC$8</f>
        <v>46</v>
      </c>
      <c r="BD3" s="74">
        <f>'T&amp;E'!BD$8</f>
        <v>47</v>
      </c>
      <c r="BE3" s="74">
        <f>'T&amp;E'!BE$8</f>
        <v>48</v>
      </c>
      <c r="BF3" s="74">
        <f>'T&amp;E'!BF$8</f>
        <v>49</v>
      </c>
      <c r="BG3" s="74">
        <f>'T&amp;E'!BG$8</f>
        <v>50</v>
      </c>
      <c r="BH3" s="74">
        <f>'T&amp;E'!BH$8</f>
        <v>51</v>
      </c>
      <c r="BI3" s="74">
        <f>'T&amp;E'!BI$8</f>
        <v>52</v>
      </c>
      <c r="BJ3" s="74">
        <f>'T&amp;E'!BJ$8</f>
        <v>53</v>
      </c>
      <c r="BK3" s="74">
        <f>'T&amp;E'!BK$8</f>
        <v>54</v>
      </c>
      <c r="BL3" s="74">
        <f>'T&amp;E'!BL$8</f>
        <v>55</v>
      </c>
      <c r="BM3" s="74">
        <f>'T&amp;E'!BM$8</f>
        <v>56</v>
      </c>
      <c r="BN3" s="74">
        <f>'T&amp;E'!BN$8</f>
        <v>57</v>
      </c>
      <c r="BO3" s="74">
        <f>'T&amp;E'!BO$8</f>
        <v>58</v>
      </c>
      <c r="BP3" s="74">
        <f>'T&amp;E'!BP$8</f>
        <v>59</v>
      </c>
      <c r="BQ3" s="74">
        <f>'T&amp;E'!BQ$8</f>
        <v>60</v>
      </c>
      <c r="BR3" s="74">
        <f>'T&amp;E'!BR$8</f>
        <v>61</v>
      </c>
      <c r="BS3" s="74">
        <f>'T&amp;E'!BS$8</f>
        <v>62</v>
      </c>
      <c r="BT3" s="74">
        <f>'T&amp;E'!BT$8</f>
        <v>63</v>
      </c>
      <c r="BU3" s="74">
        <f>'T&amp;E'!BU$8</f>
        <v>64</v>
      </c>
      <c r="BV3" s="74">
        <f>'T&amp;E'!BV$8</f>
        <v>65</v>
      </c>
      <c r="BW3" s="74">
        <f>'T&amp;E'!BW$8</f>
        <v>66</v>
      </c>
      <c r="BX3" s="74">
        <f>'T&amp;E'!BX$8</f>
        <v>67</v>
      </c>
      <c r="BY3" s="74">
        <f>'T&amp;E'!BY$8</f>
        <v>68</v>
      </c>
      <c r="BZ3" s="74">
        <f>'T&amp;E'!BZ$8</f>
        <v>69</v>
      </c>
      <c r="CA3" s="74">
        <f>'T&amp;E'!CA$8</f>
        <v>70</v>
      </c>
    </row>
    <row r="4" spans="1:79" s="78" customFormat="1" x14ac:dyDescent="0.2">
      <c r="C4" s="79"/>
      <c r="D4" s="80"/>
      <c r="E4" s="78" t="str">
        <f xml:space="preserve"> 'T&amp;E'!E$12</f>
        <v>Model period ending</v>
      </c>
      <c r="F4" s="80" t="str">
        <f xml:space="preserve"> 'T&amp;E'!F$12</f>
        <v>constant</v>
      </c>
      <c r="G4" s="78" t="str">
        <f xml:space="preserve"> 'T&amp;E'!G$12</f>
        <v>unit</v>
      </c>
      <c r="H4" s="80" t="str">
        <f xml:space="preserve"> 'T&amp;E'!H$12</f>
        <v>total</v>
      </c>
      <c r="I4" s="78">
        <f xml:space="preserve"> 'T&amp;E'!I$12</f>
        <v>0</v>
      </c>
      <c r="J4" s="78">
        <f xml:space="preserve"> 'T&amp;E'!J$12</f>
        <v>41639</v>
      </c>
      <c r="K4" s="78">
        <f xml:space="preserve"> 'T&amp;E'!K$12</f>
        <v>41820</v>
      </c>
      <c r="L4" s="78">
        <f xml:space="preserve"> 'T&amp;E'!L$12</f>
        <v>42004</v>
      </c>
      <c r="M4" s="78">
        <f xml:space="preserve"> 'T&amp;E'!M$12</f>
        <v>42185</v>
      </c>
      <c r="N4" s="78">
        <f xml:space="preserve"> 'T&amp;E'!N$12</f>
        <v>42369</v>
      </c>
      <c r="O4" s="78">
        <f xml:space="preserve"> 'T&amp;E'!O$12</f>
        <v>42551</v>
      </c>
      <c r="P4" s="78">
        <f xml:space="preserve"> 'T&amp;E'!P$12</f>
        <v>42735</v>
      </c>
      <c r="Q4" s="78">
        <f xml:space="preserve"> 'T&amp;E'!Q$12</f>
        <v>42916</v>
      </c>
      <c r="R4" s="78">
        <f xml:space="preserve"> 'T&amp;E'!R$12</f>
        <v>43100</v>
      </c>
      <c r="S4" s="78">
        <f xml:space="preserve"> 'T&amp;E'!S$12</f>
        <v>43281</v>
      </c>
      <c r="T4" s="78">
        <f xml:space="preserve"> 'T&amp;E'!T$12</f>
        <v>43465</v>
      </c>
      <c r="U4" s="78">
        <f xml:space="preserve"> 'T&amp;E'!U$12</f>
        <v>43646</v>
      </c>
      <c r="V4" s="78">
        <f xml:space="preserve"> 'T&amp;E'!V$12</f>
        <v>43830</v>
      </c>
      <c r="W4" s="78">
        <f xml:space="preserve"> 'T&amp;E'!W$12</f>
        <v>44012</v>
      </c>
      <c r="X4" s="78">
        <f xml:space="preserve"> 'T&amp;E'!X$12</f>
        <v>44196</v>
      </c>
      <c r="Y4" s="78">
        <f xml:space="preserve"> 'T&amp;E'!Y$12</f>
        <v>44377</v>
      </c>
      <c r="Z4" s="78">
        <f xml:space="preserve"> 'T&amp;E'!Z$12</f>
        <v>44561</v>
      </c>
      <c r="AA4" s="78">
        <f xml:space="preserve"> 'T&amp;E'!AA$12</f>
        <v>44742</v>
      </c>
      <c r="AB4" s="78">
        <f xml:space="preserve"> 'T&amp;E'!AB$12</f>
        <v>44926</v>
      </c>
      <c r="AC4" s="78">
        <f xml:space="preserve"> 'T&amp;E'!AC$12</f>
        <v>45107</v>
      </c>
      <c r="AD4" s="78">
        <f xml:space="preserve"> 'T&amp;E'!AD$12</f>
        <v>45291</v>
      </c>
      <c r="AE4" s="78">
        <f xml:space="preserve"> 'T&amp;E'!AE$12</f>
        <v>45473</v>
      </c>
      <c r="AF4" s="78">
        <f xml:space="preserve"> 'T&amp;E'!AF$12</f>
        <v>45657</v>
      </c>
      <c r="AG4" s="78">
        <f xml:space="preserve"> 'T&amp;E'!AG$12</f>
        <v>45838</v>
      </c>
      <c r="AH4" s="78">
        <f xml:space="preserve"> 'T&amp;E'!AH$12</f>
        <v>46022</v>
      </c>
      <c r="AI4" s="78">
        <f xml:space="preserve"> 'T&amp;E'!AI$12</f>
        <v>46203</v>
      </c>
      <c r="AJ4" s="78">
        <f xml:space="preserve"> 'T&amp;E'!AJ$12</f>
        <v>46387</v>
      </c>
      <c r="AK4" s="78">
        <f xml:space="preserve"> 'T&amp;E'!AK$12</f>
        <v>46568</v>
      </c>
      <c r="AL4" s="78">
        <f xml:space="preserve"> 'T&amp;E'!AL$12</f>
        <v>46752</v>
      </c>
      <c r="AM4" s="78">
        <f xml:space="preserve"> 'T&amp;E'!AM$12</f>
        <v>46934</v>
      </c>
      <c r="AN4" s="78">
        <f xml:space="preserve"> 'T&amp;E'!AN$12</f>
        <v>47118</v>
      </c>
      <c r="AO4" s="78">
        <f xml:space="preserve"> 'T&amp;E'!AO$12</f>
        <v>47299</v>
      </c>
      <c r="AP4" s="78">
        <f xml:space="preserve"> 'T&amp;E'!AP$12</f>
        <v>47483</v>
      </c>
      <c r="AQ4" s="78">
        <f xml:space="preserve"> 'T&amp;E'!AQ$12</f>
        <v>47664</v>
      </c>
      <c r="AR4" s="78">
        <f xml:space="preserve"> 'T&amp;E'!AR$12</f>
        <v>47848</v>
      </c>
      <c r="AS4" s="78">
        <f xml:space="preserve"> 'T&amp;E'!AS$12</f>
        <v>48029</v>
      </c>
      <c r="AT4" s="78">
        <f xml:space="preserve"> 'T&amp;E'!AT$12</f>
        <v>48213</v>
      </c>
      <c r="AU4" s="78">
        <f xml:space="preserve"> 'T&amp;E'!AU$12</f>
        <v>48395</v>
      </c>
      <c r="AV4" s="78">
        <f xml:space="preserve"> 'T&amp;E'!AV$12</f>
        <v>48579</v>
      </c>
      <c r="AW4" s="78">
        <f xml:space="preserve"> 'T&amp;E'!AW$12</f>
        <v>48760</v>
      </c>
      <c r="AX4" s="78">
        <f xml:space="preserve"> 'T&amp;E'!AX$12</f>
        <v>48944</v>
      </c>
      <c r="AY4" s="78">
        <f xml:space="preserve"> 'T&amp;E'!AY$12</f>
        <v>49125</v>
      </c>
      <c r="AZ4" s="78">
        <f xml:space="preserve"> 'T&amp;E'!AZ$12</f>
        <v>49309</v>
      </c>
      <c r="BA4" s="78">
        <f xml:space="preserve"> 'T&amp;E'!BA$12</f>
        <v>49490</v>
      </c>
      <c r="BB4" s="78">
        <f xml:space="preserve"> 'T&amp;E'!BB$12</f>
        <v>49674</v>
      </c>
      <c r="BC4" s="78">
        <f xml:space="preserve"> 'T&amp;E'!BC$12</f>
        <v>49856</v>
      </c>
      <c r="BD4" s="78">
        <f xml:space="preserve"> 'T&amp;E'!BD$12</f>
        <v>50040</v>
      </c>
      <c r="BE4" s="78">
        <f xml:space="preserve"> 'T&amp;E'!BE$12</f>
        <v>50221</v>
      </c>
      <c r="BF4" s="78">
        <f xml:space="preserve"> 'T&amp;E'!BF$12</f>
        <v>50405</v>
      </c>
      <c r="BG4" s="78">
        <f xml:space="preserve"> 'T&amp;E'!BG$12</f>
        <v>50586</v>
      </c>
      <c r="BH4" s="78">
        <f xml:space="preserve"> 'T&amp;E'!BH$12</f>
        <v>50770</v>
      </c>
      <c r="BI4" s="78">
        <f xml:space="preserve"> 'T&amp;E'!BI$12</f>
        <v>50951</v>
      </c>
      <c r="BJ4" s="78">
        <f xml:space="preserve"> 'T&amp;E'!BJ$12</f>
        <v>51135</v>
      </c>
      <c r="BK4" s="78">
        <f xml:space="preserve"> 'T&amp;E'!BK$12</f>
        <v>51317</v>
      </c>
      <c r="BL4" s="78">
        <f xml:space="preserve"> 'T&amp;E'!BL$12</f>
        <v>51501</v>
      </c>
      <c r="BM4" s="78">
        <f xml:space="preserve"> 'T&amp;E'!BM$12</f>
        <v>51682</v>
      </c>
      <c r="BN4" s="78">
        <f xml:space="preserve"> 'T&amp;E'!BN$12</f>
        <v>51866</v>
      </c>
      <c r="BO4" s="78">
        <f xml:space="preserve"> 'T&amp;E'!BO$12</f>
        <v>52047</v>
      </c>
      <c r="BP4" s="78">
        <f xml:space="preserve"> 'T&amp;E'!BP$12</f>
        <v>52231</v>
      </c>
      <c r="BQ4" s="78">
        <f xml:space="preserve"> 'T&amp;E'!BQ$12</f>
        <v>52412</v>
      </c>
      <c r="BR4" s="78">
        <f xml:space="preserve"> 'T&amp;E'!BR$12</f>
        <v>52596</v>
      </c>
      <c r="BS4" s="78">
        <f xml:space="preserve"> 'T&amp;E'!BS$12</f>
        <v>52778</v>
      </c>
      <c r="BT4" s="78">
        <f xml:space="preserve"> 'T&amp;E'!BT$12</f>
        <v>52962</v>
      </c>
      <c r="BU4" s="78">
        <f xml:space="preserve"> 'T&amp;E'!BU$12</f>
        <v>53143</v>
      </c>
      <c r="BV4" s="78">
        <f xml:space="preserve"> 'T&amp;E'!BV$12</f>
        <v>53327</v>
      </c>
      <c r="BW4" s="78">
        <f xml:space="preserve"> 'T&amp;E'!BW$12</f>
        <v>53508</v>
      </c>
      <c r="BX4" s="78">
        <f xml:space="preserve"> 'T&amp;E'!BX$12</f>
        <v>53692</v>
      </c>
      <c r="BY4" s="78">
        <f xml:space="preserve"> 'T&amp;E'!BY$12</f>
        <v>53873</v>
      </c>
      <c r="BZ4" s="78">
        <f xml:space="preserve"> 'T&amp;E'!BZ$12</f>
        <v>54057</v>
      </c>
      <c r="CA4" s="78">
        <f xml:space="preserve"> 'T&amp;E'!CA$12</f>
        <v>54239</v>
      </c>
    </row>
    <row r="6" spans="1:79" x14ac:dyDescent="0.2">
      <c r="A6" s="81" t="s">
        <v>265</v>
      </c>
    </row>
    <row r="8" spans="1:79" x14ac:dyDescent="0.2">
      <c r="B8" s="82" t="s">
        <v>267</v>
      </c>
    </row>
    <row r="10" spans="1:79" s="219" customFormat="1" x14ac:dyDescent="0.2">
      <c r="A10" s="148"/>
      <c r="B10" s="148"/>
      <c r="C10" s="149"/>
      <c r="D10" s="218"/>
      <c r="E10" s="219" t="s">
        <v>352</v>
      </c>
    </row>
    <row r="11" spans="1:79" s="96" customFormat="1" x14ac:dyDescent="0.2">
      <c r="A11" s="92"/>
      <c r="B11" s="93"/>
      <c r="C11" s="94"/>
      <c r="D11" s="95"/>
      <c r="E11" s="96" t="str">
        <f xml:space="preserve"> Equity!E$20</f>
        <v>Shareholder loan repayment POS</v>
      </c>
      <c r="F11" s="96">
        <f xml:space="preserve"> Equity!F$20</f>
        <v>0</v>
      </c>
      <c r="G11" s="96">
        <f xml:space="preserve"> Equity!G$20</f>
        <v>0</v>
      </c>
      <c r="H11" s="96">
        <f xml:space="preserve"> Equity!H$20</f>
        <v>0</v>
      </c>
      <c r="I11" s="96">
        <f xml:space="preserve"> Equity!I$20</f>
        <v>0</v>
      </c>
      <c r="J11" s="96">
        <f xml:space="preserve"> Equity!J$20</f>
        <v>0</v>
      </c>
      <c r="K11" s="96">
        <f xml:space="preserve"> Equity!K$20</f>
        <v>0</v>
      </c>
      <c r="L11" s="96">
        <f xml:space="preserve"> Equity!L$20</f>
        <v>0</v>
      </c>
      <c r="M11" s="96">
        <f xml:space="preserve"> Equity!M$20</f>
        <v>0</v>
      </c>
      <c r="N11" s="96">
        <f xml:space="preserve"> Equity!N$20</f>
        <v>0</v>
      </c>
      <c r="O11" s="96">
        <f xml:space="preserve"> Equity!O$20</f>
        <v>0</v>
      </c>
      <c r="P11" s="96">
        <f xml:space="preserve"> Equity!P$20</f>
        <v>4006.8110803501586</v>
      </c>
      <c r="Q11" s="96">
        <f xml:space="preserve"> Equity!Q$20</f>
        <v>8588.7100229398784</v>
      </c>
      <c r="R11" s="96">
        <f xml:space="preserve"> Equity!R$20</f>
        <v>6847.1730507980828</v>
      </c>
      <c r="S11" s="96">
        <f xml:space="preserve"> Equity!S$20</f>
        <v>7335.4697624993314</v>
      </c>
      <c r="T11" s="96">
        <f xml:space="preserve"> Equity!T$20</f>
        <v>6795.67227243042</v>
      </c>
      <c r="U11" s="96">
        <f xml:space="preserve"> Equity!U$20</f>
        <v>7019.0445788575416</v>
      </c>
      <c r="V11" s="96">
        <f xml:space="preserve"> Equity!V$20</f>
        <v>6780.964806829099</v>
      </c>
      <c r="W11" s="96">
        <f xml:space="preserve"> Equity!W$20</f>
        <v>6679.7485736952076</v>
      </c>
      <c r="X11" s="96">
        <f xml:space="preserve"> Equity!X$20</f>
        <v>7052.741941658649</v>
      </c>
      <c r="Y11" s="96">
        <f xml:space="preserve"> Equity!Y$20</f>
        <v>7101.6652108655544</v>
      </c>
      <c r="Z11" s="96">
        <f xml:space="preserve"> Equity!Z$20</f>
        <v>6770.5642087619708</v>
      </c>
      <c r="AA11" s="96">
        <f xml:space="preserve"> Equity!AA$20</f>
        <v>4702.423426889065</v>
      </c>
      <c r="AB11" s="96">
        <f xml:space="preserve"> Equity!AB$20</f>
        <v>0</v>
      </c>
      <c r="AC11" s="96">
        <f xml:space="preserve"> Equity!AC$20</f>
        <v>0</v>
      </c>
      <c r="AD11" s="96">
        <f xml:space="preserve"> Equity!AD$20</f>
        <v>0</v>
      </c>
      <c r="AE11" s="96">
        <f xml:space="preserve"> Equity!AE$20</f>
        <v>0</v>
      </c>
      <c r="AF11" s="96">
        <f xml:space="preserve"> Equity!AF$20</f>
        <v>0</v>
      </c>
      <c r="AG11" s="96">
        <f xml:space="preserve"> Equity!AG$20</f>
        <v>0</v>
      </c>
      <c r="AH11" s="96">
        <f xml:space="preserve"> Equity!AH$20</f>
        <v>0</v>
      </c>
      <c r="AI11" s="96">
        <f xml:space="preserve"> Equity!AI$20</f>
        <v>0</v>
      </c>
      <c r="AJ11" s="96">
        <f xml:space="preserve"> Equity!AJ$20</f>
        <v>0</v>
      </c>
      <c r="AK11" s="96">
        <f xml:space="preserve"> Equity!AK$20</f>
        <v>0</v>
      </c>
      <c r="AL11" s="96">
        <f xml:space="preserve"> Equity!AL$20</f>
        <v>0</v>
      </c>
      <c r="AM11" s="96">
        <f xml:space="preserve"> Equity!AM$20</f>
        <v>0</v>
      </c>
      <c r="AN11" s="96">
        <f xml:space="preserve"> Equity!AN$20</f>
        <v>0</v>
      </c>
      <c r="AO11" s="96">
        <f xml:space="preserve"> Equity!AO$20</f>
        <v>0</v>
      </c>
      <c r="AP11" s="96">
        <f xml:space="preserve"> Equity!AP$20</f>
        <v>0</v>
      </c>
      <c r="AQ11" s="96">
        <f xml:space="preserve"> Equity!AQ$20</f>
        <v>0</v>
      </c>
      <c r="AR11" s="96">
        <f xml:space="preserve"> Equity!AR$20</f>
        <v>0</v>
      </c>
      <c r="AS11" s="96">
        <f xml:space="preserve"> Equity!AS$20</f>
        <v>0</v>
      </c>
      <c r="AT11" s="96">
        <f xml:space="preserve"> Equity!AT$20</f>
        <v>0</v>
      </c>
      <c r="AU11" s="96">
        <f xml:space="preserve"> Equity!AU$20</f>
        <v>0</v>
      </c>
      <c r="AV11" s="96">
        <f xml:space="preserve"> Equity!AV$20</f>
        <v>0</v>
      </c>
      <c r="AW11" s="96">
        <f xml:space="preserve"> Equity!AW$20</f>
        <v>0</v>
      </c>
      <c r="AX11" s="96">
        <f xml:space="preserve"> Equity!AX$20</f>
        <v>0</v>
      </c>
      <c r="AY11" s="96">
        <f xml:space="preserve"> Equity!AY$20</f>
        <v>0</v>
      </c>
      <c r="AZ11" s="96">
        <f xml:space="preserve"> Equity!AZ$20</f>
        <v>0</v>
      </c>
      <c r="BA11" s="96">
        <f xml:space="preserve"> Equity!BA$20</f>
        <v>0</v>
      </c>
      <c r="BB11" s="96">
        <f xml:space="preserve"> Equity!BB$20</f>
        <v>0</v>
      </c>
      <c r="BC11" s="96">
        <f xml:space="preserve"> Equity!BC$20</f>
        <v>0</v>
      </c>
      <c r="BD11" s="96">
        <f xml:space="preserve"> Equity!BD$20</f>
        <v>0</v>
      </c>
      <c r="BE11" s="96">
        <f xml:space="preserve"> Equity!BE$20</f>
        <v>0</v>
      </c>
      <c r="BF11" s="96">
        <f xml:space="preserve"> Equity!BF$20</f>
        <v>0</v>
      </c>
      <c r="BG11" s="96">
        <f xml:space="preserve"> Equity!BG$20</f>
        <v>0</v>
      </c>
      <c r="BH11" s="96">
        <f xml:space="preserve"> Equity!BH$20</f>
        <v>0</v>
      </c>
      <c r="BI11" s="96">
        <f xml:space="preserve"> Equity!BI$20</f>
        <v>0</v>
      </c>
      <c r="BJ11" s="96">
        <f xml:space="preserve"> Equity!BJ$20</f>
        <v>0</v>
      </c>
      <c r="BK11" s="96">
        <f xml:space="preserve"> Equity!BK$20</f>
        <v>0</v>
      </c>
      <c r="BL11" s="96">
        <f xml:space="preserve"> Equity!BL$20</f>
        <v>0</v>
      </c>
      <c r="BM11" s="96">
        <f xml:space="preserve"> Equity!BM$20</f>
        <v>0</v>
      </c>
      <c r="BN11" s="96">
        <f xml:space="preserve"> Equity!BN$20</f>
        <v>0</v>
      </c>
      <c r="BO11" s="96">
        <f xml:space="preserve"> Equity!BO$20</f>
        <v>0</v>
      </c>
      <c r="BP11" s="96">
        <f xml:space="preserve"> Equity!BP$20</f>
        <v>0</v>
      </c>
      <c r="BQ11" s="96">
        <f xml:space="preserve"> Equity!BQ$20</f>
        <v>0</v>
      </c>
      <c r="BR11" s="96">
        <f xml:space="preserve"> Equity!BR$20</f>
        <v>0</v>
      </c>
      <c r="BS11" s="96">
        <f xml:space="preserve"> Equity!BS$20</f>
        <v>0</v>
      </c>
      <c r="BT11" s="96">
        <f xml:space="preserve"> Equity!BT$20</f>
        <v>0</v>
      </c>
      <c r="BU11" s="96">
        <f xml:space="preserve"> Equity!BU$20</f>
        <v>0</v>
      </c>
      <c r="BV11" s="96">
        <f xml:space="preserve"> Equity!BV$20</f>
        <v>0</v>
      </c>
      <c r="BW11" s="96">
        <f xml:space="preserve"> Equity!BW$20</f>
        <v>0</v>
      </c>
      <c r="BX11" s="96">
        <f xml:space="preserve"> Equity!BX$20</f>
        <v>0</v>
      </c>
      <c r="BY11" s="96">
        <f xml:space="preserve"> Equity!BY$20</f>
        <v>0</v>
      </c>
      <c r="BZ11" s="96">
        <f xml:space="preserve"> Equity!BZ$20</f>
        <v>0</v>
      </c>
      <c r="CA11" s="96">
        <f xml:space="preserve"> Equity!CA$20</f>
        <v>0</v>
      </c>
    </row>
    <row r="12" spans="1:79" s="144" customFormat="1" x14ac:dyDescent="0.2">
      <c r="A12" s="93"/>
      <c r="B12" s="93"/>
      <c r="C12" s="94"/>
      <c r="D12" s="143"/>
      <c r="E12" s="144" t="str">
        <f>Equity!E$49</f>
        <v>Share capital redemption POS</v>
      </c>
      <c r="F12" s="144">
        <f>Equity!F$49</f>
        <v>0</v>
      </c>
      <c r="G12" s="144" t="str">
        <f>Equity!G$49</f>
        <v>€ 000s</v>
      </c>
      <c r="H12" s="144">
        <f>Equity!H$49</f>
        <v>1000</v>
      </c>
      <c r="I12" s="144">
        <f>Equity!I$49</f>
        <v>0</v>
      </c>
      <c r="J12" s="144">
        <f>Equity!J$49</f>
        <v>0</v>
      </c>
      <c r="K12" s="144">
        <f>Equity!K$49</f>
        <v>0</v>
      </c>
      <c r="L12" s="144">
        <f>Equity!L$49</f>
        <v>0</v>
      </c>
      <c r="M12" s="144">
        <f>Equity!M$49</f>
        <v>0</v>
      </c>
      <c r="N12" s="144">
        <f>Equity!N$49</f>
        <v>0</v>
      </c>
      <c r="O12" s="144">
        <f>Equity!O$49</f>
        <v>0</v>
      </c>
      <c r="P12" s="144">
        <f>Equity!P$49</f>
        <v>0</v>
      </c>
      <c r="Q12" s="144">
        <f>Equity!Q$49</f>
        <v>0</v>
      </c>
      <c r="R12" s="144">
        <f>Equity!R$49</f>
        <v>0</v>
      </c>
      <c r="S12" s="144">
        <f>Equity!S$49</f>
        <v>0</v>
      </c>
      <c r="T12" s="144">
        <f>Equity!T$49</f>
        <v>0</v>
      </c>
      <c r="U12" s="144">
        <f>Equity!U$49</f>
        <v>0</v>
      </c>
      <c r="V12" s="144">
        <f>Equity!V$49</f>
        <v>0</v>
      </c>
      <c r="W12" s="144">
        <f>Equity!W$49</f>
        <v>0</v>
      </c>
      <c r="X12" s="144">
        <f>Equity!X$49</f>
        <v>0</v>
      </c>
      <c r="Y12" s="144">
        <f>Equity!Y$49</f>
        <v>0</v>
      </c>
      <c r="Z12" s="144">
        <f>Equity!Z$49</f>
        <v>0</v>
      </c>
      <c r="AA12" s="144">
        <f>Equity!AA$49</f>
        <v>0</v>
      </c>
      <c r="AB12" s="144">
        <f>Equity!AB$49</f>
        <v>0</v>
      </c>
      <c r="AC12" s="144">
        <f>Equity!AC$49</f>
        <v>0</v>
      </c>
      <c r="AD12" s="144">
        <f>Equity!AD$49</f>
        <v>0</v>
      </c>
      <c r="AE12" s="144">
        <f>Equity!AE$49</f>
        <v>0</v>
      </c>
      <c r="AF12" s="144">
        <f>Equity!AF$49</f>
        <v>0</v>
      </c>
      <c r="AG12" s="144">
        <f>Equity!AG$49</f>
        <v>0</v>
      </c>
      <c r="AH12" s="144">
        <f>Equity!AH$49</f>
        <v>0</v>
      </c>
      <c r="AI12" s="144">
        <f>Equity!AI$49</f>
        <v>0</v>
      </c>
      <c r="AJ12" s="144">
        <f>Equity!AJ$49</f>
        <v>0</v>
      </c>
      <c r="AK12" s="144">
        <f>Equity!AK$49</f>
        <v>0</v>
      </c>
      <c r="AL12" s="144">
        <f>Equity!AL$49</f>
        <v>0</v>
      </c>
      <c r="AM12" s="144">
        <f>Equity!AM$49</f>
        <v>0</v>
      </c>
      <c r="AN12" s="144">
        <f>Equity!AN$49</f>
        <v>0</v>
      </c>
      <c r="AO12" s="144">
        <f>Equity!AO$49</f>
        <v>0</v>
      </c>
      <c r="AP12" s="144">
        <f>Equity!AP$49</f>
        <v>0</v>
      </c>
      <c r="AQ12" s="144">
        <f>Equity!AQ$49</f>
        <v>0</v>
      </c>
      <c r="AR12" s="144">
        <f>Equity!AR$49</f>
        <v>0</v>
      </c>
      <c r="AS12" s="144">
        <f>Equity!AS$49</f>
        <v>0</v>
      </c>
      <c r="AT12" s="144">
        <f>Equity!AT$49</f>
        <v>0</v>
      </c>
      <c r="AU12" s="144">
        <f>Equity!AU$49</f>
        <v>0</v>
      </c>
      <c r="AV12" s="144">
        <f>Equity!AV$49</f>
        <v>0</v>
      </c>
      <c r="AW12" s="144">
        <f>Equity!AW$49</f>
        <v>0</v>
      </c>
      <c r="AX12" s="144">
        <f>Equity!AX$49</f>
        <v>0</v>
      </c>
      <c r="AY12" s="144">
        <f>Equity!AY$49</f>
        <v>0</v>
      </c>
      <c r="AZ12" s="144">
        <f>Equity!AZ$49</f>
        <v>0</v>
      </c>
      <c r="BA12" s="144">
        <f>Equity!BA$49</f>
        <v>0</v>
      </c>
      <c r="BB12" s="144">
        <f>Equity!BB$49</f>
        <v>0</v>
      </c>
      <c r="BC12" s="144">
        <f>Equity!BC$49</f>
        <v>0</v>
      </c>
      <c r="BD12" s="144">
        <f>Equity!BD$49</f>
        <v>0</v>
      </c>
      <c r="BE12" s="144">
        <f>Equity!BE$49</f>
        <v>0</v>
      </c>
      <c r="BF12" s="144">
        <f>Equity!BF$49</f>
        <v>0</v>
      </c>
      <c r="BG12" s="144">
        <f>Equity!BG$49</f>
        <v>0</v>
      </c>
      <c r="BH12" s="144">
        <f>Equity!BH$49</f>
        <v>0</v>
      </c>
      <c r="BI12" s="144">
        <f>Equity!BI$49</f>
        <v>0</v>
      </c>
      <c r="BJ12" s="144">
        <f>Equity!BJ$49</f>
        <v>0</v>
      </c>
      <c r="BK12" s="144">
        <f>Equity!BK$49</f>
        <v>0</v>
      </c>
      <c r="BL12" s="144">
        <f>Equity!BL$49</f>
        <v>0</v>
      </c>
      <c r="BM12" s="144">
        <f>Equity!BM$49</f>
        <v>0</v>
      </c>
      <c r="BN12" s="144">
        <f>Equity!BN$49</f>
        <v>0</v>
      </c>
      <c r="BO12" s="144">
        <f>Equity!BO$49</f>
        <v>0</v>
      </c>
      <c r="BP12" s="144">
        <f>Equity!BP$49</f>
        <v>0</v>
      </c>
      <c r="BQ12" s="144">
        <f>Equity!BQ$49</f>
        <v>0</v>
      </c>
      <c r="BR12" s="144">
        <f>Equity!BR$49</f>
        <v>0</v>
      </c>
      <c r="BS12" s="144">
        <f>Equity!BS$49</f>
        <v>0</v>
      </c>
      <c r="BT12" s="144">
        <f>Equity!BT$49</f>
        <v>0</v>
      </c>
      <c r="BU12" s="144">
        <f>Equity!BU$49</f>
        <v>0</v>
      </c>
      <c r="BV12" s="144">
        <f>Equity!BV$49</f>
        <v>1000</v>
      </c>
      <c r="BW12" s="144">
        <f>Equity!BW$49</f>
        <v>0</v>
      </c>
      <c r="BX12" s="144">
        <f>Equity!BX$49</f>
        <v>0</v>
      </c>
      <c r="BY12" s="144">
        <f>Equity!BY$49</f>
        <v>0</v>
      </c>
      <c r="BZ12" s="144">
        <f>Equity!BZ$49</f>
        <v>0</v>
      </c>
      <c r="CA12" s="144">
        <f>Equity!CA$49</f>
        <v>0</v>
      </c>
    </row>
    <row r="13" spans="1:79" s="96" customFormat="1" x14ac:dyDescent="0.2">
      <c r="A13" s="92"/>
      <c r="B13" s="93"/>
      <c r="C13" s="94"/>
      <c r="D13" s="95"/>
      <c r="E13" s="96" t="str">
        <f>Equity!E$75</f>
        <v>Dividends declared / paid POS</v>
      </c>
      <c r="F13" s="96">
        <f>Equity!F$75</f>
        <v>0</v>
      </c>
      <c r="G13" s="96" t="str">
        <f>Equity!G$75</f>
        <v>€ 000s</v>
      </c>
      <c r="H13" s="96">
        <f>Equity!H$75</f>
        <v>803403.92778230901</v>
      </c>
      <c r="I13" s="96">
        <f>Equity!I$75</f>
        <v>0</v>
      </c>
      <c r="J13" s="96">
        <f>Equity!J$75</f>
        <v>0</v>
      </c>
      <c r="K13" s="96">
        <f>Equity!K$75</f>
        <v>0</v>
      </c>
      <c r="L13" s="96">
        <f>Equity!L$75</f>
        <v>0</v>
      </c>
      <c r="M13" s="96">
        <f>Equity!M$75</f>
        <v>0</v>
      </c>
      <c r="N13" s="96">
        <f>Equity!N$75</f>
        <v>0</v>
      </c>
      <c r="O13" s="96">
        <f>Equity!O$75</f>
        <v>0</v>
      </c>
      <c r="P13" s="96">
        <f>Equity!P$75</f>
        <v>0</v>
      </c>
      <c r="Q13" s="96">
        <f>Equity!Q$75</f>
        <v>0</v>
      </c>
      <c r="R13" s="96">
        <f>Equity!R$75</f>
        <v>0</v>
      </c>
      <c r="S13" s="96">
        <f>Equity!S$75</f>
        <v>0</v>
      </c>
      <c r="T13" s="96">
        <f>Equity!T$75</f>
        <v>0</v>
      </c>
      <c r="U13" s="96">
        <f>Equity!U$75</f>
        <v>0</v>
      </c>
      <c r="V13" s="96">
        <f>Equity!V$75</f>
        <v>0</v>
      </c>
      <c r="W13" s="96">
        <f>Equity!W$75</f>
        <v>0</v>
      </c>
      <c r="X13" s="96">
        <f>Equity!X$75</f>
        <v>0</v>
      </c>
      <c r="Y13" s="96">
        <f>Equity!Y$75</f>
        <v>0</v>
      </c>
      <c r="Z13" s="96">
        <f>Equity!Z$75</f>
        <v>0</v>
      </c>
      <c r="AA13" s="96">
        <f>Equity!AA$75</f>
        <v>2254.89230486819</v>
      </c>
      <c r="AB13" s="96">
        <f>Equity!AB$75</f>
        <v>5153.7985360133725</v>
      </c>
      <c r="AC13" s="96">
        <f>Equity!AC$75</f>
        <v>3313.8131729521192</v>
      </c>
      <c r="AD13" s="96">
        <f>Equity!AD$75</f>
        <v>4039.2993705345834</v>
      </c>
      <c r="AE13" s="96">
        <f>Equity!AE$75</f>
        <v>4579.7145224730975</v>
      </c>
      <c r="AF13" s="96">
        <f>Equity!AF$75</f>
        <v>4839.8615800047355</v>
      </c>
      <c r="AG13" s="96">
        <f>Equity!AG$75</f>
        <v>5406.0394467431033</v>
      </c>
      <c r="AH13" s="96">
        <f>Equity!AH$75</f>
        <v>5685.7811955944198</v>
      </c>
      <c r="AI13" s="96">
        <f>Equity!AI$75</f>
        <v>6700.7386481415342</v>
      </c>
      <c r="AJ13" s="96">
        <f>Equity!AJ$75</f>
        <v>7004.2141970656166</v>
      </c>
      <c r="AK13" s="96">
        <f>Equity!AK$75</f>
        <v>7630.4762684663965</v>
      </c>
      <c r="AL13" s="96">
        <f>Equity!AL$75</f>
        <v>7956.7995555114303</v>
      </c>
      <c r="AM13" s="96">
        <f>Equity!AM$75</f>
        <v>8614.7687134445423</v>
      </c>
      <c r="AN13" s="96">
        <f>Equity!AN$75</f>
        <v>9321.840997047806</v>
      </c>
      <c r="AO13" s="96">
        <f>Equity!AO$75</f>
        <v>10054.792216033982</v>
      </c>
      <c r="AP13" s="96">
        <f>Equity!AP$75</f>
        <v>10417.609838565706</v>
      </c>
      <c r="AQ13" s="96">
        <f>Equity!AQ$75</f>
        <v>10803.739111954999</v>
      </c>
      <c r="AR13" s="96">
        <f>Equity!AR$75</f>
        <v>6998.6032792639417</v>
      </c>
      <c r="AS13" s="96">
        <f>Equity!AS$75</f>
        <v>7368.6813497910334</v>
      </c>
      <c r="AT13" s="96">
        <f>Equity!AT$75</f>
        <v>7027.5397617001363</v>
      </c>
      <c r="AU13" s="96">
        <f>Equity!AU$75</f>
        <v>7408.1870122351065</v>
      </c>
      <c r="AV13" s="96">
        <f>Equity!AV$75</f>
        <v>7058.5577560739257</v>
      </c>
      <c r="AW13" s="96">
        <f>Equity!AW$75</f>
        <v>7055.2690997261852</v>
      </c>
      <c r="AX13" s="96">
        <f>Equity!AX$75</f>
        <v>7222.8107573686211</v>
      </c>
      <c r="AY13" s="96">
        <f>Equity!AY$75</f>
        <v>7678.729954429491</v>
      </c>
      <c r="AZ13" s="96">
        <f>Equity!AZ$75</f>
        <v>7254.9868146571789</v>
      </c>
      <c r="BA13" s="96">
        <f>Equity!BA$75</f>
        <v>7718.9019601722684</v>
      </c>
      <c r="BB13" s="96">
        <f>Equity!BB$75</f>
        <v>26355.226543934212</v>
      </c>
      <c r="BC13" s="96">
        <f>Equity!BC$75</f>
        <v>26665.4957125605</v>
      </c>
      <c r="BD13" s="96">
        <f>Equity!BD$75</f>
        <v>26679.509517069491</v>
      </c>
      <c r="BE13" s="96">
        <f>Equity!BE$75</f>
        <v>27238.761751659724</v>
      </c>
      <c r="BF13" s="96">
        <f>Equity!BF$75</f>
        <v>27132.130690617203</v>
      </c>
      <c r="BG13" s="96">
        <f>Equity!BG$75</f>
        <v>27708.238269792957</v>
      </c>
      <c r="BH13" s="96">
        <f>Equity!BH$75</f>
        <v>27730.379693491417</v>
      </c>
      <c r="BI13" s="96">
        <f>Equity!BI$75</f>
        <v>27173.623053413656</v>
      </c>
      <c r="BJ13" s="96">
        <f>Equity!BJ$75</f>
        <v>29384.936361395878</v>
      </c>
      <c r="BK13" s="96">
        <f>Equity!BK$75</f>
        <v>27650.661466390051</v>
      </c>
      <c r="BL13" s="96">
        <f>Equity!BL$75</f>
        <v>30054.355071744991</v>
      </c>
      <c r="BM13" s="96">
        <f>Equity!BM$75</f>
        <v>28279.983539298279</v>
      </c>
      <c r="BN13" s="96">
        <f>Equity!BN$75</f>
        <v>30746.866707974674</v>
      </c>
      <c r="BO13" s="96">
        <f>Equity!BO$75</f>
        <v>28931.078249245016</v>
      </c>
      <c r="BP13" s="96">
        <f>Equity!BP$75</f>
        <v>31462.428741065087</v>
      </c>
      <c r="BQ13" s="96">
        <f>Equity!BQ$75</f>
        <v>29603.901052597634</v>
      </c>
      <c r="BR13" s="96">
        <f>Equity!BR$75</f>
        <v>30914.484995175917</v>
      </c>
      <c r="BS13" s="96">
        <f>Equity!BS$75</f>
        <v>31601.01961146824</v>
      </c>
      <c r="BT13" s="96">
        <f>Equity!BT$75</f>
        <v>31972.652849087732</v>
      </c>
      <c r="BU13" s="96">
        <f>Equity!BU$75</f>
        <v>32349.94987889695</v>
      </c>
      <c r="BV13" s="96">
        <f>Equity!BV$75</f>
        <v>37197.796604595853</v>
      </c>
      <c r="BW13" s="96">
        <f>Equity!BW$75</f>
        <v>0</v>
      </c>
      <c r="BX13" s="96">
        <f>Equity!BX$75</f>
        <v>0</v>
      </c>
      <c r="BY13" s="96">
        <f>Equity!BY$75</f>
        <v>0</v>
      </c>
      <c r="BZ13" s="96">
        <f>Equity!BZ$75</f>
        <v>0</v>
      </c>
      <c r="CA13" s="96">
        <f>Equity!CA$75</f>
        <v>0</v>
      </c>
    </row>
    <row r="14" spans="1:79" x14ac:dyDescent="0.2">
      <c r="E14" s="85" t="s">
        <v>198</v>
      </c>
      <c r="H14" s="85">
        <f>SUM(J14:CA14)</f>
        <v>884084.91671888402</v>
      </c>
      <c r="J14" s="114">
        <f>SUM(J10:J13)</f>
        <v>0</v>
      </c>
      <c r="K14" s="114">
        <f t="shared" ref="K14:BV14" si="0">SUM(K10:K13)</f>
        <v>0</v>
      </c>
      <c r="L14" s="114">
        <f t="shared" si="0"/>
        <v>0</v>
      </c>
      <c r="M14" s="114">
        <f t="shared" si="0"/>
        <v>0</v>
      </c>
      <c r="N14" s="114">
        <f t="shared" si="0"/>
        <v>0</v>
      </c>
      <c r="O14" s="114">
        <f t="shared" si="0"/>
        <v>0</v>
      </c>
      <c r="P14" s="114">
        <f t="shared" si="0"/>
        <v>4006.8110803501586</v>
      </c>
      <c r="Q14" s="114">
        <f t="shared" si="0"/>
        <v>8588.7100229398784</v>
      </c>
      <c r="R14" s="114">
        <f t="shared" si="0"/>
        <v>6847.1730507980828</v>
      </c>
      <c r="S14" s="114">
        <f t="shared" si="0"/>
        <v>7335.4697624993314</v>
      </c>
      <c r="T14" s="114">
        <f t="shared" si="0"/>
        <v>6795.67227243042</v>
      </c>
      <c r="U14" s="114">
        <f t="shared" si="0"/>
        <v>7019.0445788575416</v>
      </c>
      <c r="V14" s="114">
        <f t="shared" si="0"/>
        <v>6780.964806829099</v>
      </c>
      <c r="W14" s="114">
        <f t="shared" si="0"/>
        <v>6679.7485736952076</v>
      </c>
      <c r="X14" s="114">
        <f t="shared" si="0"/>
        <v>7052.741941658649</v>
      </c>
      <c r="Y14" s="114">
        <f t="shared" si="0"/>
        <v>7101.6652108655544</v>
      </c>
      <c r="Z14" s="114">
        <f t="shared" si="0"/>
        <v>6770.5642087619708</v>
      </c>
      <c r="AA14" s="114">
        <f t="shared" si="0"/>
        <v>6957.315731757255</v>
      </c>
      <c r="AB14" s="114">
        <f t="shared" si="0"/>
        <v>5153.7985360133725</v>
      </c>
      <c r="AC14" s="114">
        <f t="shared" si="0"/>
        <v>3313.8131729521192</v>
      </c>
      <c r="AD14" s="114">
        <f t="shared" si="0"/>
        <v>4039.2993705345834</v>
      </c>
      <c r="AE14" s="114">
        <f t="shared" si="0"/>
        <v>4579.7145224730975</v>
      </c>
      <c r="AF14" s="114">
        <f t="shared" si="0"/>
        <v>4839.8615800047355</v>
      </c>
      <c r="AG14" s="114">
        <f t="shared" si="0"/>
        <v>5406.0394467431033</v>
      </c>
      <c r="AH14" s="114">
        <f t="shared" si="0"/>
        <v>5685.7811955944198</v>
      </c>
      <c r="AI14" s="114">
        <f t="shared" si="0"/>
        <v>6700.7386481415342</v>
      </c>
      <c r="AJ14" s="114">
        <f t="shared" si="0"/>
        <v>7004.2141970656166</v>
      </c>
      <c r="AK14" s="114">
        <f t="shared" si="0"/>
        <v>7630.4762684663965</v>
      </c>
      <c r="AL14" s="114">
        <f t="shared" si="0"/>
        <v>7956.7995555114303</v>
      </c>
      <c r="AM14" s="114">
        <f t="shared" si="0"/>
        <v>8614.7687134445423</v>
      </c>
      <c r="AN14" s="114">
        <f t="shared" si="0"/>
        <v>9321.840997047806</v>
      </c>
      <c r="AO14" s="114">
        <f t="shared" si="0"/>
        <v>10054.792216033982</v>
      </c>
      <c r="AP14" s="114">
        <f t="shared" si="0"/>
        <v>10417.609838565706</v>
      </c>
      <c r="AQ14" s="114">
        <f t="shared" si="0"/>
        <v>10803.739111954999</v>
      </c>
      <c r="AR14" s="114">
        <f t="shared" si="0"/>
        <v>6998.6032792639417</v>
      </c>
      <c r="AS14" s="114">
        <f t="shared" si="0"/>
        <v>7368.6813497910334</v>
      </c>
      <c r="AT14" s="114">
        <f t="shared" si="0"/>
        <v>7027.5397617001363</v>
      </c>
      <c r="AU14" s="114">
        <f t="shared" si="0"/>
        <v>7408.1870122351065</v>
      </c>
      <c r="AV14" s="114">
        <f t="shared" si="0"/>
        <v>7058.5577560739257</v>
      </c>
      <c r="AW14" s="114">
        <f t="shared" si="0"/>
        <v>7055.2690997261852</v>
      </c>
      <c r="AX14" s="114">
        <f t="shared" si="0"/>
        <v>7222.8107573686211</v>
      </c>
      <c r="AY14" s="114">
        <f t="shared" si="0"/>
        <v>7678.729954429491</v>
      </c>
      <c r="AZ14" s="114">
        <f t="shared" si="0"/>
        <v>7254.9868146571789</v>
      </c>
      <c r="BA14" s="114">
        <f t="shared" si="0"/>
        <v>7718.9019601722684</v>
      </c>
      <c r="BB14" s="114">
        <f t="shared" si="0"/>
        <v>26355.226543934212</v>
      </c>
      <c r="BC14" s="114">
        <f t="shared" si="0"/>
        <v>26665.4957125605</v>
      </c>
      <c r="BD14" s="114">
        <f t="shared" si="0"/>
        <v>26679.509517069491</v>
      </c>
      <c r="BE14" s="114">
        <f t="shared" si="0"/>
        <v>27238.761751659724</v>
      </c>
      <c r="BF14" s="114">
        <f t="shared" si="0"/>
        <v>27132.130690617203</v>
      </c>
      <c r="BG14" s="114">
        <f t="shared" si="0"/>
        <v>27708.238269792957</v>
      </c>
      <c r="BH14" s="114">
        <f t="shared" si="0"/>
        <v>27730.379693491417</v>
      </c>
      <c r="BI14" s="114">
        <f t="shared" si="0"/>
        <v>27173.623053413656</v>
      </c>
      <c r="BJ14" s="114">
        <f t="shared" si="0"/>
        <v>29384.936361395878</v>
      </c>
      <c r="BK14" s="114">
        <f t="shared" si="0"/>
        <v>27650.661466390051</v>
      </c>
      <c r="BL14" s="114">
        <f t="shared" si="0"/>
        <v>30054.355071744991</v>
      </c>
      <c r="BM14" s="114">
        <f t="shared" si="0"/>
        <v>28279.983539298279</v>
      </c>
      <c r="BN14" s="114">
        <f t="shared" si="0"/>
        <v>30746.866707974674</v>
      </c>
      <c r="BO14" s="114">
        <f t="shared" si="0"/>
        <v>28931.078249245016</v>
      </c>
      <c r="BP14" s="114">
        <f t="shared" si="0"/>
        <v>31462.428741065087</v>
      </c>
      <c r="BQ14" s="114">
        <f t="shared" si="0"/>
        <v>29603.901052597634</v>
      </c>
      <c r="BR14" s="114">
        <f t="shared" si="0"/>
        <v>30914.484995175917</v>
      </c>
      <c r="BS14" s="114">
        <f t="shared" si="0"/>
        <v>31601.01961146824</v>
      </c>
      <c r="BT14" s="114">
        <f t="shared" si="0"/>
        <v>31972.652849087732</v>
      </c>
      <c r="BU14" s="114">
        <f t="shared" si="0"/>
        <v>32349.94987889695</v>
      </c>
      <c r="BV14" s="114">
        <f t="shared" si="0"/>
        <v>38197.796604595853</v>
      </c>
      <c r="BW14" s="114">
        <f t="shared" ref="BW14:CA14" si="1">SUM(BW10:BW13)</f>
        <v>0</v>
      </c>
      <c r="BX14" s="114">
        <f t="shared" si="1"/>
        <v>0</v>
      </c>
      <c r="BY14" s="114">
        <f t="shared" si="1"/>
        <v>0</v>
      </c>
      <c r="BZ14" s="114">
        <f t="shared" si="1"/>
        <v>0</v>
      </c>
      <c r="CA14" s="114">
        <f t="shared" si="1"/>
        <v>0</v>
      </c>
    </row>
    <row r="17" spans="1:79" s="291" customFormat="1" x14ac:dyDescent="0.2">
      <c r="A17" s="286"/>
      <c r="B17" s="286"/>
      <c r="C17" s="287"/>
      <c r="D17" s="288"/>
      <c r="E17" s="289" t="str">
        <f xml:space="preserve"> ConTime!E$13</f>
        <v>Construction period month ending</v>
      </c>
      <c r="F17" s="289">
        <f xml:space="preserve"> ConTime!F$13</f>
        <v>0</v>
      </c>
      <c r="G17" s="289">
        <f xml:space="preserve"> ConTime!G$13</f>
        <v>0</v>
      </c>
      <c r="H17" s="289">
        <f xml:space="preserve"> ConTime!H$13</f>
        <v>0</v>
      </c>
      <c r="I17" s="289">
        <f xml:space="preserve"> ConTime!I$13</f>
        <v>0</v>
      </c>
      <c r="J17" s="289">
        <f xml:space="preserve"> ConTime!J$13</f>
        <v>41698</v>
      </c>
      <c r="K17" s="289">
        <f xml:space="preserve"> ConTime!K$13</f>
        <v>41729</v>
      </c>
      <c r="L17" s="289">
        <f xml:space="preserve"> ConTime!L$13</f>
        <v>41759</v>
      </c>
      <c r="M17" s="289">
        <f xml:space="preserve"> ConTime!M$13</f>
        <v>41790</v>
      </c>
      <c r="N17" s="289">
        <f xml:space="preserve"> ConTime!N$13</f>
        <v>41820</v>
      </c>
      <c r="O17" s="289">
        <f xml:space="preserve"> ConTime!O$13</f>
        <v>41851</v>
      </c>
      <c r="P17" s="289">
        <f xml:space="preserve"> ConTime!P$13</f>
        <v>41882</v>
      </c>
      <c r="Q17" s="289">
        <f xml:space="preserve"> ConTime!Q$13</f>
        <v>41912</v>
      </c>
      <c r="R17" s="289">
        <f xml:space="preserve"> ConTime!R$13</f>
        <v>41943</v>
      </c>
      <c r="S17" s="289">
        <f xml:space="preserve"> ConTime!S$13</f>
        <v>41973</v>
      </c>
      <c r="T17" s="289">
        <f xml:space="preserve"> ConTime!T$13</f>
        <v>42004</v>
      </c>
      <c r="U17" s="289">
        <f xml:space="preserve"> ConTime!U$13</f>
        <v>42035</v>
      </c>
      <c r="V17" s="289">
        <f xml:space="preserve"> ConTime!V$13</f>
        <v>42063</v>
      </c>
      <c r="W17" s="289">
        <f xml:space="preserve"> ConTime!W$13</f>
        <v>42094</v>
      </c>
      <c r="X17" s="289">
        <f xml:space="preserve"> ConTime!X$13</f>
        <v>42124</v>
      </c>
      <c r="Y17" s="289">
        <f xml:space="preserve"> ConTime!Y$13</f>
        <v>42155</v>
      </c>
      <c r="Z17" s="289">
        <f xml:space="preserve"> ConTime!Z$13</f>
        <v>42185</v>
      </c>
      <c r="AA17" s="289">
        <f xml:space="preserve"> ConTime!AA$13</f>
        <v>42216</v>
      </c>
      <c r="AB17" s="289">
        <f xml:space="preserve"> ConTime!AB$13</f>
        <v>42247</v>
      </c>
      <c r="AC17" s="289">
        <f xml:space="preserve"> ConTime!AC$13</f>
        <v>42277</v>
      </c>
      <c r="AD17" s="289">
        <f xml:space="preserve"> ConTime!AD$13</f>
        <v>42308</v>
      </c>
      <c r="AE17" s="289">
        <f xml:space="preserve"> ConTime!AE$13</f>
        <v>42338</v>
      </c>
      <c r="AF17" s="289">
        <f xml:space="preserve"> ConTime!AF$13</f>
        <v>42369</v>
      </c>
      <c r="AG17" s="289">
        <f xml:space="preserve"> ConTime!AG$13</f>
        <v>42400</v>
      </c>
      <c r="AH17" s="289">
        <f xml:space="preserve"> ConTime!AH$13</f>
        <v>42429</v>
      </c>
      <c r="AI17" s="289">
        <f xml:space="preserve"> ConTime!AI$13</f>
        <v>42460</v>
      </c>
      <c r="AJ17" s="289">
        <f xml:space="preserve"> ConTime!AJ$13</f>
        <v>42490</v>
      </c>
      <c r="AK17" s="289">
        <f xml:space="preserve"> ConTime!AK$13</f>
        <v>42521</v>
      </c>
      <c r="AL17" s="289">
        <f xml:space="preserve"> ConTime!AL$13</f>
        <v>42551</v>
      </c>
      <c r="AM17" s="289">
        <f xml:space="preserve"> ConTime!AM$13</f>
        <v>42582</v>
      </c>
      <c r="AN17" s="289">
        <f xml:space="preserve"> ConTime!AN$13</f>
        <v>42613</v>
      </c>
      <c r="AO17" s="289">
        <f xml:space="preserve"> ConTime!AO$13</f>
        <v>42643</v>
      </c>
      <c r="AP17" s="289">
        <f xml:space="preserve"> ConTime!AP$13</f>
        <v>42674</v>
      </c>
      <c r="AQ17" s="289">
        <f xml:space="preserve"> ConTime!AQ$13</f>
        <v>42704</v>
      </c>
      <c r="AR17" s="289">
        <f xml:space="preserve"> ConTime!AR$13</f>
        <v>42735</v>
      </c>
      <c r="AS17" s="289">
        <f xml:space="preserve"> ConTime!AS$13</f>
        <v>42766</v>
      </c>
      <c r="AT17" s="289">
        <f xml:space="preserve"> ConTime!AT$13</f>
        <v>42794</v>
      </c>
      <c r="AU17" s="289">
        <f xml:space="preserve"> ConTime!AU$13</f>
        <v>42825</v>
      </c>
      <c r="AV17" s="289">
        <f xml:space="preserve"> ConTime!AV$13</f>
        <v>42855</v>
      </c>
      <c r="AW17" s="289">
        <f xml:space="preserve"> ConTime!AW$13</f>
        <v>42886</v>
      </c>
      <c r="AX17" s="289">
        <f xml:space="preserve"> ConTime!AX$13</f>
        <v>42916</v>
      </c>
      <c r="AY17" s="289">
        <f xml:space="preserve"> ConTime!AY$13</f>
        <v>42947</v>
      </c>
      <c r="AZ17" s="289">
        <f xml:space="preserve"> ConTime!AZ$13</f>
        <v>42978</v>
      </c>
      <c r="BA17" s="290"/>
      <c r="BB17" s="290"/>
      <c r="BC17" s="290"/>
      <c r="BD17" s="290"/>
      <c r="BE17" s="290"/>
      <c r="BF17" s="290"/>
      <c r="BG17" s="290"/>
      <c r="BH17" s="290"/>
      <c r="BI17" s="290"/>
      <c r="BJ17" s="290"/>
      <c r="BK17" s="290"/>
      <c r="BL17" s="290"/>
      <c r="BM17" s="290"/>
      <c r="BN17" s="290"/>
      <c r="BO17" s="290"/>
      <c r="BP17" s="290"/>
      <c r="BQ17" s="290"/>
      <c r="BR17" s="290"/>
      <c r="BS17" s="290"/>
      <c r="BT17" s="290"/>
      <c r="BU17" s="290"/>
      <c r="BV17" s="290"/>
      <c r="BW17" s="290"/>
      <c r="BX17" s="290"/>
      <c r="BY17" s="290"/>
      <c r="BZ17" s="290"/>
      <c r="CA17" s="290"/>
    </row>
    <row r="18" spans="1:79" s="284" customFormat="1" x14ac:dyDescent="0.2">
      <c r="A18" s="280"/>
      <c r="B18" s="281"/>
      <c r="C18" s="282"/>
      <c r="D18" s="283"/>
      <c r="E18" s="284" t="s">
        <v>162</v>
      </c>
      <c r="F18" s="284" t="s">
        <v>3</v>
      </c>
      <c r="G18" s="284" t="s">
        <v>4</v>
      </c>
      <c r="H18" s="284" t="s">
        <v>5</v>
      </c>
      <c r="I18" s="284">
        <v>0</v>
      </c>
      <c r="J18" s="284">
        <v>41639</v>
      </c>
      <c r="K18" s="284">
        <v>41820</v>
      </c>
      <c r="L18" s="284">
        <v>42004</v>
      </c>
      <c r="M18" s="284">
        <v>42185</v>
      </c>
      <c r="N18" s="284">
        <v>42369</v>
      </c>
      <c r="O18" s="284">
        <v>42551</v>
      </c>
      <c r="P18" s="284">
        <v>42735</v>
      </c>
      <c r="Q18" s="284">
        <v>42916</v>
      </c>
      <c r="R18" s="284">
        <v>43100</v>
      </c>
      <c r="S18" s="284">
        <v>43281</v>
      </c>
      <c r="T18" s="284">
        <v>43465</v>
      </c>
      <c r="U18" s="284">
        <v>43646</v>
      </c>
      <c r="V18" s="284">
        <v>43830</v>
      </c>
      <c r="W18" s="284">
        <v>44012</v>
      </c>
      <c r="X18" s="284">
        <v>44196</v>
      </c>
      <c r="Y18" s="284">
        <v>44377</v>
      </c>
      <c r="Z18" s="284">
        <v>44561</v>
      </c>
      <c r="AA18" s="284">
        <v>44742</v>
      </c>
      <c r="AB18" s="284">
        <v>44926</v>
      </c>
      <c r="AC18" s="284">
        <v>45107</v>
      </c>
      <c r="AD18" s="284">
        <v>45291</v>
      </c>
      <c r="AE18" s="284">
        <v>45473</v>
      </c>
      <c r="AF18" s="284">
        <v>45657</v>
      </c>
      <c r="AG18" s="284">
        <v>45838</v>
      </c>
      <c r="AH18" s="284">
        <v>46022</v>
      </c>
      <c r="AI18" s="284">
        <v>46203</v>
      </c>
      <c r="AJ18" s="284">
        <v>46387</v>
      </c>
      <c r="AK18" s="284">
        <v>46568</v>
      </c>
      <c r="AL18" s="284">
        <v>46752</v>
      </c>
      <c r="AM18" s="284">
        <v>46934</v>
      </c>
      <c r="AN18" s="284">
        <v>47118</v>
      </c>
      <c r="AO18" s="284">
        <v>47299</v>
      </c>
      <c r="AP18" s="284">
        <v>47483</v>
      </c>
      <c r="AQ18" s="284">
        <v>47664</v>
      </c>
      <c r="AR18" s="284">
        <v>47848</v>
      </c>
      <c r="AS18" s="284">
        <v>48029</v>
      </c>
      <c r="AT18" s="284">
        <v>48213</v>
      </c>
      <c r="AU18" s="284">
        <v>48395</v>
      </c>
      <c r="AV18" s="284">
        <v>48579</v>
      </c>
      <c r="AW18" s="284">
        <v>48760</v>
      </c>
      <c r="AX18" s="284">
        <v>48944</v>
      </c>
      <c r="AY18" s="284">
        <v>49125</v>
      </c>
      <c r="AZ18" s="284">
        <v>49309</v>
      </c>
      <c r="BA18" s="284">
        <v>49490</v>
      </c>
      <c r="BB18" s="284">
        <v>49674</v>
      </c>
      <c r="BC18" s="284">
        <v>49856</v>
      </c>
      <c r="BD18" s="284">
        <v>50040</v>
      </c>
      <c r="BE18" s="284">
        <v>50221</v>
      </c>
      <c r="BF18" s="284">
        <v>50405</v>
      </c>
      <c r="BG18" s="284">
        <v>50586</v>
      </c>
      <c r="BH18" s="284">
        <v>50770</v>
      </c>
      <c r="BI18" s="284">
        <v>50951</v>
      </c>
      <c r="BJ18" s="284">
        <v>51135</v>
      </c>
      <c r="BK18" s="284">
        <v>51317</v>
      </c>
      <c r="BL18" s="284">
        <v>51501</v>
      </c>
      <c r="BM18" s="284">
        <v>51682</v>
      </c>
      <c r="BN18" s="284">
        <v>51866</v>
      </c>
      <c r="BO18" s="284">
        <v>52047</v>
      </c>
      <c r="BP18" s="284">
        <v>52231</v>
      </c>
      <c r="BQ18" s="284">
        <v>52412</v>
      </c>
      <c r="BR18" s="284">
        <v>52596</v>
      </c>
      <c r="BS18" s="284">
        <v>52778</v>
      </c>
      <c r="BT18" s="284">
        <v>52962</v>
      </c>
      <c r="BU18" s="284">
        <v>53143</v>
      </c>
      <c r="BV18" s="284">
        <v>53327</v>
      </c>
      <c r="BW18" s="284">
        <v>53508</v>
      </c>
      <c r="BX18" s="284">
        <v>53692</v>
      </c>
      <c r="BY18" s="284">
        <v>53873</v>
      </c>
      <c r="BZ18" s="284">
        <v>54057</v>
      </c>
      <c r="CA18" s="284">
        <v>54239</v>
      </c>
    </row>
    <row r="19" spans="1:79" s="122" customFormat="1" x14ac:dyDescent="0.2">
      <c r="A19" s="119"/>
      <c r="B19" s="166"/>
      <c r="C19" s="167"/>
      <c r="D19" s="121"/>
    </row>
    <row r="20" spans="1:79" s="197" customFormat="1" x14ac:dyDescent="0.2">
      <c r="A20" s="264"/>
      <c r="B20" s="264"/>
      <c r="C20" s="265"/>
      <c r="D20" s="266"/>
      <c r="E20" s="362" t="str">
        <f>ConFin!E$100</f>
        <v>Equity investment NEG (for XIRR)</v>
      </c>
      <c r="F20" s="362">
        <f>ConFin!F$100</f>
        <v>0</v>
      </c>
      <c r="G20" s="362">
        <f>ConFin!G$100</f>
        <v>0</v>
      </c>
      <c r="H20" s="362">
        <f>ConFin!H$100</f>
        <v>-80680.988936574955</v>
      </c>
      <c r="I20" s="362">
        <f>ConFin!I$100</f>
        <v>0</v>
      </c>
      <c r="J20" s="361">
        <f>ConFin!J$100</f>
        <v>-14430</v>
      </c>
      <c r="K20" s="362">
        <f>ConFin!K$100</f>
        <v>-2186.8488333333335</v>
      </c>
      <c r="L20" s="362">
        <f>ConFin!L$100</f>
        <v>-2192.6589709166656</v>
      </c>
      <c r="M20" s="362">
        <f>ConFin!M$100</f>
        <v>-2202.7367144231957</v>
      </c>
      <c r="N20" s="362">
        <f>ConFin!N$100</f>
        <v>-2208.0428558153562</v>
      </c>
      <c r="O20" s="362">
        <f>ConFin!O$100</f>
        <v>-2218.7380425307838</v>
      </c>
      <c r="P20" s="362">
        <f>ConFin!P$100</f>
        <v>-2226.7871310961873</v>
      </c>
      <c r="Q20" s="362">
        <f>ConFin!Q$100</f>
        <v>-2231.3303439184037</v>
      </c>
      <c r="R20" s="362">
        <f>ConFin!R$100</f>
        <v>-2242.9601906027674</v>
      </c>
      <c r="S20" s="362">
        <f>ConFin!S$100</f>
        <v>-2246.9903607892284</v>
      </c>
      <c r="T20" s="362">
        <f>ConFin!T$100</f>
        <v>-2259.2487334364287</v>
      </c>
      <c r="U20" s="362">
        <f>ConFin!U$100</f>
        <v>-2267.4447857860614</v>
      </c>
      <c r="V20" s="362">
        <f>ConFin!V$100</f>
        <v>-2260.7536199232582</v>
      </c>
      <c r="W20" s="362">
        <f>ConFin!W$100</f>
        <v>-2283.872083335662</v>
      </c>
      <c r="X20" s="362">
        <f>ConFin!X$100</f>
        <v>-2286.6044443306746</v>
      </c>
      <c r="Y20" s="362">
        <f>ConFin!Y$100</f>
        <v>-2300.4527565165845</v>
      </c>
      <c r="Z20" s="362">
        <f>ConFin!Z$100</f>
        <v>-2302.6591445336398</v>
      </c>
      <c r="AA20" s="362">
        <f>ConFin!AA$100</f>
        <v>-2317.1518235798394</v>
      </c>
      <c r="AB20" s="362">
        <f>ConFin!AB$100</f>
        <v>-2325.5579354731599</v>
      </c>
      <c r="AC20" s="362">
        <f>ConFin!AC$100</f>
        <v>-2326.9679356961933</v>
      </c>
      <c r="AD20" s="362">
        <f>ConFin!AD$100</f>
        <v>-2342.4362654391243</v>
      </c>
      <c r="AE20" s="362">
        <f>ConFin!AE$100</f>
        <v>-2343.3108504001666</v>
      </c>
      <c r="AF20" s="362">
        <f>ConFin!AF$100</f>
        <v>-18677.435114698252</v>
      </c>
      <c r="AG20" s="362">
        <f>ConFin!AG$100</f>
        <v>0</v>
      </c>
      <c r="AH20" s="362">
        <f>ConFin!AH$100</f>
        <v>0</v>
      </c>
      <c r="AI20" s="362">
        <f>ConFin!AI$100</f>
        <v>0</v>
      </c>
      <c r="AJ20" s="362">
        <f>ConFin!AJ$100</f>
        <v>0</v>
      </c>
      <c r="AK20" s="362">
        <f>ConFin!AK$100</f>
        <v>0</v>
      </c>
      <c r="AL20" s="362">
        <f>ConFin!AL$100</f>
        <v>0</v>
      </c>
      <c r="AM20" s="362">
        <f>ConFin!AM$100</f>
        <v>0</v>
      </c>
      <c r="AN20" s="362">
        <f>ConFin!AN$100</f>
        <v>0</v>
      </c>
      <c r="AO20" s="362">
        <f>ConFin!AO$100</f>
        <v>0</v>
      </c>
      <c r="AP20" s="362">
        <f>ConFin!AP$100</f>
        <v>0</v>
      </c>
      <c r="AQ20" s="362">
        <f>ConFin!AQ$100</f>
        <v>0</v>
      </c>
      <c r="AR20" s="362">
        <f>ConFin!AR$100</f>
        <v>0</v>
      </c>
      <c r="AS20" s="362">
        <f>ConFin!AS$100</f>
        <v>0</v>
      </c>
      <c r="AT20" s="362">
        <f>ConFin!AT$100</f>
        <v>0</v>
      </c>
      <c r="AU20" s="362">
        <f>ConFin!AU$100</f>
        <v>0</v>
      </c>
      <c r="AV20" s="362">
        <f>ConFin!AV$100</f>
        <v>0</v>
      </c>
      <c r="AW20" s="362">
        <f>ConFin!AW$100</f>
        <v>0</v>
      </c>
      <c r="AX20" s="362">
        <f>ConFin!AX$100</f>
        <v>0</v>
      </c>
      <c r="AY20" s="362">
        <f>ConFin!AY$100</f>
        <v>0</v>
      </c>
      <c r="AZ20" s="362">
        <f>ConFin!AZ$100</f>
        <v>0</v>
      </c>
      <c r="BA20" s="180"/>
      <c r="BB20" s="180"/>
      <c r="BC20" s="180"/>
      <c r="BD20" s="180"/>
      <c r="BE20" s="180"/>
      <c r="BF20" s="180"/>
      <c r="BG20" s="180"/>
      <c r="BH20" s="180"/>
      <c r="BI20" s="180"/>
      <c r="BJ20" s="180"/>
      <c r="BK20" s="180"/>
      <c r="BL20" s="180"/>
      <c r="BM20" s="180"/>
      <c r="BN20" s="180"/>
      <c r="BO20" s="180"/>
      <c r="BP20" s="180"/>
      <c r="BQ20" s="180"/>
      <c r="BR20" s="180"/>
      <c r="BS20" s="180"/>
      <c r="BT20" s="180"/>
      <c r="BU20" s="180"/>
      <c r="BV20" s="180"/>
      <c r="BW20" s="180"/>
      <c r="BX20" s="180"/>
      <c r="BY20" s="180"/>
      <c r="BZ20" s="180"/>
      <c r="CA20" s="180"/>
    </row>
    <row r="21" spans="1:79" s="122" customFormat="1" x14ac:dyDescent="0.2">
      <c r="A21" s="119"/>
      <c r="B21" s="166"/>
      <c r="C21" s="167"/>
      <c r="D21" s="121"/>
      <c r="E21" s="122" t="str">
        <f>E$14</f>
        <v>Shareholder distributions</v>
      </c>
      <c r="F21" s="122">
        <f t="shared" ref="F21:BQ21" si="2">F$14</f>
        <v>0</v>
      </c>
      <c r="G21" s="122">
        <f t="shared" si="2"/>
        <v>0</v>
      </c>
      <c r="H21" s="122">
        <f t="shared" si="2"/>
        <v>884084.91671888402</v>
      </c>
      <c r="I21" s="122">
        <f t="shared" si="2"/>
        <v>0</v>
      </c>
      <c r="J21" s="124">
        <f t="shared" si="2"/>
        <v>0</v>
      </c>
      <c r="K21" s="122">
        <f t="shared" si="2"/>
        <v>0</v>
      </c>
      <c r="L21" s="122">
        <f t="shared" si="2"/>
        <v>0</v>
      </c>
      <c r="M21" s="122">
        <f t="shared" si="2"/>
        <v>0</v>
      </c>
      <c r="N21" s="122">
        <f t="shared" si="2"/>
        <v>0</v>
      </c>
      <c r="O21" s="122">
        <f t="shared" si="2"/>
        <v>0</v>
      </c>
      <c r="P21" s="122">
        <f t="shared" si="2"/>
        <v>4006.8110803501586</v>
      </c>
      <c r="Q21" s="122">
        <f t="shared" si="2"/>
        <v>8588.7100229398784</v>
      </c>
      <c r="R21" s="122">
        <f t="shared" si="2"/>
        <v>6847.1730507980828</v>
      </c>
      <c r="S21" s="122">
        <f t="shared" si="2"/>
        <v>7335.4697624993314</v>
      </c>
      <c r="T21" s="122">
        <f t="shared" si="2"/>
        <v>6795.67227243042</v>
      </c>
      <c r="U21" s="122">
        <f t="shared" si="2"/>
        <v>7019.0445788575416</v>
      </c>
      <c r="V21" s="122">
        <f t="shared" si="2"/>
        <v>6780.964806829099</v>
      </c>
      <c r="W21" s="122">
        <f t="shared" si="2"/>
        <v>6679.7485736952076</v>
      </c>
      <c r="X21" s="122">
        <f t="shared" si="2"/>
        <v>7052.741941658649</v>
      </c>
      <c r="Y21" s="122">
        <f t="shared" si="2"/>
        <v>7101.6652108655544</v>
      </c>
      <c r="Z21" s="122">
        <f t="shared" si="2"/>
        <v>6770.5642087619708</v>
      </c>
      <c r="AA21" s="122">
        <f t="shared" si="2"/>
        <v>6957.315731757255</v>
      </c>
      <c r="AB21" s="122">
        <f t="shared" si="2"/>
        <v>5153.7985360133725</v>
      </c>
      <c r="AC21" s="122">
        <f t="shared" si="2"/>
        <v>3313.8131729521192</v>
      </c>
      <c r="AD21" s="122">
        <f t="shared" si="2"/>
        <v>4039.2993705345834</v>
      </c>
      <c r="AE21" s="122">
        <f t="shared" si="2"/>
        <v>4579.7145224730975</v>
      </c>
      <c r="AF21" s="122">
        <f t="shared" si="2"/>
        <v>4839.8615800047355</v>
      </c>
      <c r="AG21" s="122">
        <f t="shared" si="2"/>
        <v>5406.0394467431033</v>
      </c>
      <c r="AH21" s="122">
        <f t="shared" si="2"/>
        <v>5685.7811955944198</v>
      </c>
      <c r="AI21" s="122">
        <f t="shared" si="2"/>
        <v>6700.7386481415342</v>
      </c>
      <c r="AJ21" s="122">
        <f t="shared" si="2"/>
        <v>7004.2141970656166</v>
      </c>
      <c r="AK21" s="122">
        <f t="shared" si="2"/>
        <v>7630.4762684663965</v>
      </c>
      <c r="AL21" s="122">
        <f t="shared" si="2"/>
        <v>7956.7995555114303</v>
      </c>
      <c r="AM21" s="122">
        <f t="shared" si="2"/>
        <v>8614.7687134445423</v>
      </c>
      <c r="AN21" s="122">
        <f t="shared" si="2"/>
        <v>9321.840997047806</v>
      </c>
      <c r="AO21" s="122">
        <f t="shared" si="2"/>
        <v>10054.792216033982</v>
      </c>
      <c r="AP21" s="122">
        <f t="shared" si="2"/>
        <v>10417.609838565706</v>
      </c>
      <c r="AQ21" s="122">
        <f t="shared" si="2"/>
        <v>10803.739111954999</v>
      </c>
      <c r="AR21" s="122">
        <f t="shared" si="2"/>
        <v>6998.6032792639417</v>
      </c>
      <c r="AS21" s="122">
        <f t="shared" si="2"/>
        <v>7368.6813497910334</v>
      </c>
      <c r="AT21" s="122">
        <f t="shared" si="2"/>
        <v>7027.5397617001363</v>
      </c>
      <c r="AU21" s="122">
        <f t="shared" si="2"/>
        <v>7408.1870122351065</v>
      </c>
      <c r="AV21" s="122">
        <f t="shared" si="2"/>
        <v>7058.5577560739257</v>
      </c>
      <c r="AW21" s="122">
        <f t="shared" si="2"/>
        <v>7055.2690997261852</v>
      </c>
      <c r="AX21" s="122">
        <f t="shared" si="2"/>
        <v>7222.8107573686211</v>
      </c>
      <c r="AY21" s="122">
        <f t="shared" si="2"/>
        <v>7678.729954429491</v>
      </c>
      <c r="AZ21" s="122">
        <f t="shared" si="2"/>
        <v>7254.9868146571789</v>
      </c>
      <c r="BA21" s="122">
        <f t="shared" si="2"/>
        <v>7718.9019601722684</v>
      </c>
      <c r="BB21" s="122">
        <f t="shared" si="2"/>
        <v>26355.226543934212</v>
      </c>
      <c r="BC21" s="122">
        <f t="shared" si="2"/>
        <v>26665.4957125605</v>
      </c>
      <c r="BD21" s="122">
        <f t="shared" si="2"/>
        <v>26679.509517069491</v>
      </c>
      <c r="BE21" s="122">
        <f t="shared" si="2"/>
        <v>27238.761751659724</v>
      </c>
      <c r="BF21" s="122">
        <f t="shared" si="2"/>
        <v>27132.130690617203</v>
      </c>
      <c r="BG21" s="122">
        <f t="shared" si="2"/>
        <v>27708.238269792957</v>
      </c>
      <c r="BH21" s="122">
        <f t="shared" si="2"/>
        <v>27730.379693491417</v>
      </c>
      <c r="BI21" s="122">
        <f t="shared" si="2"/>
        <v>27173.623053413656</v>
      </c>
      <c r="BJ21" s="122">
        <f t="shared" si="2"/>
        <v>29384.936361395878</v>
      </c>
      <c r="BK21" s="122">
        <f t="shared" si="2"/>
        <v>27650.661466390051</v>
      </c>
      <c r="BL21" s="122">
        <f t="shared" si="2"/>
        <v>30054.355071744991</v>
      </c>
      <c r="BM21" s="122">
        <f t="shared" si="2"/>
        <v>28279.983539298279</v>
      </c>
      <c r="BN21" s="122">
        <f t="shared" si="2"/>
        <v>30746.866707974674</v>
      </c>
      <c r="BO21" s="122">
        <f t="shared" si="2"/>
        <v>28931.078249245016</v>
      </c>
      <c r="BP21" s="122">
        <f t="shared" si="2"/>
        <v>31462.428741065087</v>
      </c>
      <c r="BQ21" s="122">
        <f t="shared" si="2"/>
        <v>29603.901052597634</v>
      </c>
      <c r="BR21" s="122">
        <f t="shared" ref="BR21:CA21" si="3">BR$14</f>
        <v>30914.484995175917</v>
      </c>
      <c r="BS21" s="122">
        <f t="shared" si="3"/>
        <v>31601.01961146824</v>
      </c>
      <c r="BT21" s="122">
        <f t="shared" si="3"/>
        <v>31972.652849087732</v>
      </c>
      <c r="BU21" s="122">
        <f t="shared" si="3"/>
        <v>32349.94987889695</v>
      </c>
      <c r="BV21" s="122">
        <f t="shared" si="3"/>
        <v>38197.796604595853</v>
      </c>
      <c r="BW21" s="122">
        <f t="shared" si="3"/>
        <v>0</v>
      </c>
      <c r="BX21" s="122">
        <f t="shared" si="3"/>
        <v>0</v>
      </c>
      <c r="BY21" s="122">
        <f t="shared" si="3"/>
        <v>0</v>
      </c>
      <c r="BZ21" s="122">
        <f t="shared" si="3"/>
        <v>0</v>
      </c>
      <c r="CA21" s="122">
        <f t="shared" si="3"/>
        <v>0</v>
      </c>
    </row>
    <row r="22" spans="1:79" s="124" customFormat="1" x14ac:dyDescent="0.2">
      <c r="A22" s="166"/>
      <c r="B22" s="166"/>
      <c r="C22" s="167"/>
      <c r="D22" s="168"/>
    </row>
    <row r="23" spans="1:79" s="297" customFormat="1" x14ac:dyDescent="0.2">
      <c r="A23" s="292"/>
      <c r="B23" s="293"/>
      <c r="C23" s="294"/>
      <c r="D23" s="295"/>
      <c r="E23" s="296" t="s">
        <v>266</v>
      </c>
      <c r="F23" s="298">
        <f xml:space="preserve"> XIRR(J20:CA21, J17:CA18, 10%)</f>
        <v>0.15894809365272525</v>
      </c>
      <c r="G23" s="297" t="s">
        <v>199</v>
      </c>
    </row>
    <row r="26" spans="1:79" s="291" customFormat="1" x14ac:dyDescent="0.2">
      <c r="A26" s="286"/>
      <c r="B26" s="286"/>
      <c r="C26" s="287"/>
      <c r="D26" s="288"/>
      <c r="E26" s="289" t="str">
        <f xml:space="preserve"> ConTime!E$13</f>
        <v>Construction period month ending</v>
      </c>
      <c r="F26" s="289">
        <f xml:space="preserve"> ConTime!F$13</f>
        <v>0</v>
      </c>
      <c r="G26" s="289">
        <f xml:space="preserve"> ConTime!G$13</f>
        <v>0</v>
      </c>
      <c r="H26" s="289">
        <f xml:space="preserve"> ConTime!H$13</f>
        <v>0</v>
      </c>
      <c r="I26" s="289">
        <f xml:space="preserve"> ConTime!I$13</f>
        <v>0</v>
      </c>
      <c r="J26" s="289">
        <f xml:space="preserve"> ConTime!J$13</f>
        <v>41698</v>
      </c>
      <c r="K26" s="289">
        <f xml:space="preserve"> ConTime!K$13</f>
        <v>41729</v>
      </c>
      <c r="L26" s="289">
        <f xml:space="preserve"> ConTime!L$13</f>
        <v>41759</v>
      </c>
      <c r="M26" s="289">
        <f xml:space="preserve"> ConTime!M$13</f>
        <v>41790</v>
      </c>
      <c r="N26" s="289">
        <f xml:space="preserve"> ConTime!N$13</f>
        <v>41820</v>
      </c>
      <c r="O26" s="289">
        <f xml:space="preserve"> ConTime!O$13</f>
        <v>41851</v>
      </c>
      <c r="P26" s="289">
        <f xml:space="preserve"> ConTime!P$13</f>
        <v>41882</v>
      </c>
      <c r="Q26" s="289">
        <f xml:space="preserve"> ConTime!Q$13</f>
        <v>41912</v>
      </c>
      <c r="R26" s="289">
        <f xml:space="preserve"> ConTime!R$13</f>
        <v>41943</v>
      </c>
      <c r="S26" s="289">
        <f xml:space="preserve"> ConTime!S$13</f>
        <v>41973</v>
      </c>
      <c r="T26" s="289">
        <f xml:space="preserve"> ConTime!T$13</f>
        <v>42004</v>
      </c>
      <c r="U26" s="289">
        <f xml:space="preserve"> ConTime!U$13</f>
        <v>42035</v>
      </c>
      <c r="V26" s="289">
        <f xml:space="preserve"> ConTime!V$13</f>
        <v>42063</v>
      </c>
      <c r="W26" s="289">
        <f xml:space="preserve"> ConTime!W$13</f>
        <v>42094</v>
      </c>
      <c r="X26" s="289">
        <f xml:space="preserve"> ConTime!X$13</f>
        <v>42124</v>
      </c>
      <c r="Y26" s="289">
        <f xml:space="preserve"> ConTime!Y$13</f>
        <v>42155</v>
      </c>
      <c r="Z26" s="289">
        <f xml:space="preserve"> ConTime!Z$13</f>
        <v>42185</v>
      </c>
      <c r="AA26" s="289">
        <f xml:space="preserve"> ConTime!AA$13</f>
        <v>42216</v>
      </c>
      <c r="AB26" s="289">
        <f xml:space="preserve"> ConTime!AB$13</f>
        <v>42247</v>
      </c>
      <c r="AC26" s="289">
        <f xml:space="preserve"> ConTime!AC$13</f>
        <v>42277</v>
      </c>
      <c r="AD26" s="289">
        <f xml:space="preserve"> ConTime!AD$13</f>
        <v>42308</v>
      </c>
      <c r="AE26" s="289">
        <f xml:space="preserve"> ConTime!AE$13</f>
        <v>42338</v>
      </c>
      <c r="AF26" s="289">
        <f xml:space="preserve"> ConTime!AF$13</f>
        <v>42369</v>
      </c>
      <c r="AG26" s="289">
        <f xml:space="preserve"> ConTime!AG$13</f>
        <v>42400</v>
      </c>
      <c r="AH26" s="289">
        <f xml:space="preserve"> ConTime!AH$13</f>
        <v>42429</v>
      </c>
      <c r="AI26" s="289">
        <f xml:space="preserve"> ConTime!AI$13</f>
        <v>42460</v>
      </c>
      <c r="AJ26" s="289">
        <f xml:space="preserve"> ConTime!AJ$13</f>
        <v>42490</v>
      </c>
      <c r="AK26" s="289">
        <f xml:space="preserve"> ConTime!AK$13</f>
        <v>42521</v>
      </c>
      <c r="AL26" s="289">
        <f xml:space="preserve"> ConTime!AL$13</f>
        <v>42551</v>
      </c>
      <c r="AM26" s="289">
        <f xml:space="preserve"> ConTime!AM$13</f>
        <v>42582</v>
      </c>
      <c r="AN26" s="289">
        <f xml:space="preserve"> ConTime!AN$13</f>
        <v>42613</v>
      </c>
      <c r="AO26" s="289">
        <f xml:space="preserve"> ConTime!AO$13</f>
        <v>42643</v>
      </c>
      <c r="AP26" s="289">
        <f xml:space="preserve"> ConTime!AP$13</f>
        <v>42674</v>
      </c>
      <c r="AQ26" s="289">
        <f xml:space="preserve"> ConTime!AQ$13</f>
        <v>42704</v>
      </c>
      <c r="AR26" s="289">
        <f xml:space="preserve"> ConTime!AR$13</f>
        <v>42735</v>
      </c>
      <c r="AS26" s="289">
        <f xml:space="preserve"> ConTime!AS$13</f>
        <v>42766</v>
      </c>
      <c r="AT26" s="289">
        <f xml:space="preserve"> ConTime!AT$13</f>
        <v>42794</v>
      </c>
      <c r="AU26" s="289">
        <f xml:space="preserve"> ConTime!AU$13</f>
        <v>42825</v>
      </c>
      <c r="AV26" s="289">
        <f xml:space="preserve"> ConTime!AV$13</f>
        <v>42855</v>
      </c>
      <c r="AW26" s="289">
        <f xml:space="preserve"> ConTime!AW$13</f>
        <v>42886</v>
      </c>
      <c r="AX26" s="289">
        <f xml:space="preserve"> ConTime!AX$13</f>
        <v>42916</v>
      </c>
      <c r="AY26" s="289">
        <f xml:space="preserve"> ConTime!AY$13</f>
        <v>42947</v>
      </c>
      <c r="AZ26" s="289">
        <f xml:space="preserve"> ConTime!AZ$13</f>
        <v>42978</v>
      </c>
      <c r="BA26" s="290"/>
      <c r="BB26" s="290"/>
      <c r="BC26" s="290"/>
      <c r="BD26" s="290"/>
      <c r="BE26" s="290"/>
      <c r="BF26" s="290"/>
      <c r="BG26" s="290"/>
      <c r="BH26" s="290"/>
      <c r="BI26" s="290"/>
      <c r="BJ26" s="290"/>
      <c r="BK26" s="290"/>
      <c r="BL26" s="290"/>
      <c r="BM26" s="290"/>
      <c r="BN26" s="290"/>
      <c r="BO26" s="290"/>
      <c r="BP26" s="290"/>
      <c r="BQ26" s="290"/>
      <c r="BR26" s="290"/>
      <c r="BS26" s="290"/>
      <c r="BT26" s="290"/>
      <c r="BU26" s="290"/>
      <c r="BV26" s="290"/>
      <c r="BW26" s="290"/>
      <c r="BX26" s="290"/>
      <c r="BY26" s="290"/>
      <c r="BZ26" s="290"/>
      <c r="CA26" s="290"/>
    </row>
    <row r="27" spans="1:79" s="284" customFormat="1" x14ac:dyDescent="0.2">
      <c r="A27" s="280"/>
      <c r="B27" s="281"/>
      <c r="C27" s="282"/>
      <c r="D27" s="283"/>
      <c r="E27" s="284" t="s">
        <v>162</v>
      </c>
      <c r="F27" s="284" t="s">
        <v>3</v>
      </c>
      <c r="G27" s="284" t="s">
        <v>4</v>
      </c>
      <c r="H27" s="284" t="s">
        <v>5</v>
      </c>
      <c r="I27" s="284">
        <v>0</v>
      </c>
      <c r="J27" s="284">
        <v>41639</v>
      </c>
      <c r="K27" s="284">
        <v>41820</v>
      </c>
      <c r="L27" s="284">
        <v>42004</v>
      </c>
      <c r="M27" s="284">
        <v>42185</v>
      </c>
      <c r="N27" s="284">
        <v>42369</v>
      </c>
      <c r="O27" s="284">
        <v>42551</v>
      </c>
      <c r="P27" s="284">
        <v>42735</v>
      </c>
      <c r="Q27" s="284">
        <v>42916</v>
      </c>
      <c r="R27" s="284">
        <v>43100</v>
      </c>
      <c r="S27" s="284">
        <v>43281</v>
      </c>
      <c r="T27" s="284">
        <v>43465</v>
      </c>
      <c r="U27" s="284">
        <v>43646</v>
      </c>
      <c r="V27" s="284">
        <v>43830</v>
      </c>
      <c r="W27" s="284">
        <v>44012</v>
      </c>
      <c r="X27" s="284">
        <v>44196</v>
      </c>
      <c r="Y27" s="284">
        <v>44377</v>
      </c>
      <c r="Z27" s="284">
        <v>44561</v>
      </c>
      <c r="AA27" s="284">
        <v>44742</v>
      </c>
      <c r="AB27" s="284">
        <v>44926</v>
      </c>
      <c r="AC27" s="284">
        <v>45107</v>
      </c>
      <c r="AD27" s="284">
        <v>45291</v>
      </c>
      <c r="AE27" s="284">
        <v>45473</v>
      </c>
      <c r="AF27" s="284">
        <v>45657</v>
      </c>
      <c r="AG27" s="284">
        <v>45838</v>
      </c>
      <c r="AH27" s="284">
        <v>46022</v>
      </c>
      <c r="AI27" s="284">
        <v>46203</v>
      </c>
      <c r="AJ27" s="284">
        <v>46387</v>
      </c>
      <c r="AK27" s="284">
        <v>46568</v>
      </c>
      <c r="AL27" s="284">
        <v>46752</v>
      </c>
      <c r="AM27" s="284">
        <v>46934</v>
      </c>
      <c r="AN27" s="284">
        <v>47118</v>
      </c>
      <c r="AO27" s="284">
        <v>47299</v>
      </c>
      <c r="AP27" s="284">
        <v>47483</v>
      </c>
      <c r="AQ27" s="284">
        <v>47664</v>
      </c>
      <c r="AR27" s="284">
        <v>47848</v>
      </c>
      <c r="AS27" s="284">
        <v>48029</v>
      </c>
      <c r="AT27" s="284">
        <v>48213</v>
      </c>
      <c r="AU27" s="284">
        <v>48395</v>
      </c>
      <c r="AV27" s="284">
        <v>48579</v>
      </c>
      <c r="AW27" s="284">
        <v>48760</v>
      </c>
      <c r="AX27" s="284">
        <v>48944</v>
      </c>
      <c r="AY27" s="284">
        <v>49125</v>
      </c>
      <c r="AZ27" s="284">
        <v>49309</v>
      </c>
      <c r="BA27" s="284">
        <v>49490</v>
      </c>
      <c r="BB27" s="284">
        <v>49674</v>
      </c>
      <c r="BC27" s="284">
        <v>49856</v>
      </c>
      <c r="BD27" s="284">
        <v>50040</v>
      </c>
      <c r="BE27" s="284">
        <v>50221</v>
      </c>
      <c r="BF27" s="284">
        <v>50405</v>
      </c>
      <c r="BG27" s="284">
        <v>50586</v>
      </c>
      <c r="BH27" s="284">
        <v>50770</v>
      </c>
      <c r="BI27" s="284">
        <v>50951</v>
      </c>
      <c r="BJ27" s="284">
        <v>51135</v>
      </c>
      <c r="BK27" s="284">
        <v>51317</v>
      </c>
      <c r="BL27" s="284">
        <v>51501</v>
      </c>
      <c r="BM27" s="284">
        <v>51682</v>
      </c>
      <c r="BN27" s="284">
        <v>51866</v>
      </c>
      <c r="BO27" s="284">
        <v>52047</v>
      </c>
      <c r="BP27" s="284">
        <v>52231</v>
      </c>
      <c r="BQ27" s="284">
        <v>52412</v>
      </c>
      <c r="BR27" s="284">
        <v>52596</v>
      </c>
      <c r="BS27" s="284">
        <v>52778</v>
      </c>
      <c r="BT27" s="284">
        <v>52962</v>
      </c>
      <c r="BU27" s="284">
        <v>53143</v>
      </c>
      <c r="BV27" s="284">
        <v>53327</v>
      </c>
      <c r="BW27" s="284">
        <v>53508</v>
      </c>
      <c r="BX27" s="284">
        <v>53692</v>
      </c>
      <c r="BY27" s="284">
        <v>53873</v>
      </c>
      <c r="BZ27" s="284">
        <v>54057</v>
      </c>
      <c r="CA27" s="284">
        <v>54239</v>
      </c>
    </row>
    <row r="28" spans="1:79" s="122" customFormat="1" x14ac:dyDescent="0.2">
      <c r="A28" s="119"/>
      <c r="B28" s="166"/>
      <c r="C28" s="167"/>
      <c r="D28" s="121"/>
    </row>
    <row r="29" spans="1:79" s="197" customFormat="1" x14ac:dyDescent="0.2">
      <c r="A29" s="264"/>
      <c r="B29" s="264"/>
      <c r="C29" s="265"/>
      <c r="D29" s="266"/>
      <c r="E29" s="362" t="str">
        <f>ConFin!E$100</f>
        <v>Equity investment NEG (for XIRR)</v>
      </c>
      <c r="F29" s="362">
        <f>ConFin!F$100</f>
        <v>0</v>
      </c>
      <c r="G29" s="362">
        <f>ConFin!G$100</f>
        <v>0</v>
      </c>
      <c r="H29" s="362">
        <f>ConFin!H$100</f>
        <v>-80680.988936574955</v>
      </c>
      <c r="I29" s="362">
        <f>ConFin!I$100</f>
        <v>0</v>
      </c>
      <c r="J29" s="361">
        <f>ConFin!J$100</f>
        <v>-14430</v>
      </c>
      <c r="K29" s="362">
        <f>ConFin!K$100</f>
        <v>-2186.8488333333335</v>
      </c>
      <c r="L29" s="362">
        <f>ConFin!L$100</f>
        <v>-2192.6589709166656</v>
      </c>
      <c r="M29" s="362">
        <f>ConFin!M$100</f>
        <v>-2202.7367144231957</v>
      </c>
      <c r="N29" s="362">
        <f>ConFin!N$100</f>
        <v>-2208.0428558153562</v>
      </c>
      <c r="O29" s="362">
        <f>ConFin!O$100</f>
        <v>-2218.7380425307838</v>
      </c>
      <c r="P29" s="362">
        <f>ConFin!P$100</f>
        <v>-2226.7871310961873</v>
      </c>
      <c r="Q29" s="362">
        <f>ConFin!Q$100</f>
        <v>-2231.3303439184037</v>
      </c>
      <c r="R29" s="362">
        <f>ConFin!R$100</f>
        <v>-2242.9601906027674</v>
      </c>
      <c r="S29" s="362">
        <f>ConFin!S$100</f>
        <v>-2246.9903607892284</v>
      </c>
      <c r="T29" s="362">
        <f>ConFin!T$100</f>
        <v>-2259.2487334364287</v>
      </c>
      <c r="U29" s="362">
        <f>ConFin!U$100</f>
        <v>-2267.4447857860614</v>
      </c>
      <c r="V29" s="362">
        <f>ConFin!V$100</f>
        <v>-2260.7536199232582</v>
      </c>
      <c r="W29" s="362">
        <f>ConFin!W$100</f>
        <v>-2283.872083335662</v>
      </c>
      <c r="X29" s="362">
        <f>ConFin!X$100</f>
        <v>-2286.6044443306746</v>
      </c>
      <c r="Y29" s="362">
        <f>ConFin!Y$100</f>
        <v>-2300.4527565165845</v>
      </c>
      <c r="Z29" s="362">
        <f>ConFin!Z$100</f>
        <v>-2302.6591445336398</v>
      </c>
      <c r="AA29" s="362">
        <f>ConFin!AA$100</f>
        <v>-2317.1518235798394</v>
      </c>
      <c r="AB29" s="362">
        <f>ConFin!AB$100</f>
        <v>-2325.5579354731599</v>
      </c>
      <c r="AC29" s="362">
        <f>ConFin!AC$100</f>
        <v>-2326.9679356961933</v>
      </c>
      <c r="AD29" s="362">
        <f>ConFin!AD$100</f>
        <v>-2342.4362654391243</v>
      </c>
      <c r="AE29" s="362">
        <f>ConFin!AE$100</f>
        <v>-2343.3108504001666</v>
      </c>
      <c r="AF29" s="362">
        <f>ConFin!AF$100</f>
        <v>-18677.435114698252</v>
      </c>
      <c r="AG29" s="362">
        <f>ConFin!AG$100</f>
        <v>0</v>
      </c>
      <c r="AH29" s="362">
        <f>ConFin!AH$100</f>
        <v>0</v>
      </c>
      <c r="AI29" s="362">
        <f>ConFin!AI$100</f>
        <v>0</v>
      </c>
      <c r="AJ29" s="362">
        <f>ConFin!AJ$100</f>
        <v>0</v>
      </c>
      <c r="AK29" s="362">
        <f>ConFin!AK$100</f>
        <v>0</v>
      </c>
      <c r="AL29" s="362">
        <f>ConFin!AL$100</f>
        <v>0</v>
      </c>
      <c r="AM29" s="362">
        <f>ConFin!AM$100</f>
        <v>0</v>
      </c>
      <c r="AN29" s="362">
        <f>ConFin!AN$100</f>
        <v>0</v>
      </c>
      <c r="AO29" s="362">
        <f>ConFin!AO$100</f>
        <v>0</v>
      </c>
      <c r="AP29" s="362">
        <f>ConFin!AP$100</f>
        <v>0</v>
      </c>
      <c r="AQ29" s="362">
        <f>ConFin!AQ$100</f>
        <v>0</v>
      </c>
      <c r="AR29" s="362">
        <f>ConFin!AR$100</f>
        <v>0</v>
      </c>
      <c r="AS29" s="362">
        <f>ConFin!AS$100</f>
        <v>0</v>
      </c>
      <c r="AT29" s="362">
        <f>ConFin!AT$100</f>
        <v>0</v>
      </c>
      <c r="AU29" s="362">
        <f>ConFin!AU$100</f>
        <v>0</v>
      </c>
      <c r="AV29" s="362">
        <f>ConFin!AV$100</f>
        <v>0</v>
      </c>
      <c r="AW29" s="362">
        <f>ConFin!AW$100</f>
        <v>0</v>
      </c>
      <c r="AX29" s="362">
        <f>ConFin!AX$100</f>
        <v>0</v>
      </c>
      <c r="AY29" s="362">
        <f>ConFin!AY$100</f>
        <v>0</v>
      </c>
      <c r="AZ29" s="362">
        <f>ConFin!AZ$100</f>
        <v>0</v>
      </c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180"/>
      <c r="BY29" s="180"/>
      <c r="BZ29" s="180"/>
      <c r="CA29" s="180"/>
    </row>
    <row r="30" spans="1:79" s="118" customFormat="1" x14ac:dyDescent="0.2">
      <c r="A30" s="115"/>
      <c r="B30" s="264"/>
      <c r="C30" s="265"/>
      <c r="D30" s="117"/>
      <c r="E30" s="118" t="str">
        <f xml:space="preserve"> Finstat!E$52</f>
        <v>Cash flow available for shareholder loan</v>
      </c>
      <c r="F30" s="118">
        <f xml:space="preserve"> Finstat!F$52</f>
        <v>0</v>
      </c>
      <c r="G30" s="118">
        <f xml:space="preserve"> Finstat!G$52</f>
        <v>0</v>
      </c>
      <c r="H30" s="118">
        <f xml:space="preserve"> Finstat!H$52</f>
        <v>884084.91671888414</v>
      </c>
      <c r="I30" s="118">
        <f xml:space="preserve"> Finstat!I$52</f>
        <v>0</v>
      </c>
      <c r="J30" s="118">
        <f xml:space="preserve"> Finstat!J$52</f>
        <v>0</v>
      </c>
      <c r="K30" s="118">
        <f xml:space="preserve"> Finstat!K$52</f>
        <v>0</v>
      </c>
      <c r="L30" s="118">
        <f xml:space="preserve"> Finstat!L$52</f>
        <v>0</v>
      </c>
      <c r="M30" s="118">
        <f xml:space="preserve"> Finstat!M$52</f>
        <v>0</v>
      </c>
      <c r="N30" s="118">
        <f xml:space="preserve"> Finstat!N$52</f>
        <v>0</v>
      </c>
      <c r="O30" s="118">
        <f xml:space="preserve"> Finstat!O$52</f>
        <v>0</v>
      </c>
      <c r="P30" s="118">
        <f xml:space="preserve"> Finstat!P$52</f>
        <v>4006.8110803501586</v>
      </c>
      <c r="Q30" s="118">
        <f xml:space="preserve"> Finstat!Q$52</f>
        <v>8588.7100229398784</v>
      </c>
      <c r="R30" s="118">
        <f xml:space="preserve"> Finstat!R$52</f>
        <v>6847.1730507980828</v>
      </c>
      <c r="S30" s="118">
        <f xml:space="preserve"> Finstat!S$52</f>
        <v>7335.4697624993314</v>
      </c>
      <c r="T30" s="118">
        <f xml:space="preserve"> Finstat!T$52</f>
        <v>6795.67227243042</v>
      </c>
      <c r="U30" s="118">
        <f xml:space="preserve"> Finstat!U$52</f>
        <v>7019.0445788575416</v>
      </c>
      <c r="V30" s="118">
        <f xml:space="preserve"> Finstat!V$52</f>
        <v>6780.964806829099</v>
      </c>
      <c r="W30" s="118">
        <f xml:space="preserve"> Finstat!W$52</f>
        <v>6679.7485736952076</v>
      </c>
      <c r="X30" s="118">
        <f xml:space="preserve"> Finstat!X$52</f>
        <v>7052.741941658649</v>
      </c>
      <c r="Y30" s="118">
        <f xml:space="preserve"> Finstat!Y$52</f>
        <v>7101.6652108655544</v>
      </c>
      <c r="Z30" s="118">
        <f xml:space="preserve"> Finstat!Z$52</f>
        <v>6770.5642087619708</v>
      </c>
      <c r="AA30" s="118">
        <f xml:space="preserve"> Finstat!AA$52</f>
        <v>6957.315731757255</v>
      </c>
      <c r="AB30" s="118">
        <f xml:space="preserve"> Finstat!AB$52</f>
        <v>6747.6019038196464</v>
      </c>
      <c r="AC30" s="118">
        <f xml:space="preserve"> Finstat!AC$52</f>
        <v>6607.3645984969226</v>
      </c>
      <c r="AD30" s="118">
        <f xml:space="preserve"> Finstat!AD$52</f>
        <v>6854.7260366058617</v>
      </c>
      <c r="AE30" s="118">
        <f xml:space="preserve"> Finstat!AE$52</f>
        <v>7105.9088349407102</v>
      </c>
      <c r="AF30" s="118">
        <f xml:space="preserve"> Finstat!AF$52</f>
        <v>6852.5904507800078</v>
      </c>
      <c r="AG30" s="118">
        <f xml:space="preserve"> Finstat!AG$52</f>
        <v>7115.4838878899245</v>
      </c>
      <c r="AH30" s="118">
        <f xml:space="preserve"> Finstat!AH$52</f>
        <v>6986.9625611588708</v>
      </c>
      <c r="AI30" s="118">
        <f xml:space="preserve"> Finstat!AI$52</f>
        <v>7081.9136182649781</v>
      </c>
      <c r="AJ30" s="118">
        <f xml:space="preserve"> Finstat!AJ$52</f>
        <v>6820.8672969819199</v>
      </c>
      <c r="AK30" s="118">
        <f xml:space="preserve"> Finstat!AK$52</f>
        <v>7104.6160147483897</v>
      </c>
      <c r="AL30" s="118">
        <f xml:space="preserve"> Finstat!AL$52</f>
        <v>6839.4273908582618</v>
      </c>
      <c r="AM30" s="118">
        <f xml:space="preserve"> Finstat!AM$52</f>
        <v>6875.9245214518378</v>
      </c>
      <c r="AN30" s="118">
        <f xml:space="preserve"> Finstat!AN$52</f>
        <v>6942.1844597405761</v>
      </c>
      <c r="AO30" s="118">
        <f xml:space="preserve"> Finstat!AO$52</f>
        <v>7291.4748017445017</v>
      </c>
      <c r="AP30" s="118">
        <f xml:space="preserve"> Finstat!AP$52</f>
        <v>6967.1402542049909</v>
      </c>
      <c r="AQ30" s="118">
        <f xml:space="preserve"> Finstat!AQ$52</f>
        <v>7329.100738860041</v>
      </c>
      <c r="AR30" s="118">
        <f xml:space="preserve"> Finstat!AR$52</f>
        <v>6998.6032792639417</v>
      </c>
      <c r="AS30" s="118">
        <f xml:space="preserve"> Finstat!AS$52</f>
        <v>7368.6813497910334</v>
      </c>
      <c r="AT30" s="118">
        <f xml:space="preserve"> Finstat!AT$52</f>
        <v>7027.5397617001363</v>
      </c>
      <c r="AU30" s="118">
        <f xml:space="preserve"> Finstat!AU$52</f>
        <v>7408.1870122351065</v>
      </c>
      <c r="AV30" s="118">
        <f xml:space="preserve"> Finstat!AV$52</f>
        <v>7058.5577560739257</v>
      </c>
      <c r="AW30" s="118">
        <f xml:space="preserve"> Finstat!AW$52</f>
        <v>7055.2690997261852</v>
      </c>
      <c r="AX30" s="118">
        <f xml:space="preserve"> Finstat!AX$52</f>
        <v>7222.8107573686211</v>
      </c>
      <c r="AY30" s="118">
        <f xml:space="preserve"> Finstat!AY$52</f>
        <v>7678.729954429491</v>
      </c>
      <c r="AZ30" s="118">
        <f xml:space="preserve"> Finstat!AZ$52</f>
        <v>7254.9868146571789</v>
      </c>
      <c r="BA30" s="118">
        <f xml:space="preserve"> Finstat!BA$52</f>
        <v>7718.9019601722684</v>
      </c>
      <c r="BB30" s="118">
        <f xml:space="preserve"> Finstat!BB$52</f>
        <v>26355.226543934212</v>
      </c>
      <c r="BC30" s="118">
        <f xml:space="preserve"> Finstat!BC$52</f>
        <v>26665.4957125605</v>
      </c>
      <c r="BD30" s="118">
        <f xml:space="preserve"> Finstat!BD$52</f>
        <v>26679.509517069491</v>
      </c>
      <c r="BE30" s="118">
        <f xml:space="preserve"> Finstat!BE$52</f>
        <v>27238.761751659724</v>
      </c>
      <c r="BF30" s="118">
        <f xml:space="preserve"> Finstat!BF$52</f>
        <v>27132.130690617203</v>
      </c>
      <c r="BG30" s="118">
        <f xml:space="preserve"> Finstat!BG$52</f>
        <v>27708.238269792957</v>
      </c>
      <c r="BH30" s="118">
        <f xml:space="preserve"> Finstat!BH$52</f>
        <v>27730.379693491417</v>
      </c>
      <c r="BI30" s="118">
        <f xml:space="preserve"> Finstat!BI$52</f>
        <v>27173.623053413656</v>
      </c>
      <c r="BJ30" s="118">
        <f xml:space="preserve"> Finstat!BJ$52</f>
        <v>29384.936361395878</v>
      </c>
      <c r="BK30" s="118">
        <f xml:space="preserve"> Finstat!BK$52</f>
        <v>27650.661466390051</v>
      </c>
      <c r="BL30" s="118">
        <f xml:space="preserve"> Finstat!BL$52</f>
        <v>30054.355071744991</v>
      </c>
      <c r="BM30" s="118">
        <f xml:space="preserve"> Finstat!BM$52</f>
        <v>28279.983539298279</v>
      </c>
      <c r="BN30" s="118">
        <f xml:space="preserve"> Finstat!BN$52</f>
        <v>30746.866707974674</v>
      </c>
      <c r="BO30" s="118">
        <f xml:space="preserve"> Finstat!BO$52</f>
        <v>28931.078249245016</v>
      </c>
      <c r="BP30" s="118">
        <f xml:space="preserve"> Finstat!BP$52</f>
        <v>31462.428741065087</v>
      </c>
      <c r="BQ30" s="118">
        <f xml:space="preserve"> Finstat!BQ$52</f>
        <v>29603.901052597634</v>
      </c>
      <c r="BR30" s="118">
        <f xml:space="preserve"> Finstat!BR$52</f>
        <v>30914.484995175917</v>
      </c>
      <c r="BS30" s="118">
        <f xml:space="preserve"> Finstat!BS$52</f>
        <v>31601.01961146824</v>
      </c>
      <c r="BT30" s="118">
        <f xml:space="preserve"> Finstat!BT$52</f>
        <v>31972.652849087732</v>
      </c>
      <c r="BU30" s="118">
        <f xml:space="preserve"> Finstat!BU$52</f>
        <v>32349.94987889695</v>
      </c>
      <c r="BV30" s="118">
        <f xml:space="preserve"> Finstat!BV$52</f>
        <v>38197.796604595904</v>
      </c>
      <c r="BW30" s="118">
        <f xml:space="preserve"> Finstat!BW$52</f>
        <v>0</v>
      </c>
      <c r="BX30" s="118">
        <f xml:space="preserve"> Finstat!BX$52</f>
        <v>0</v>
      </c>
      <c r="BY30" s="118">
        <f xml:space="preserve"> Finstat!BY$52</f>
        <v>0</v>
      </c>
      <c r="BZ30" s="118">
        <f xml:space="preserve"> Finstat!BZ$52</f>
        <v>0</v>
      </c>
      <c r="CA30" s="118">
        <f xml:space="preserve"> Finstat!CA$52</f>
        <v>0</v>
      </c>
    </row>
    <row r="31" spans="1:79" s="124" customFormat="1" x14ac:dyDescent="0.2">
      <c r="A31" s="166"/>
      <c r="B31" s="166"/>
      <c r="C31" s="167"/>
      <c r="D31" s="168"/>
    </row>
    <row r="32" spans="1:79" s="297" customFormat="1" x14ac:dyDescent="0.2">
      <c r="A32" s="292"/>
      <c r="B32" s="293"/>
      <c r="C32" s="294"/>
      <c r="D32" s="295"/>
      <c r="E32" s="296" t="s">
        <v>269</v>
      </c>
      <c r="F32" s="298">
        <f xml:space="preserve"> XIRR(J29:CA30, J26:CA27, 10%)</f>
        <v>0.16183788180351258</v>
      </c>
      <c r="G32" s="297" t="s">
        <v>199</v>
      </c>
    </row>
    <row r="35" spans="1:79" x14ac:dyDescent="0.2">
      <c r="B35" s="82" t="s">
        <v>268</v>
      </c>
    </row>
    <row r="37" spans="1:79" s="291" customFormat="1" x14ac:dyDescent="0.2">
      <c r="A37" s="286"/>
      <c r="B37" s="286"/>
      <c r="C37" s="287"/>
      <c r="D37" s="288"/>
      <c r="E37" s="289" t="str">
        <f xml:space="preserve"> ConTime!E$13</f>
        <v>Construction period month ending</v>
      </c>
      <c r="F37" s="289">
        <f xml:space="preserve"> ConTime!F$13</f>
        <v>0</v>
      </c>
      <c r="G37" s="289">
        <f xml:space="preserve"> ConTime!G$13</f>
        <v>0</v>
      </c>
      <c r="H37" s="289">
        <f xml:space="preserve"> ConTime!H$13</f>
        <v>0</v>
      </c>
      <c r="I37" s="289">
        <f xml:space="preserve"> ConTime!I$13</f>
        <v>0</v>
      </c>
      <c r="J37" s="289">
        <f xml:space="preserve"> ConTime!J$13</f>
        <v>41698</v>
      </c>
      <c r="K37" s="289">
        <f xml:space="preserve"> ConTime!K$13</f>
        <v>41729</v>
      </c>
      <c r="L37" s="289">
        <f xml:space="preserve"> ConTime!L$13</f>
        <v>41759</v>
      </c>
      <c r="M37" s="289">
        <f xml:space="preserve"> ConTime!M$13</f>
        <v>41790</v>
      </c>
      <c r="N37" s="289">
        <f xml:space="preserve"> ConTime!N$13</f>
        <v>41820</v>
      </c>
      <c r="O37" s="289">
        <f xml:space="preserve"> ConTime!O$13</f>
        <v>41851</v>
      </c>
      <c r="P37" s="289">
        <f xml:space="preserve"> ConTime!P$13</f>
        <v>41882</v>
      </c>
      <c r="Q37" s="289">
        <f xml:space="preserve"> ConTime!Q$13</f>
        <v>41912</v>
      </c>
      <c r="R37" s="289">
        <f xml:space="preserve"> ConTime!R$13</f>
        <v>41943</v>
      </c>
      <c r="S37" s="289">
        <f xml:space="preserve"> ConTime!S$13</f>
        <v>41973</v>
      </c>
      <c r="T37" s="289">
        <f xml:space="preserve"> ConTime!T$13</f>
        <v>42004</v>
      </c>
      <c r="U37" s="289">
        <f xml:space="preserve"> ConTime!U$13</f>
        <v>42035</v>
      </c>
      <c r="V37" s="289">
        <f xml:space="preserve"> ConTime!V$13</f>
        <v>42063</v>
      </c>
      <c r="W37" s="289">
        <f xml:space="preserve"> ConTime!W$13</f>
        <v>42094</v>
      </c>
      <c r="X37" s="289">
        <f xml:space="preserve"> ConTime!X$13</f>
        <v>42124</v>
      </c>
      <c r="Y37" s="289">
        <f xml:space="preserve"> ConTime!Y$13</f>
        <v>42155</v>
      </c>
      <c r="Z37" s="289">
        <f xml:space="preserve"> ConTime!Z$13</f>
        <v>42185</v>
      </c>
      <c r="AA37" s="289">
        <f xml:space="preserve"> ConTime!AA$13</f>
        <v>42216</v>
      </c>
      <c r="AB37" s="289">
        <f xml:space="preserve"> ConTime!AB$13</f>
        <v>42247</v>
      </c>
      <c r="AC37" s="289">
        <f xml:space="preserve"> ConTime!AC$13</f>
        <v>42277</v>
      </c>
      <c r="AD37" s="289">
        <f xml:space="preserve"> ConTime!AD$13</f>
        <v>42308</v>
      </c>
      <c r="AE37" s="289">
        <f xml:space="preserve"> ConTime!AE$13</f>
        <v>42338</v>
      </c>
      <c r="AF37" s="289">
        <f xml:space="preserve"> ConTime!AF$13</f>
        <v>42369</v>
      </c>
      <c r="AG37" s="289">
        <f xml:space="preserve"> ConTime!AG$13</f>
        <v>42400</v>
      </c>
      <c r="AH37" s="289">
        <f xml:space="preserve"> ConTime!AH$13</f>
        <v>42429</v>
      </c>
      <c r="AI37" s="289">
        <f xml:space="preserve"> ConTime!AI$13</f>
        <v>42460</v>
      </c>
      <c r="AJ37" s="289">
        <f xml:space="preserve"> ConTime!AJ$13</f>
        <v>42490</v>
      </c>
      <c r="AK37" s="289">
        <f xml:space="preserve"> ConTime!AK$13</f>
        <v>42521</v>
      </c>
      <c r="AL37" s="289">
        <f xml:space="preserve"> ConTime!AL$13</f>
        <v>42551</v>
      </c>
      <c r="AM37" s="289">
        <f xml:space="preserve"> ConTime!AM$13</f>
        <v>42582</v>
      </c>
      <c r="AN37" s="289">
        <f xml:space="preserve"> ConTime!AN$13</f>
        <v>42613</v>
      </c>
      <c r="AO37" s="289">
        <f xml:space="preserve"> ConTime!AO$13</f>
        <v>42643</v>
      </c>
      <c r="AP37" s="289">
        <f xml:space="preserve"> ConTime!AP$13</f>
        <v>42674</v>
      </c>
      <c r="AQ37" s="289">
        <f xml:space="preserve"> ConTime!AQ$13</f>
        <v>42704</v>
      </c>
      <c r="AR37" s="289">
        <f xml:space="preserve"> ConTime!AR$13</f>
        <v>42735</v>
      </c>
      <c r="AS37" s="289">
        <f xml:space="preserve"> ConTime!AS$13</f>
        <v>42766</v>
      </c>
      <c r="AT37" s="289">
        <f xml:space="preserve"> ConTime!AT$13</f>
        <v>42794</v>
      </c>
      <c r="AU37" s="289">
        <f xml:space="preserve"> ConTime!AU$13</f>
        <v>42825</v>
      </c>
      <c r="AV37" s="289">
        <f xml:space="preserve"> ConTime!AV$13</f>
        <v>42855</v>
      </c>
      <c r="AW37" s="289">
        <f xml:space="preserve"> ConTime!AW$13</f>
        <v>42886</v>
      </c>
      <c r="AX37" s="289">
        <f xml:space="preserve"> ConTime!AX$13</f>
        <v>42916</v>
      </c>
      <c r="AY37" s="289">
        <f xml:space="preserve"> ConTime!AY$13</f>
        <v>42947</v>
      </c>
      <c r="AZ37" s="289">
        <f xml:space="preserve"> ConTime!AZ$13</f>
        <v>42978</v>
      </c>
      <c r="BA37" s="290"/>
      <c r="BB37" s="290"/>
      <c r="BC37" s="290"/>
      <c r="BD37" s="290"/>
      <c r="BE37" s="290"/>
      <c r="BF37" s="290"/>
      <c r="BG37" s="290"/>
      <c r="BH37" s="290"/>
      <c r="BI37" s="290"/>
      <c r="BJ37" s="290"/>
      <c r="BK37" s="290"/>
      <c r="BL37" s="290"/>
      <c r="BM37" s="290"/>
      <c r="BN37" s="290"/>
      <c r="BO37" s="290"/>
      <c r="BP37" s="290"/>
      <c r="BQ37" s="290"/>
      <c r="BR37" s="290"/>
      <c r="BS37" s="290"/>
      <c r="BT37" s="290"/>
      <c r="BU37" s="290"/>
      <c r="BV37" s="290"/>
      <c r="BW37" s="290"/>
      <c r="BX37" s="290"/>
      <c r="BY37" s="290"/>
      <c r="BZ37" s="290"/>
      <c r="CA37" s="290"/>
    </row>
    <row r="38" spans="1:79" s="284" customFormat="1" x14ac:dyDescent="0.2">
      <c r="A38" s="280"/>
      <c r="B38" s="281"/>
      <c r="C38" s="282"/>
      <c r="D38" s="283"/>
      <c r="E38" s="284" t="s">
        <v>162</v>
      </c>
      <c r="F38" s="284" t="s">
        <v>3</v>
      </c>
      <c r="G38" s="284" t="s">
        <v>4</v>
      </c>
      <c r="H38" s="284" t="s">
        <v>5</v>
      </c>
      <c r="I38" s="284">
        <v>0</v>
      </c>
      <c r="J38" s="284">
        <v>41639</v>
      </c>
      <c r="K38" s="284">
        <v>41820</v>
      </c>
      <c r="L38" s="284">
        <v>42004</v>
      </c>
      <c r="M38" s="284">
        <v>42185</v>
      </c>
      <c r="N38" s="284">
        <v>42369</v>
      </c>
      <c r="O38" s="284">
        <v>42551</v>
      </c>
      <c r="P38" s="284">
        <v>42735</v>
      </c>
      <c r="Q38" s="284">
        <v>42916</v>
      </c>
      <c r="R38" s="284">
        <v>43100</v>
      </c>
      <c r="S38" s="284">
        <v>43281</v>
      </c>
      <c r="T38" s="284">
        <v>43465</v>
      </c>
      <c r="U38" s="284">
        <v>43646</v>
      </c>
      <c r="V38" s="284">
        <v>43830</v>
      </c>
      <c r="W38" s="284">
        <v>44012</v>
      </c>
      <c r="X38" s="284">
        <v>44196</v>
      </c>
      <c r="Y38" s="284">
        <v>44377</v>
      </c>
      <c r="Z38" s="284">
        <v>44561</v>
      </c>
      <c r="AA38" s="284">
        <v>44742</v>
      </c>
      <c r="AB38" s="284">
        <v>44926</v>
      </c>
      <c r="AC38" s="284">
        <v>45107</v>
      </c>
      <c r="AD38" s="284">
        <v>45291</v>
      </c>
      <c r="AE38" s="284">
        <v>45473</v>
      </c>
      <c r="AF38" s="284">
        <v>45657</v>
      </c>
      <c r="AG38" s="284">
        <v>45838</v>
      </c>
      <c r="AH38" s="284">
        <v>46022</v>
      </c>
      <c r="AI38" s="284">
        <v>46203</v>
      </c>
      <c r="AJ38" s="284">
        <v>46387</v>
      </c>
      <c r="AK38" s="284">
        <v>46568</v>
      </c>
      <c r="AL38" s="284">
        <v>46752</v>
      </c>
      <c r="AM38" s="284">
        <v>46934</v>
      </c>
      <c r="AN38" s="284">
        <v>47118</v>
      </c>
      <c r="AO38" s="284">
        <v>47299</v>
      </c>
      <c r="AP38" s="284">
        <v>47483</v>
      </c>
      <c r="AQ38" s="284">
        <v>47664</v>
      </c>
      <c r="AR38" s="284">
        <v>47848</v>
      </c>
      <c r="AS38" s="284">
        <v>48029</v>
      </c>
      <c r="AT38" s="284">
        <v>48213</v>
      </c>
      <c r="AU38" s="284">
        <v>48395</v>
      </c>
      <c r="AV38" s="284">
        <v>48579</v>
      </c>
      <c r="AW38" s="284">
        <v>48760</v>
      </c>
      <c r="AX38" s="284">
        <v>48944</v>
      </c>
      <c r="AY38" s="284">
        <v>49125</v>
      </c>
      <c r="AZ38" s="284">
        <v>49309</v>
      </c>
      <c r="BA38" s="284">
        <v>49490</v>
      </c>
      <c r="BB38" s="284">
        <v>49674</v>
      </c>
      <c r="BC38" s="284">
        <v>49856</v>
      </c>
      <c r="BD38" s="284">
        <v>50040</v>
      </c>
      <c r="BE38" s="284">
        <v>50221</v>
      </c>
      <c r="BF38" s="284">
        <v>50405</v>
      </c>
      <c r="BG38" s="284">
        <v>50586</v>
      </c>
      <c r="BH38" s="284">
        <v>50770</v>
      </c>
      <c r="BI38" s="284">
        <v>50951</v>
      </c>
      <c r="BJ38" s="284">
        <v>51135</v>
      </c>
      <c r="BK38" s="284">
        <v>51317</v>
      </c>
      <c r="BL38" s="284">
        <v>51501</v>
      </c>
      <c r="BM38" s="284">
        <v>51682</v>
      </c>
      <c r="BN38" s="284">
        <v>51866</v>
      </c>
      <c r="BO38" s="284">
        <v>52047</v>
      </c>
      <c r="BP38" s="284">
        <v>52231</v>
      </c>
      <c r="BQ38" s="284">
        <v>52412</v>
      </c>
      <c r="BR38" s="284">
        <v>52596</v>
      </c>
      <c r="BS38" s="284">
        <v>52778</v>
      </c>
      <c r="BT38" s="284">
        <v>52962</v>
      </c>
      <c r="BU38" s="284">
        <v>53143</v>
      </c>
      <c r="BV38" s="284">
        <v>53327</v>
      </c>
      <c r="BW38" s="284">
        <v>53508</v>
      </c>
      <c r="BX38" s="284">
        <v>53692</v>
      </c>
      <c r="BY38" s="284">
        <v>53873</v>
      </c>
      <c r="BZ38" s="284">
        <v>54057</v>
      </c>
      <c r="CA38" s="284">
        <v>54239</v>
      </c>
    </row>
    <row r="39" spans="1:79" s="122" customFormat="1" x14ac:dyDescent="0.2">
      <c r="A39" s="119"/>
      <c r="B39" s="166"/>
      <c r="C39" s="167"/>
      <c r="D39" s="121"/>
    </row>
    <row r="40" spans="1:79" s="124" customFormat="1" x14ac:dyDescent="0.2">
      <c r="A40" s="166"/>
      <c r="B40" s="166"/>
      <c r="C40" s="167"/>
      <c r="D40" s="168"/>
      <c r="E40" s="285" t="str">
        <f>ConCost!E$44</f>
        <v>Construction costs NEG (for XIRR)</v>
      </c>
      <c r="F40" s="285">
        <f>ConCost!F$44</f>
        <v>0</v>
      </c>
      <c r="G40" s="285" t="str">
        <f>ConCost!G$44</f>
        <v>€ 000s</v>
      </c>
      <c r="H40" s="285">
        <f>ConCost!H$44</f>
        <v>-368500</v>
      </c>
      <c r="I40" s="285">
        <f>ConCost!I$44</f>
        <v>0</v>
      </c>
      <c r="J40" s="285">
        <f>ConCost!J$44</f>
        <v>-64350</v>
      </c>
      <c r="K40" s="285">
        <f>ConCost!K$44</f>
        <v>-10480</v>
      </c>
      <c r="L40" s="285">
        <f>ConCost!L$44</f>
        <v>-10480</v>
      </c>
      <c r="M40" s="285">
        <f>ConCost!M$44</f>
        <v>-10480</v>
      </c>
      <c r="N40" s="285">
        <f>ConCost!N$44</f>
        <v>-10480</v>
      </c>
      <c r="O40" s="285">
        <f>ConCost!O$44</f>
        <v>-10480</v>
      </c>
      <c r="P40" s="285">
        <f>ConCost!P$44</f>
        <v>-10480</v>
      </c>
      <c r="Q40" s="285">
        <f>ConCost!Q$44</f>
        <v>-10480</v>
      </c>
      <c r="R40" s="285">
        <f>ConCost!R$44</f>
        <v>-10480</v>
      </c>
      <c r="S40" s="285">
        <f>ConCost!S$44</f>
        <v>-10480</v>
      </c>
      <c r="T40" s="285">
        <f>ConCost!T$44</f>
        <v>-10480</v>
      </c>
      <c r="U40" s="285">
        <f>ConCost!U$44</f>
        <v>-10480</v>
      </c>
      <c r="V40" s="285">
        <f>ConCost!V$44</f>
        <v>-10480</v>
      </c>
      <c r="W40" s="285">
        <f>ConCost!W$44</f>
        <v>-10480</v>
      </c>
      <c r="X40" s="285">
        <f>ConCost!X$44</f>
        <v>-10480</v>
      </c>
      <c r="Y40" s="285">
        <f>ConCost!Y$44</f>
        <v>-10480</v>
      </c>
      <c r="Z40" s="285">
        <f>ConCost!Z$44</f>
        <v>-10480</v>
      </c>
      <c r="AA40" s="285">
        <f>ConCost!AA$44</f>
        <v>-10480</v>
      </c>
      <c r="AB40" s="285">
        <f>ConCost!AB$44</f>
        <v>-10480</v>
      </c>
      <c r="AC40" s="285">
        <f>ConCost!AC$44</f>
        <v>-10480</v>
      </c>
      <c r="AD40" s="285">
        <f>ConCost!AD$44</f>
        <v>-10480</v>
      </c>
      <c r="AE40" s="285">
        <f>ConCost!AE$44</f>
        <v>-10480</v>
      </c>
      <c r="AF40" s="285">
        <f>ConCost!AF$44</f>
        <v>-84070</v>
      </c>
      <c r="AG40" s="285">
        <f>ConCost!AG$44</f>
        <v>0</v>
      </c>
      <c r="AH40" s="285">
        <f>ConCost!AH$44</f>
        <v>0</v>
      </c>
      <c r="AI40" s="285">
        <f>ConCost!AI$44</f>
        <v>0</v>
      </c>
      <c r="AJ40" s="285">
        <f>ConCost!AJ$44</f>
        <v>0</v>
      </c>
      <c r="AK40" s="285">
        <f>ConCost!AK$44</f>
        <v>0</v>
      </c>
      <c r="AL40" s="285">
        <f>ConCost!AL$44</f>
        <v>0</v>
      </c>
      <c r="AM40" s="285">
        <f>ConCost!AM$44</f>
        <v>0</v>
      </c>
      <c r="AN40" s="285">
        <f>ConCost!AN$44</f>
        <v>0</v>
      </c>
      <c r="AO40" s="285">
        <f>ConCost!AO$44</f>
        <v>0</v>
      </c>
      <c r="AP40" s="285">
        <f>ConCost!AP$44</f>
        <v>0</v>
      </c>
      <c r="AQ40" s="285">
        <f>ConCost!AQ$44</f>
        <v>0</v>
      </c>
      <c r="AR40" s="285">
        <f>ConCost!AR$44</f>
        <v>0</v>
      </c>
      <c r="AS40" s="285">
        <f>ConCost!AS$44</f>
        <v>0</v>
      </c>
      <c r="AT40" s="285">
        <f>ConCost!AT$44</f>
        <v>0</v>
      </c>
      <c r="AU40" s="285">
        <f>ConCost!AU$44</f>
        <v>0</v>
      </c>
      <c r="AV40" s="285">
        <f>ConCost!AV$44</f>
        <v>0</v>
      </c>
      <c r="AW40" s="285">
        <f>ConCost!AW$44</f>
        <v>0</v>
      </c>
      <c r="AX40" s="285">
        <f>ConCost!AX$44</f>
        <v>0</v>
      </c>
      <c r="AY40" s="285">
        <f>ConCost!AY$44</f>
        <v>0</v>
      </c>
      <c r="AZ40" s="285">
        <f>ConCost!AZ$44</f>
        <v>0</v>
      </c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  <c r="BP40" s="128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28"/>
    </row>
    <row r="41" spans="1:79" s="118" customFormat="1" x14ac:dyDescent="0.2">
      <c r="A41" s="115"/>
      <c r="B41" s="264"/>
      <c r="C41" s="265"/>
      <c r="D41" s="117"/>
      <c r="E41" s="118" t="str">
        <f>Finstat!E$40</f>
        <v>Operating income / EBITDA</v>
      </c>
      <c r="F41" s="118">
        <f>Finstat!F$40</f>
        <v>0</v>
      </c>
      <c r="G41" s="118" t="str">
        <f>Finstat!G$40</f>
        <v>€ 000s</v>
      </c>
      <c r="H41" s="118">
        <f>Finstat!H$40</f>
        <v>1935399.1418492154</v>
      </c>
      <c r="I41" s="118">
        <f>Finstat!I$40</f>
        <v>0</v>
      </c>
      <c r="J41" s="118">
        <f>Finstat!J$40</f>
        <v>0</v>
      </c>
      <c r="K41" s="118">
        <f>Finstat!K$40</f>
        <v>0</v>
      </c>
      <c r="L41" s="118">
        <f>Finstat!L$40</f>
        <v>0</v>
      </c>
      <c r="M41" s="118">
        <f>Finstat!M$40</f>
        <v>0</v>
      </c>
      <c r="N41" s="118">
        <f>Finstat!N$40</f>
        <v>0</v>
      </c>
      <c r="O41" s="118">
        <f>Finstat!O$40</f>
        <v>21636.063010156238</v>
      </c>
      <c r="P41" s="118">
        <f>Finstat!P$40</f>
        <v>22277.472850946415</v>
      </c>
      <c r="Q41" s="118">
        <f>Finstat!Q$40</f>
        <v>23151.529063222635</v>
      </c>
      <c r="R41" s="118">
        <f>Finstat!R$40</f>
        <v>21278.276707638332</v>
      </c>
      <c r="S41" s="118">
        <f>Finstat!S$40</f>
        <v>21912.766566205057</v>
      </c>
      <c r="T41" s="118">
        <f>Finstat!T$40</f>
        <v>21650.444957642991</v>
      </c>
      <c r="U41" s="118">
        <f>Finstat!U$40</f>
        <v>22180.672509970507</v>
      </c>
      <c r="V41" s="118">
        <f>Finstat!V$40</f>
        <v>22305.670394157776</v>
      </c>
      <c r="W41" s="118">
        <f>Finstat!W$40</f>
        <v>22795.39335690951</v>
      </c>
      <c r="X41" s="118">
        <f>Finstat!X$40</f>
        <v>23529.632306083618</v>
      </c>
      <c r="Y41" s="118">
        <f>Finstat!Y$40</f>
        <v>23983.320489880109</v>
      </c>
      <c r="Z41" s="118">
        <f>Finstat!Z$40</f>
        <v>23943.073127536278</v>
      </c>
      <c r="AA41" s="118">
        <f>Finstat!AA$40</f>
        <v>24405.932004267408</v>
      </c>
      <c r="AB41" s="118">
        <f>Finstat!AB$40</f>
        <v>24541.649955724679</v>
      </c>
      <c r="AC41" s="118">
        <f>Finstat!AC$40</f>
        <v>25016.080304374089</v>
      </c>
      <c r="AD41" s="118">
        <f>Finstat!AD$40</f>
        <v>25833.053004353627</v>
      </c>
      <c r="AE41" s="118">
        <f>Finstat!AE$40</f>
        <v>26364.145080817674</v>
      </c>
      <c r="AF41" s="118">
        <f>Finstat!AF$40</f>
        <v>26478.879329462459</v>
      </c>
      <c r="AG41" s="118">
        <f>Finstat!AG$40</f>
        <v>27023.248707838109</v>
      </c>
      <c r="AH41" s="118">
        <f>Finstat!AH$40</f>
        <v>27140.851312699011</v>
      </c>
      <c r="AI41" s="118">
        <f>Finstat!AI$40</f>
        <v>27698.82992553405</v>
      </c>
      <c r="AJ41" s="118">
        <f>Finstat!AJ$40</f>
        <v>27819.372595516477</v>
      </c>
      <c r="AK41" s="118">
        <f>Finstat!AK$40</f>
        <v>28391.300673672398</v>
      </c>
      <c r="AL41" s="118">
        <f>Finstat!AL$40</f>
        <v>28514.856910404385</v>
      </c>
      <c r="AM41" s="118">
        <f>Finstat!AM$40</f>
        <v>29101.083190514204</v>
      </c>
      <c r="AN41" s="118">
        <f>Finstat!AN$40</f>
        <v>29735.923037062785</v>
      </c>
      <c r="AO41" s="118">
        <f>Finstat!AO$40</f>
        <v>30384.278827817376</v>
      </c>
      <c r="AP41" s="118">
        <f>Finstat!AP$40</f>
        <v>30479.32111298935</v>
      </c>
      <c r="AQ41" s="118">
        <f>Finstat!AQ$40</f>
        <v>31143.885798512794</v>
      </c>
      <c r="AR41" s="118">
        <f>Finstat!AR$40</f>
        <v>31241.304140814067</v>
      </c>
      <c r="AS41" s="118">
        <f>Finstat!AS$40</f>
        <v>31922.482943475603</v>
      </c>
      <c r="AT41" s="118">
        <f>Finstat!AT$40</f>
        <v>32022.33674433441</v>
      </c>
      <c r="AU41" s="118">
        <f>Finstat!AU$40</f>
        <v>32720.545017062475</v>
      </c>
      <c r="AV41" s="118">
        <f>Finstat!AV$40</f>
        <v>32822.895162942761</v>
      </c>
      <c r="AW41" s="118">
        <f>Finstat!AW$40</f>
        <v>33538.558642489035</v>
      </c>
      <c r="AX41" s="118">
        <f>Finstat!AX$40</f>
        <v>34431.677034878951</v>
      </c>
      <c r="AY41" s="118">
        <f>Finstat!AY$40</f>
        <v>35221.593378356396</v>
      </c>
      <c r="AZ41" s="118">
        <f>Finstat!AZ$40</f>
        <v>35292.468960750921</v>
      </c>
      <c r="BA41" s="118">
        <f>Finstat!BA$40</f>
        <v>36102.133212815301</v>
      </c>
      <c r="BB41" s="118">
        <f>Finstat!BB$40</f>
        <v>36174.780684769685</v>
      </c>
      <c r="BC41" s="118">
        <f>Finstat!BC$40</f>
        <v>37004.686543135678</v>
      </c>
      <c r="BD41" s="118">
        <f>Finstat!BD$40</f>
        <v>37079.150201888915</v>
      </c>
      <c r="BE41" s="118">
        <f>Finstat!BE$40</f>
        <v>37929.803706714054</v>
      </c>
      <c r="BF41" s="118">
        <f>Finstat!BF$40</f>
        <v>37826.609273579015</v>
      </c>
      <c r="BG41" s="118">
        <f>Finstat!BG$40</f>
        <v>38696.298972338089</v>
      </c>
      <c r="BH41" s="118">
        <f>Finstat!BH$40</f>
        <v>38772.274505418478</v>
      </c>
      <c r="BI41" s="118">
        <f>Finstat!BI$40</f>
        <v>38019.035558142998</v>
      </c>
      <c r="BJ41" s="118">
        <f>Finstat!BJ$40</f>
        <v>41218.075866882857</v>
      </c>
      <c r="BK41" s="118">
        <f>Finstat!BK$40</f>
        <v>38778.560535058663</v>
      </c>
      <c r="BL41" s="118">
        <f>Finstat!BL$40</f>
        <v>42248.527763554928</v>
      </c>
      <c r="BM41" s="118">
        <f>Finstat!BM$40</f>
        <v>39748.024548435103</v>
      </c>
      <c r="BN41" s="118">
        <f>Finstat!BN$40</f>
        <v>43304.740957643786</v>
      </c>
      <c r="BO41" s="118">
        <f>Finstat!BO$40</f>
        <v>40741.725162145987</v>
      </c>
      <c r="BP41" s="118">
        <f>Finstat!BP$40</f>
        <v>44387.359481584863</v>
      </c>
      <c r="BQ41" s="118">
        <f>Finstat!BQ$40</f>
        <v>41760.268291199623</v>
      </c>
      <c r="BR41" s="118">
        <f>Finstat!BR$40</f>
        <v>43659.082012651306</v>
      </c>
      <c r="BS41" s="118">
        <f>Finstat!BS$40</f>
        <v>44665.069149234623</v>
      </c>
      <c r="BT41" s="118">
        <f>Finstat!BT$40</f>
        <v>45219.936003477036</v>
      </c>
      <c r="BU41" s="118">
        <f>Finstat!BU$40</f>
        <v>45781.695877965481</v>
      </c>
      <c r="BV41" s="118">
        <f>Finstat!BV$40</f>
        <v>46350.434403563944</v>
      </c>
      <c r="BW41" s="118">
        <f>Finstat!BW$40</f>
        <v>0</v>
      </c>
      <c r="BX41" s="118">
        <f>Finstat!BX$40</f>
        <v>0</v>
      </c>
      <c r="BY41" s="118">
        <f>Finstat!BY$40</f>
        <v>0</v>
      </c>
      <c r="BZ41" s="118">
        <f>Finstat!BZ$40</f>
        <v>0</v>
      </c>
      <c r="CA41" s="118">
        <f>Finstat!CA$40</f>
        <v>0</v>
      </c>
    </row>
    <row r="42" spans="1:79" s="124" customFormat="1" x14ac:dyDescent="0.2">
      <c r="A42" s="166"/>
      <c r="B42" s="166"/>
      <c r="C42" s="167"/>
      <c r="D42" s="168"/>
    </row>
    <row r="43" spans="1:79" s="297" customFormat="1" x14ac:dyDescent="0.2">
      <c r="A43" s="292"/>
      <c r="B43" s="293"/>
      <c r="C43" s="294"/>
      <c r="D43" s="295"/>
      <c r="E43" s="296" t="s">
        <v>200</v>
      </c>
      <c r="F43" s="298">
        <f xml:space="preserve"> XIRR(J40:CA41, J37:CA38, 10%)</f>
        <v>0.12715838551521297</v>
      </c>
      <c r="G43" s="297" t="s">
        <v>199</v>
      </c>
    </row>
    <row r="46" spans="1:79" x14ac:dyDescent="0.2">
      <c r="A46" s="81" t="s">
        <v>270</v>
      </c>
    </row>
    <row r="48" spans="1:79" s="367" customFormat="1" x14ac:dyDescent="0.2">
      <c r="A48" s="363"/>
      <c r="B48" s="364"/>
      <c r="C48" s="365"/>
      <c r="D48" s="366"/>
      <c r="E48" s="367" t="s">
        <v>272</v>
      </c>
      <c r="F48" s="270">
        <v>41578</v>
      </c>
      <c r="G48" s="367" t="s">
        <v>273</v>
      </c>
    </row>
    <row r="49" spans="1:79" s="284" customFormat="1" x14ac:dyDescent="0.2">
      <c r="A49" s="280"/>
      <c r="B49" s="281"/>
      <c r="C49" s="282"/>
      <c r="D49" s="283"/>
      <c r="E49" s="284" t="s">
        <v>162</v>
      </c>
      <c r="F49" s="284" t="s">
        <v>3</v>
      </c>
      <c r="G49" s="284" t="s">
        <v>4</v>
      </c>
      <c r="H49" s="284" t="s">
        <v>5</v>
      </c>
      <c r="I49" s="284">
        <v>0</v>
      </c>
      <c r="J49" s="284">
        <v>41639</v>
      </c>
      <c r="K49" s="284">
        <v>41820</v>
      </c>
      <c r="L49" s="284">
        <v>42004</v>
      </c>
      <c r="M49" s="284">
        <v>42185</v>
      </c>
      <c r="N49" s="284">
        <v>42369</v>
      </c>
      <c r="O49" s="284">
        <v>42551</v>
      </c>
      <c r="P49" s="284">
        <v>42735</v>
      </c>
      <c r="Q49" s="284">
        <v>42916</v>
      </c>
      <c r="R49" s="284">
        <v>43100</v>
      </c>
      <c r="S49" s="284">
        <v>43281</v>
      </c>
      <c r="T49" s="284">
        <v>43465</v>
      </c>
      <c r="U49" s="284">
        <v>43646</v>
      </c>
      <c r="V49" s="284">
        <v>43830</v>
      </c>
      <c r="W49" s="284">
        <v>44012</v>
      </c>
      <c r="X49" s="284">
        <v>44196</v>
      </c>
      <c r="Y49" s="284">
        <v>44377</v>
      </c>
      <c r="Z49" s="284">
        <v>44561</v>
      </c>
      <c r="AA49" s="284">
        <v>44742</v>
      </c>
      <c r="AB49" s="284">
        <v>44926</v>
      </c>
      <c r="AC49" s="284">
        <v>45107</v>
      </c>
      <c r="AD49" s="284">
        <v>45291</v>
      </c>
      <c r="AE49" s="284">
        <v>45473</v>
      </c>
      <c r="AF49" s="284">
        <v>45657</v>
      </c>
      <c r="AG49" s="284">
        <v>45838</v>
      </c>
      <c r="AH49" s="284">
        <v>46022</v>
      </c>
      <c r="AI49" s="284">
        <v>46203</v>
      </c>
      <c r="AJ49" s="284">
        <v>46387</v>
      </c>
      <c r="AK49" s="284">
        <v>46568</v>
      </c>
      <c r="AL49" s="284">
        <v>46752</v>
      </c>
      <c r="AM49" s="284">
        <v>46934</v>
      </c>
      <c r="AN49" s="284">
        <v>47118</v>
      </c>
      <c r="AO49" s="284">
        <v>47299</v>
      </c>
      <c r="AP49" s="284">
        <v>47483</v>
      </c>
      <c r="AQ49" s="284">
        <v>47664</v>
      </c>
      <c r="AR49" s="284">
        <v>47848</v>
      </c>
      <c r="AS49" s="284">
        <v>48029</v>
      </c>
      <c r="AT49" s="284">
        <v>48213</v>
      </c>
      <c r="AU49" s="284">
        <v>48395</v>
      </c>
      <c r="AV49" s="284">
        <v>48579</v>
      </c>
      <c r="AW49" s="284">
        <v>48760</v>
      </c>
      <c r="AX49" s="284">
        <v>48944</v>
      </c>
      <c r="AY49" s="284">
        <v>49125</v>
      </c>
      <c r="AZ49" s="284">
        <v>49309</v>
      </c>
      <c r="BA49" s="284">
        <v>49490</v>
      </c>
      <c r="BB49" s="284">
        <v>49674</v>
      </c>
      <c r="BC49" s="284">
        <v>49856</v>
      </c>
      <c r="BD49" s="284">
        <v>50040</v>
      </c>
      <c r="BE49" s="284">
        <v>50221</v>
      </c>
      <c r="BF49" s="284">
        <v>50405</v>
      </c>
      <c r="BG49" s="284">
        <v>50586</v>
      </c>
      <c r="BH49" s="284">
        <v>50770</v>
      </c>
      <c r="BI49" s="284">
        <v>50951</v>
      </c>
      <c r="BJ49" s="284">
        <v>51135</v>
      </c>
      <c r="BK49" s="284">
        <v>51317</v>
      </c>
      <c r="BL49" s="284">
        <v>51501</v>
      </c>
      <c r="BM49" s="284">
        <v>51682</v>
      </c>
      <c r="BN49" s="284">
        <v>51866</v>
      </c>
      <c r="BO49" s="284">
        <v>52047</v>
      </c>
      <c r="BP49" s="284">
        <v>52231</v>
      </c>
      <c r="BQ49" s="284">
        <v>52412</v>
      </c>
      <c r="BR49" s="284">
        <v>52596</v>
      </c>
      <c r="BS49" s="284">
        <v>52778</v>
      </c>
      <c r="BT49" s="284">
        <v>52962</v>
      </c>
      <c r="BU49" s="284">
        <v>53143</v>
      </c>
      <c r="BV49" s="284">
        <v>53327</v>
      </c>
      <c r="BW49" s="284">
        <v>53508</v>
      </c>
      <c r="BX49" s="284">
        <v>53692</v>
      </c>
      <c r="BY49" s="284">
        <v>53873</v>
      </c>
      <c r="BZ49" s="284">
        <v>54057</v>
      </c>
      <c r="CA49" s="284">
        <v>54239</v>
      </c>
    </row>
    <row r="50" spans="1:79" x14ac:dyDescent="0.2">
      <c r="E50" s="85" t="s">
        <v>274</v>
      </c>
      <c r="J50" s="85">
        <f xml:space="preserve"> J49 - $F48</f>
        <v>61</v>
      </c>
      <c r="K50" s="85">
        <f t="shared" ref="K50:BV50" si="4" xml:space="preserve"> K49 - $F48</f>
        <v>242</v>
      </c>
      <c r="L50" s="85">
        <f t="shared" si="4"/>
        <v>426</v>
      </c>
      <c r="M50" s="85">
        <f t="shared" si="4"/>
        <v>607</v>
      </c>
      <c r="N50" s="85">
        <f t="shared" si="4"/>
        <v>791</v>
      </c>
      <c r="O50" s="85">
        <f t="shared" si="4"/>
        <v>973</v>
      </c>
      <c r="P50" s="85">
        <f t="shared" si="4"/>
        <v>1157</v>
      </c>
      <c r="Q50" s="85">
        <f t="shared" si="4"/>
        <v>1338</v>
      </c>
      <c r="R50" s="85">
        <f t="shared" si="4"/>
        <v>1522</v>
      </c>
      <c r="S50" s="85">
        <f t="shared" si="4"/>
        <v>1703</v>
      </c>
      <c r="T50" s="85">
        <f t="shared" si="4"/>
        <v>1887</v>
      </c>
      <c r="U50" s="85">
        <f t="shared" si="4"/>
        <v>2068</v>
      </c>
      <c r="V50" s="85">
        <f t="shared" si="4"/>
        <v>2252</v>
      </c>
      <c r="W50" s="85">
        <f t="shared" si="4"/>
        <v>2434</v>
      </c>
      <c r="X50" s="85">
        <f t="shared" si="4"/>
        <v>2618</v>
      </c>
      <c r="Y50" s="85">
        <f t="shared" si="4"/>
        <v>2799</v>
      </c>
      <c r="Z50" s="85">
        <f t="shared" si="4"/>
        <v>2983</v>
      </c>
      <c r="AA50" s="85">
        <f t="shared" si="4"/>
        <v>3164</v>
      </c>
      <c r="AB50" s="85">
        <f t="shared" si="4"/>
        <v>3348</v>
      </c>
      <c r="AC50" s="85">
        <f t="shared" si="4"/>
        <v>3529</v>
      </c>
      <c r="AD50" s="85">
        <f t="shared" si="4"/>
        <v>3713</v>
      </c>
      <c r="AE50" s="85">
        <f t="shared" si="4"/>
        <v>3895</v>
      </c>
      <c r="AF50" s="85">
        <f t="shared" si="4"/>
        <v>4079</v>
      </c>
      <c r="AG50" s="85">
        <f t="shared" si="4"/>
        <v>4260</v>
      </c>
      <c r="AH50" s="85">
        <f t="shared" si="4"/>
        <v>4444</v>
      </c>
      <c r="AI50" s="85">
        <f t="shared" si="4"/>
        <v>4625</v>
      </c>
      <c r="AJ50" s="85">
        <f t="shared" si="4"/>
        <v>4809</v>
      </c>
      <c r="AK50" s="85">
        <f t="shared" si="4"/>
        <v>4990</v>
      </c>
      <c r="AL50" s="85">
        <f t="shared" si="4"/>
        <v>5174</v>
      </c>
      <c r="AM50" s="85">
        <f t="shared" si="4"/>
        <v>5356</v>
      </c>
      <c r="AN50" s="85">
        <f t="shared" si="4"/>
        <v>5540</v>
      </c>
      <c r="AO50" s="85">
        <f t="shared" si="4"/>
        <v>5721</v>
      </c>
      <c r="AP50" s="85">
        <f t="shared" si="4"/>
        <v>5905</v>
      </c>
      <c r="AQ50" s="85">
        <f t="shared" si="4"/>
        <v>6086</v>
      </c>
      <c r="AR50" s="85">
        <f t="shared" si="4"/>
        <v>6270</v>
      </c>
      <c r="AS50" s="85">
        <f t="shared" si="4"/>
        <v>6451</v>
      </c>
      <c r="AT50" s="85">
        <f t="shared" si="4"/>
        <v>6635</v>
      </c>
      <c r="AU50" s="85">
        <f t="shared" si="4"/>
        <v>6817</v>
      </c>
      <c r="AV50" s="85">
        <f t="shared" si="4"/>
        <v>7001</v>
      </c>
      <c r="AW50" s="85">
        <f t="shared" si="4"/>
        <v>7182</v>
      </c>
      <c r="AX50" s="85">
        <f t="shared" si="4"/>
        <v>7366</v>
      </c>
      <c r="AY50" s="85">
        <f t="shared" si="4"/>
        <v>7547</v>
      </c>
      <c r="AZ50" s="85">
        <f t="shared" si="4"/>
        <v>7731</v>
      </c>
      <c r="BA50" s="85">
        <f t="shared" si="4"/>
        <v>7912</v>
      </c>
      <c r="BB50" s="85">
        <f t="shared" si="4"/>
        <v>8096</v>
      </c>
      <c r="BC50" s="85">
        <f t="shared" si="4"/>
        <v>8278</v>
      </c>
      <c r="BD50" s="85">
        <f t="shared" si="4"/>
        <v>8462</v>
      </c>
      <c r="BE50" s="85">
        <f t="shared" si="4"/>
        <v>8643</v>
      </c>
      <c r="BF50" s="85">
        <f t="shared" si="4"/>
        <v>8827</v>
      </c>
      <c r="BG50" s="85">
        <f t="shared" si="4"/>
        <v>9008</v>
      </c>
      <c r="BH50" s="85">
        <f t="shared" si="4"/>
        <v>9192</v>
      </c>
      <c r="BI50" s="85">
        <f t="shared" si="4"/>
        <v>9373</v>
      </c>
      <c r="BJ50" s="85">
        <f t="shared" si="4"/>
        <v>9557</v>
      </c>
      <c r="BK50" s="85">
        <f t="shared" si="4"/>
        <v>9739</v>
      </c>
      <c r="BL50" s="85">
        <f t="shared" si="4"/>
        <v>9923</v>
      </c>
      <c r="BM50" s="85">
        <f t="shared" si="4"/>
        <v>10104</v>
      </c>
      <c r="BN50" s="85">
        <f t="shared" si="4"/>
        <v>10288</v>
      </c>
      <c r="BO50" s="85">
        <f t="shared" si="4"/>
        <v>10469</v>
      </c>
      <c r="BP50" s="85">
        <f t="shared" si="4"/>
        <v>10653</v>
      </c>
      <c r="BQ50" s="85">
        <f t="shared" si="4"/>
        <v>10834</v>
      </c>
      <c r="BR50" s="85">
        <f t="shared" si="4"/>
        <v>11018</v>
      </c>
      <c r="BS50" s="85">
        <f t="shared" si="4"/>
        <v>11200</v>
      </c>
      <c r="BT50" s="85">
        <f t="shared" si="4"/>
        <v>11384</v>
      </c>
      <c r="BU50" s="85">
        <f t="shared" si="4"/>
        <v>11565</v>
      </c>
      <c r="BV50" s="85">
        <f t="shared" si="4"/>
        <v>11749</v>
      </c>
      <c r="BW50" s="85">
        <f t="shared" ref="BW50:CA50" si="5" xml:space="preserve"> BW49 - $F48</f>
        <v>11930</v>
      </c>
      <c r="BX50" s="85">
        <f t="shared" si="5"/>
        <v>12114</v>
      </c>
      <c r="BY50" s="85">
        <f t="shared" si="5"/>
        <v>12295</v>
      </c>
      <c r="BZ50" s="85">
        <f t="shared" si="5"/>
        <v>12479</v>
      </c>
      <c r="CA50" s="85">
        <f t="shared" si="5"/>
        <v>12661</v>
      </c>
    </row>
    <row r="51" spans="1:79" s="372" customFormat="1" x14ac:dyDescent="0.2">
      <c r="A51" s="368"/>
      <c r="B51" s="369"/>
      <c r="C51" s="370"/>
      <c r="D51" s="371"/>
      <c r="E51" s="372" t="s">
        <v>276</v>
      </c>
      <c r="J51" s="372">
        <f xml:space="preserve"> J50 / 365</f>
        <v>0.16712328767123288</v>
      </c>
      <c r="K51" s="372">
        <f t="shared" ref="K51:BV51" si="6" xml:space="preserve"> K50 / 365</f>
        <v>0.66301369863013704</v>
      </c>
      <c r="L51" s="372">
        <f t="shared" si="6"/>
        <v>1.167123287671233</v>
      </c>
      <c r="M51" s="372">
        <f t="shared" si="6"/>
        <v>1.6630136986301369</v>
      </c>
      <c r="N51" s="372">
        <f t="shared" si="6"/>
        <v>2.1671232876712327</v>
      </c>
      <c r="O51" s="372">
        <f t="shared" si="6"/>
        <v>2.6657534246575341</v>
      </c>
      <c r="P51" s="372">
        <f t="shared" si="6"/>
        <v>3.1698630136986301</v>
      </c>
      <c r="Q51" s="372">
        <f t="shared" si="6"/>
        <v>3.6657534246575341</v>
      </c>
      <c r="R51" s="372">
        <f t="shared" si="6"/>
        <v>4.1698630136986301</v>
      </c>
      <c r="S51" s="372">
        <f t="shared" si="6"/>
        <v>4.6657534246575345</v>
      </c>
      <c r="T51" s="372">
        <f t="shared" si="6"/>
        <v>5.1698630136986301</v>
      </c>
      <c r="U51" s="372">
        <f t="shared" si="6"/>
        <v>5.6657534246575345</v>
      </c>
      <c r="V51" s="372">
        <f t="shared" si="6"/>
        <v>6.1698630136986301</v>
      </c>
      <c r="W51" s="372">
        <f t="shared" si="6"/>
        <v>6.6684931506849319</v>
      </c>
      <c r="X51" s="372">
        <f t="shared" si="6"/>
        <v>7.1726027397260275</v>
      </c>
      <c r="Y51" s="372">
        <f t="shared" si="6"/>
        <v>7.6684931506849319</v>
      </c>
      <c r="Z51" s="372">
        <f t="shared" si="6"/>
        <v>8.1726027397260275</v>
      </c>
      <c r="AA51" s="372">
        <f t="shared" si="6"/>
        <v>8.668493150684931</v>
      </c>
      <c r="AB51" s="372">
        <f t="shared" si="6"/>
        <v>9.1726027397260275</v>
      </c>
      <c r="AC51" s="372">
        <f t="shared" si="6"/>
        <v>9.668493150684931</v>
      </c>
      <c r="AD51" s="372">
        <f t="shared" si="6"/>
        <v>10.172602739726027</v>
      </c>
      <c r="AE51" s="372">
        <f t="shared" si="6"/>
        <v>10.671232876712329</v>
      </c>
      <c r="AF51" s="372">
        <f t="shared" si="6"/>
        <v>11.175342465753424</v>
      </c>
      <c r="AG51" s="372">
        <f t="shared" si="6"/>
        <v>11.671232876712329</v>
      </c>
      <c r="AH51" s="372">
        <f t="shared" si="6"/>
        <v>12.175342465753424</v>
      </c>
      <c r="AI51" s="372">
        <f t="shared" si="6"/>
        <v>12.671232876712329</v>
      </c>
      <c r="AJ51" s="372">
        <f t="shared" si="6"/>
        <v>13.175342465753424</v>
      </c>
      <c r="AK51" s="372">
        <f t="shared" si="6"/>
        <v>13.671232876712329</v>
      </c>
      <c r="AL51" s="372">
        <f t="shared" si="6"/>
        <v>14.175342465753424</v>
      </c>
      <c r="AM51" s="372">
        <f t="shared" si="6"/>
        <v>14.673972602739726</v>
      </c>
      <c r="AN51" s="372">
        <f t="shared" si="6"/>
        <v>15.178082191780822</v>
      </c>
      <c r="AO51" s="372">
        <f t="shared" si="6"/>
        <v>15.673972602739726</v>
      </c>
      <c r="AP51" s="372">
        <f t="shared" si="6"/>
        <v>16.17808219178082</v>
      </c>
      <c r="AQ51" s="372">
        <f t="shared" si="6"/>
        <v>16.673972602739727</v>
      </c>
      <c r="AR51" s="372">
        <f t="shared" si="6"/>
        <v>17.17808219178082</v>
      </c>
      <c r="AS51" s="372">
        <f t="shared" si="6"/>
        <v>17.673972602739727</v>
      </c>
      <c r="AT51" s="372">
        <f t="shared" si="6"/>
        <v>18.17808219178082</v>
      </c>
      <c r="AU51" s="372">
        <f t="shared" si="6"/>
        <v>18.676712328767124</v>
      </c>
      <c r="AV51" s="372">
        <f t="shared" si="6"/>
        <v>19.18082191780822</v>
      </c>
      <c r="AW51" s="372">
        <f t="shared" si="6"/>
        <v>19.676712328767124</v>
      </c>
      <c r="AX51" s="372">
        <f t="shared" si="6"/>
        <v>20.18082191780822</v>
      </c>
      <c r="AY51" s="372">
        <f t="shared" si="6"/>
        <v>20.676712328767124</v>
      </c>
      <c r="AZ51" s="372">
        <f t="shared" si="6"/>
        <v>21.18082191780822</v>
      </c>
      <c r="BA51" s="372">
        <f t="shared" si="6"/>
        <v>21.676712328767124</v>
      </c>
      <c r="BB51" s="372">
        <f t="shared" si="6"/>
        <v>22.18082191780822</v>
      </c>
      <c r="BC51" s="372">
        <f t="shared" si="6"/>
        <v>22.67945205479452</v>
      </c>
      <c r="BD51" s="372">
        <f t="shared" si="6"/>
        <v>23.183561643835617</v>
      </c>
      <c r="BE51" s="372">
        <f t="shared" si="6"/>
        <v>23.67945205479452</v>
      </c>
      <c r="BF51" s="372">
        <f t="shared" si="6"/>
        <v>24.183561643835617</v>
      </c>
      <c r="BG51" s="372">
        <f t="shared" si="6"/>
        <v>24.67945205479452</v>
      </c>
      <c r="BH51" s="372">
        <f t="shared" si="6"/>
        <v>25.183561643835617</v>
      </c>
      <c r="BI51" s="372">
        <f t="shared" si="6"/>
        <v>25.67945205479452</v>
      </c>
      <c r="BJ51" s="372">
        <f t="shared" si="6"/>
        <v>26.183561643835617</v>
      </c>
      <c r="BK51" s="372">
        <f t="shared" si="6"/>
        <v>26.682191780821917</v>
      </c>
      <c r="BL51" s="372">
        <f t="shared" si="6"/>
        <v>27.186301369863013</v>
      </c>
      <c r="BM51" s="372">
        <f t="shared" si="6"/>
        <v>27.682191780821917</v>
      </c>
      <c r="BN51" s="372">
        <f t="shared" si="6"/>
        <v>28.186301369863013</v>
      </c>
      <c r="BO51" s="372">
        <f t="shared" si="6"/>
        <v>28.682191780821917</v>
      </c>
      <c r="BP51" s="372">
        <f t="shared" si="6"/>
        <v>29.186301369863013</v>
      </c>
      <c r="BQ51" s="372">
        <f t="shared" si="6"/>
        <v>29.682191780821917</v>
      </c>
      <c r="BR51" s="372">
        <f t="shared" si="6"/>
        <v>30.186301369863013</v>
      </c>
      <c r="BS51" s="372">
        <f t="shared" si="6"/>
        <v>30.684931506849313</v>
      </c>
      <c r="BT51" s="372">
        <f t="shared" si="6"/>
        <v>31.18904109589041</v>
      </c>
      <c r="BU51" s="372">
        <f t="shared" si="6"/>
        <v>31.684931506849313</v>
      </c>
      <c r="BV51" s="372">
        <f t="shared" si="6"/>
        <v>32.18904109589041</v>
      </c>
      <c r="BW51" s="372">
        <f t="shared" ref="BW51:CA51" si="7" xml:space="preserve"> BW50 / 365</f>
        <v>32.684931506849317</v>
      </c>
      <c r="BX51" s="372">
        <f t="shared" si="7"/>
        <v>33.18904109589041</v>
      </c>
      <c r="BY51" s="372">
        <f t="shared" si="7"/>
        <v>33.684931506849317</v>
      </c>
      <c r="BZ51" s="372">
        <f t="shared" si="7"/>
        <v>34.18904109589041</v>
      </c>
      <c r="CA51" s="372">
        <f t="shared" si="7"/>
        <v>34.68767123287671</v>
      </c>
    </row>
    <row r="53" spans="1:79" s="186" customFormat="1" x14ac:dyDescent="0.2">
      <c r="A53" s="181"/>
      <c r="B53" s="182"/>
      <c r="C53" s="183"/>
      <c r="D53" s="184"/>
      <c r="E53" s="186" t="str">
        <f>InpC!E$55</f>
        <v>Shareholder discount rate</v>
      </c>
      <c r="F53" s="186">
        <f>InpC!F$55</f>
        <v>0.13</v>
      </c>
      <c r="G53" s="186" t="str">
        <f>InpC!G$55</f>
        <v>p.a. (365)</v>
      </c>
    </row>
    <row r="54" spans="1:79" s="372" customFormat="1" x14ac:dyDescent="0.2">
      <c r="A54" s="368"/>
      <c r="B54" s="369"/>
      <c r="C54" s="370"/>
      <c r="D54" s="371"/>
      <c r="E54" s="372" t="str">
        <f xml:space="preserve"> E51</f>
        <v>Years from valuation date</v>
      </c>
      <c r="F54" s="372">
        <f t="shared" ref="F54:BQ54" si="8" xml:space="preserve"> F51</f>
        <v>0</v>
      </c>
      <c r="G54" s="372">
        <f t="shared" si="8"/>
        <v>0</v>
      </c>
      <c r="H54" s="372">
        <f t="shared" si="8"/>
        <v>0</v>
      </c>
      <c r="I54" s="372">
        <f t="shared" si="8"/>
        <v>0</v>
      </c>
      <c r="J54" s="372">
        <f t="shared" si="8"/>
        <v>0.16712328767123288</v>
      </c>
      <c r="K54" s="372">
        <f t="shared" si="8"/>
        <v>0.66301369863013704</v>
      </c>
      <c r="L54" s="372">
        <f t="shared" si="8"/>
        <v>1.167123287671233</v>
      </c>
      <c r="M54" s="372">
        <f t="shared" si="8"/>
        <v>1.6630136986301369</v>
      </c>
      <c r="N54" s="372">
        <f t="shared" si="8"/>
        <v>2.1671232876712327</v>
      </c>
      <c r="O54" s="372">
        <f t="shared" si="8"/>
        <v>2.6657534246575341</v>
      </c>
      <c r="P54" s="372">
        <f t="shared" si="8"/>
        <v>3.1698630136986301</v>
      </c>
      <c r="Q54" s="372">
        <f t="shared" si="8"/>
        <v>3.6657534246575341</v>
      </c>
      <c r="R54" s="372">
        <f t="shared" si="8"/>
        <v>4.1698630136986301</v>
      </c>
      <c r="S54" s="372">
        <f t="shared" si="8"/>
        <v>4.6657534246575345</v>
      </c>
      <c r="T54" s="372">
        <f t="shared" si="8"/>
        <v>5.1698630136986301</v>
      </c>
      <c r="U54" s="372">
        <f t="shared" si="8"/>
        <v>5.6657534246575345</v>
      </c>
      <c r="V54" s="372">
        <f t="shared" si="8"/>
        <v>6.1698630136986301</v>
      </c>
      <c r="W54" s="372">
        <f t="shared" si="8"/>
        <v>6.6684931506849319</v>
      </c>
      <c r="X54" s="372">
        <f t="shared" si="8"/>
        <v>7.1726027397260275</v>
      </c>
      <c r="Y54" s="372">
        <f t="shared" si="8"/>
        <v>7.6684931506849319</v>
      </c>
      <c r="Z54" s="372">
        <f t="shared" si="8"/>
        <v>8.1726027397260275</v>
      </c>
      <c r="AA54" s="372">
        <f t="shared" si="8"/>
        <v>8.668493150684931</v>
      </c>
      <c r="AB54" s="372">
        <f t="shared" si="8"/>
        <v>9.1726027397260275</v>
      </c>
      <c r="AC54" s="372">
        <f t="shared" si="8"/>
        <v>9.668493150684931</v>
      </c>
      <c r="AD54" s="372">
        <f t="shared" si="8"/>
        <v>10.172602739726027</v>
      </c>
      <c r="AE54" s="372">
        <f t="shared" si="8"/>
        <v>10.671232876712329</v>
      </c>
      <c r="AF54" s="372">
        <f t="shared" si="8"/>
        <v>11.175342465753424</v>
      </c>
      <c r="AG54" s="372">
        <f t="shared" si="8"/>
        <v>11.671232876712329</v>
      </c>
      <c r="AH54" s="372">
        <f t="shared" si="8"/>
        <v>12.175342465753424</v>
      </c>
      <c r="AI54" s="372">
        <f t="shared" si="8"/>
        <v>12.671232876712329</v>
      </c>
      <c r="AJ54" s="372">
        <f t="shared" si="8"/>
        <v>13.175342465753424</v>
      </c>
      <c r="AK54" s="372">
        <f t="shared" si="8"/>
        <v>13.671232876712329</v>
      </c>
      <c r="AL54" s="372">
        <f t="shared" si="8"/>
        <v>14.175342465753424</v>
      </c>
      <c r="AM54" s="372">
        <f t="shared" si="8"/>
        <v>14.673972602739726</v>
      </c>
      <c r="AN54" s="372">
        <f t="shared" si="8"/>
        <v>15.178082191780822</v>
      </c>
      <c r="AO54" s="372">
        <f t="shared" si="8"/>
        <v>15.673972602739726</v>
      </c>
      <c r="AP54" s="372">
        <f t="shared" si="8"/>
        <v>16.17808219178082</v>
      </c>
      <c r="AQ54" s="372">
        <f t="shared" si="8"/>
        <v>16.673972602739727</v>
      </c>
      <c r="AR54" s="372">
        <f t="shared" si="8"/>
        <v>17.17808219178082</v>
      </c>
      <c r="AS54" s="372">
        <f t="shared" si="8"/>
        <v>17.673972602739727</v>
      </c>
      <c r="AT54" s="372">
        <f t="shared" si="8"/>
        <v>18.17808219178082</v>
      </c>
      <c r="AU54" s="372">
        <f t="shared" si="8"/>
        <v>18.676712328767124</v>
      </c>
      <c r="AV54" s="372">
        <f t="shared" si="8"/>
        <v>19.18082191780822</v>
      </c>
      <c r="AW54" s="372">
        <f t="shared" si="8"/>
        <v>19.676712328767124</v>
      </c>
      <c r="AX54" s="372">
        <f t="shared" si="8"/>
        <v>20.18082191780822</v>
      </c>
      <c r="AY54" s="372">
        <f t="shared" si="8"/>
        <v>20.676712328767124</v>
      </c>
      <c r="AZ54" s="372">
        <f t="shared" si="8"/>
        <v>21.18082191780822</v>
      </c>
      <c r="BA54" s="372">
        <f t="shared" si="8"/>
        <v>21.676712328767124</v>
      </c>
      <c r="BB54" s="372">
        <f t="shared" si="8"/>
        <v>22.18082191780822</v>
      </c>
      <c r="BC54" s="372">
        <f t="shared" si="8"/>
        <v>22.67945205479452</v>
      </c>
      <c r="BD54" s="372">
        <f t="shared" si="8"/>
        <v>23.183561643835617</v>
      </c>
      <c r="BE54" s="372">
        <f t="shared" si="8"/>
        <v>23.67945205479452</v>
      </c>
      <c r="BF54" s="372">
        <f t="shared" si="8"/>
        <v>24.183561643835617</v>
      </c>
      <c r="BG54" s="372">
        <f t="shared" si="8"/>
        <v>24.67945205479452</v>
      </c>
      <c r="BH54" s="372">
        <f t="shared" si="8"/>
        <v>25.183561643835617</v>
      </c>
      <c r="BI54" s="372">
        <f t="shared" si="8"/>
        <v>25.67945205479452</v>
      </c>
      <c r="BJ54" s="372">
        <f t="shared" si="8"/>
        <v>26.183561643835617</v>
      </c>
      <c r="BK54" s="372">
        <f t="shared" si="8"/>
        <v>26.682191780821917</v>
      </c>
      <c r="BL54" s="372">
        <f t="shared" si="8"/>
        <v>27.186301369863013</v>
      </c>
      <c r="BM54" s="372">
        <f t="shared" si="8"/>
        <v>27.682191780821917</v>
      </c>
      <c r="BN54" s="372">
        <f t="shared" si="8"/>
        <v>28.186301369863013</v>
      </c>
      <c r="BO54" s="372">
        <f t="shared" si="8"/>
        <v>28.682191780821917</v>
      </c>
      <c r="BP54" s="372">
        <f t="shared" si="8"/>
        <v>29.186301369863013</v>
      </c>
      <c r="BQ54" s="372">
        <f t="shared" si="8"/>
        <v>29.682191780821917</v>
      </c>
      <c r="BR54" s="372">
        <f t="shared" ref="BR54:CA54" si="9" xml:space="preserve"> BR51</f>
        <v>30.186301369863013</v>
      </c>
      <c r="BS54" s="372">
        <f t="shared" si="9"/>
        <v>30.684931506849313</v>
      </c>
      <c r="BT54" s="372">
        <f t="shared" si="9"/>
        <v>31.18904109589041</v>
      </c>
      <c r="BU54" s="372">
        <f t="shared" si="9"/>
        <v>31.684931506849313</v>
      </c>
      <c r="BV54" s="372">
        <f t="shared" si="9"/>
        <v>32.18904109589041</v>
      </c>
      <c r="BW54" s="372">
        <f t="shared" si="9"/>
        <v>32.684931506849317</v>
      </c>
      <c r="BX54" s="372">
        <f t="shared" si="9"/>
        <v>33.18904109589041</v>
      </c>
      <c r="BY54" s="372">
        <f t="shared" si="9"/>
        <v>33.684931506849317</v>
      </c>
      <c r="BZ54" s="372">
        <f t="shared" si="9"/>
        <v>34.18904109589041</v>
      </c>
      <c r="CA54" s="372">
        <f t="shared" si="9"/>
        <v>34.68767123287671</v>
      </c>
    </row>
    <row r="55" spans="1:79" s="372" customFormat="1" x14ac:dyDescent="0.2">
      <c r="A55" s="368"/>
      <c r="B55" s="369"/>
      <c r="C55" s="370"/>
      <c r="D55" s="371"/>
      <c r="E55" s="372" t="s">
        <v>271</v>
      </c>
      <c r="J55" s="372">
        <f xml:space="preserve"> (1 + $F53) ^ (-1 * J54)</f>
        <v>0.97978177313178194</v>
      </c>
      <c r="K55" s="372">
        <f t="shared" ref="K55:BV55" si="10" xml:space="preserve"> (1 + $F53) ^ (-1 * K54)</f>
        <v>0.92216421426151562</v>
      </c>
      <c r="L55" s="372">
        <f t="shared" si="10"/>
        <v>0.86706351604582488</v>
      </c>
      <c r="M55" s="372">
        <f t="shared" si="10"/>
        <v>0.81607452589514673</v>
      </c>
      <c r="N55" s="372">
        <f t="shared" si="10"/>
        <v>0.76731284605825223</v>
      </c>
      <c r="O55" s="372">
        <f t="shared" si="10"/>
        <v>0.72194806631489183</v>
      </c>
      <c r="P55" s="372">
        <f t="shared" si="10"/>
        <v>0.67881058395089156</v>
      </c>
      <c r="Q55" s="372">
        <f t="shared" si="10"/>
        <v>0.63889209408397529</v>
      </c>
      <c r="R55" s="372">
        <f t="shared" si="10"/>
        <v>0.60071733092999258</v>
      </c>
      <c r="S55" s="372">
        <f t="shared" si="10"/>
        <v>0.56539123370263289</v>
      </c>
      <c r="T55" s="372">
        <f t="shared" si="10"/>
        <v>0.53160825746017049</v>
      </c>
      <c r="U55" s="372">
        <f t="shared" si="10"/>
        <v>0.50034622451560451</v>
      </c>
      <c r="V55" s="372">
        <f t="shared" si="10"/>
        <v>0.47044978536298276</v>
      </c>
      <c r="W55" s="372">
        <f t="shared" si="10"/>
        <v>0.44263603116489048</v>
      </c>
      <c r="X55" s="372">
        <f t="shared" si="10"/>
        <v>0.41618786282847409</v>
      </c>
      <c r="Y55" s="372">
        <f t="shared" si="10"/>
        <v>0.39171330191583231</v>
      </c>
      <c r="Z55" s="372">
        <f t="shared" si="10"/>
        <v>0.36830784321103904</v>
      </c>
      <c r="AA55" s="372">
        <f t="shared" si="10"/>
        <v>0.34664893974852429</v>
      </c>
      <c r="AB55" s="372">
        <f t="shared" si="10"/>
        <v>0.32593614443454788</v>
      </c>
      <c r="AC55" s="372">
        <f t="shared" si="10"/>
        <v>0.30676897322878255</v>
      </c>
      <c r="AD55" s="372">
        <f t="shared" si="10"/>
        <v>0.28843906587128132</v>
      </c>
      <c r="AE55" s="372">
        <f t="shared" si="10"/>
        <v>0.27138608056046604</v>
      </c>
      <c r="AF55" s="372">
        <f t="shared" si="10"/>
        <v>0.25517035423576101</v>
      </c>
      <c r="AG55" s="372">
        <f t="shared" si="10"/>
        <v>0.24016467306235936</v>
      </c>
      <c r="AH55" s="372">
        <f t="shared" si="10"/>
        <v>0.22581447277500979</v>
      </c>
      <c r="AI55" s="372">
        <f t="shared" si="10"/>
        <v>0.21253510890474278</v>
      </c>
      <c r="AJ55" s="372">
        <f t="shared" si="10"/>
        <v>0.1998358166150529</v>
      </c>
      <c r="AK55" s="372">
        <f t="shared" si="10"/>
        <v>0.18808416717233875</v>
      </c>
      <c r="AL55" s="372">
        <f t="shared" si="10"/>
        <v>0.17684585541155126</v>
      </c>
      <c r="AM55" s="372">
        <f t="shared" si="10"/>
        <v>0.16639044166410291</v>
      </c>
      <c r="AN55" s="372">
        <f t="shared" si="10"/>
        <v>0.15644836261752953</v>
      </c>
      <c r="AO55" s="372">
        <f t="shared" si="10"/>
        <v>0.14724817846380792</v>
      </c>
      <c r="AP55" s="372">
        <f t="shared" si="10"/>
        <v>0.13844987842259251</v>
      </c>
      <c r="AQ55" s="372">
        <f t="shared" si="10"/>
        <v>0.13030812253434323</v>
      </c>
      <c r="AR55" s="372">
        <f t="shared" si="10"/>
        <v>0.12252201630317923</v>
      </c>
      <c r="AS55" s="372">
        <f t="shared" si="10"/>
        <v>0.11531692259676397</v>
      </c>
      <c r="AT55" s="372">
        <f t="shared" si="10"/>
        <v>0.10842656310015862</v>
      </c>
      <c r="AU55" s="372">
        <f t="shared" si="10"/>
        <v>0.10201620886376565</v>
      </c>
      <c r="AV55" s="372">
        <f t="shared" si="10"/>
        <v>9.5920587009459837E-2</v>
      </c>
      <c r="AW55" s="372">
        <f t="shared" si="10"/>
        <v>9.0279830852889986E-2</v>
      </c>
      <c r="AX55" s="372">
        <f t="shared" si="10"/>
        <v>8.4885475229610499E-2</v>
      </c>
      <c r="AY55" s="372">
        <f t="shared" si="10"/>
        <v>7.9893655622026535E-2</v>
      </c>
      <c r="AZ55" s="372">
        <f t="shared" si="10"/>
        <v>7.5119889583726118E-2</v>
      </c>
      <c r="BA55" s="372">
        <f t="shared" si="10"/>
        <v>7.0702350107988074E-2</v>
      </c>
      <c r="BB55" s="372">
        <f t="shared" si="10"/>
        <v>6.6477778392677961E-2</v>
      </c>
      <c r="BC55" s="372">
        <f t="shared" si="10"/>
        <v>6.254750433288099E-2</v>
      </c>
      <c r="BD55" s="372">
        <f t="shared" si="10"/>
        <v>5.8810196912910638E-2</v>
      </c>
      <c r="BE55" s="372">
        <f t="shared" si="10"/>
        <v>5.5351773745912394E-2</v>
      </c>
      <c r="BF55" s="372">
        <f t="shared" si="10"/>
        <v>5.204442204682358E-2</v>
      </c>
      <c r="BG55" s="372">
        <f t="shared" si="10"/>
        <v>4.8983870571603895E-2</v>
      </c>
      <c r="BH55" s="372">
        <f t="shared" si="10"/>
        <v>4.6057010660905832E-2</v>
      </c>
      <c r="BI55" s="372">
        <f t="shared" si="10"/>
        <v>4.3348558027968061E-2</v>
      </c>
      <c r="BJ55" s="372">
        <f t="shared" si="10"/>
        <v>4.0758416514075968E-2</v>
      </c>
      <c r="BK55" s="372">
        <f t="shared" si="10"/>
        <v>3.8348712835390486E-2</v>
      </c>
      <c r="BL55" s="372">
        <f t="shared" si="10"/>
        <v>3.6057319588695062E-2</v>
      </c>
      <c r="BM55" s="372">
        <f t="shared" si="10"/>
        <v>3.3936914013619902E-2</v>
      </c>
      <c r="BN55" s="372">
        <f t="shared" si="10"/>
        <v>3.1909132379376148E-2</v>
      </c>
      <c r="BO55" s="372">
        <f t="shared" si="10"/>
        <v>3.0032667268690184E-2</v>
      </c>
      <c r="BP55" s="372">
        <f t="shared" si="10"/>
        <v>2.8238170247235538E-2</v>
      </c>
      <c r="BQ55" s="372">
        <f t="shared" si="10"/>
        <v>2.6577581653708129E-2</v>
      </c>
      <c r="BR55" s="372">
        <f t="shared" si="10"/>
        <v>2.4989531192243845E-2</v>
      </c>
      <c r="BS55" s="372">
        <f t="shared" si="10"/>
        <v>2.3512109584812674E-2</v>
      </c>
      <c r="BT55" s="372">
        <f t="shared" si="10"/>
        <v>2.2107225688201587E-2</v>
      </c>
      <c r="BU55" s="372">
        <f t="shared" si="10"/>
        <v>2.0807176623728024E-2</v>
      </c>
      <c r="BV55" s="372">
        <f t="shared" si="10"/>
        <v>1.9563916538231498E-2</v>
      </c>
      <c r="BW55" s="372">
        <f t="shared" ref="BW55:CA55" si="11" xml:space="preserve"> (1 + $F53) ^ (-1 * BW54)</f>
        <v>1.8413430640467274E-2</v>
      </c>
      <c r="BX55" s="372">
        <f t="shared" si="11"/>
        <v>1.7313200476311057E-2</v>
      </c>
      <c r="BY55" s="372">
        <f t="shared" si="11"/>
        <v>1.6295071363245379E-2</v>
      </c>
      <c r="BZ55" s="372">
        <f t="shared" si="11"/>
        <v>1.5321416350717753E-2</v>
      </c>
      <c r="CA55" s="372">
        <f t="shared" si="11"/>
        <v>1.4415589370657185E-2</v>
      </c>
    </row>
    <row r="57" spans="1:79" s="124" customFormat="1" x14ac:dyDescent="0.2">
      <c r="A57" s="166"/>
      <c r="B57" s="166"/>
      <c r="C57" s="167"/>
      <c r="D57" s="168"/>
      <c r="E57" s="124" t="str">
        <f>E$14</f>
        <v>Shareholder distributions</v>
      </c>
      <c r="F57" s="124">
        <f t="shared" ref="F57:BQ57" si="12">F$14</f>
        <v>0</v>
      </c>
      <c r="G57" s="124">
        <f t="shared" si="12"/>
        <v>0</v>
      </c>
      <c r="H57" s="124">
        <f t="shared" si="12"/>
        <v>884084.91671888402</v>
      </c>
      <c r="I57" s="124">
        <f t="shared" si="12"/>
        <v>0</v>
      </c>
      <c r="J57" s="124">
        <f t="shared" si="12"/>
        <v>0</v>
      </c>
      <c r="K57" s="124">
        <f t="shared" si="12"/>
        <v>0</v>
      </c>
      <c r="L57" s="124">
        <f t="shared" si="12"/>
        <v>0</v>
      </c>
      <c r="M57" s="124">
        <f t="shared" si="12"/>
        <v>0</v>
      </c>
      <c r="N57" s="124">
        <f t="shared" si="12"/>
        <v>0</v>
      </c>
      <c r="O57" s="124">
        <f t="shared" si="12"/>
        <v>0</v>
      </c>
      <c r="P57" s="124">
        <f t="shared" si="12"/>
        <v>4006.8110803501586</v>
      </c>
      <c r="Q57" s="124">
        <f t="shared" si="12"/>
        <v>8588.7100229398784</v>
      </c>
      <c r="R57" s="124">
        <f t="shared" si="12"/>
        <v>6847.1730507980828</v>
      </c>
      <c r="S57" s="124">
        <f t="shared" si="12"/>
        <v>7335.4697624993314</v>
      </c>
      <c r="T57" s="124">
        <f t="shared" si="12"/>
        <v>6795.67227243042</v>
      </c>
      <c r="U57" s="124">
        <f t="shared" si="12"/>
        <v>7019.0445788575416</v>
      </c>
      <c r="V57" s="124">
        <f t="shared" si="12"/>
        <v>6780.964806829099</v>
      </c>
      <c r="W57" s="124">
        <f t="shared" si="12"/>
        <v>6679.7485736952076</v>
      </c>
      <c r="X57" s="124">
        <f t="shared" si="12"/>
        <v>7052.741941658649</v>
      </c>
      <c r="Y57" s="124">
        <f t="shared" si="12"/>
        <v>7101.6652108655544</v>
      </c>
      <c r="Z57" s="124">
        <f t="shared" si="12"/>
        <v>6770.5642087619708</v>
      </c>
      <c r="AA57" s="124">
        <f t="shared" si="12"/>
        <v>6957.315731757255</v>
      </c>
      <c r="AB57" s="124">
        <f t="shared" si="12"/>
        <v>5153.7985360133725</v>
      </c>
      <c r="AC57" s="124">
        <f t="shared" si="12"/>
        <v>3313.8131729521192</v>
      </c>
      <c r="AD57" s="124">
        <f t="shared" si="12"/>
        <v>4039.2993705345834</v>
      </c>
      <c r="AE57" s="124">
        <f t="shared" si="12"/>
        <v>4579.7145224730975</v>
      </c>
      <c r="AF57" s="124">
        <f t="shared" si="12"/>
        <v>4839.8615800047355</v>
      </c>
      <c r="AG57" s="124">
        <f t="shared" si="12"/>
        <v>5406.0394467431033</v>
      </c>
      <c r="AH57" s="124">
        <f t="shared" si="12"/>
        <v>5685.7811955944198</v>
      </c>
      <c r="AI57" s="124">
        <f t="shared" si="12"/>
        <v>6700.7386481415342</v>
      </c>
      <c r="AJ57" s="124">
        <f t="shared" si="12"/>
        <v>7004.2141970656166</v>
      </c>
      <c r="AK57" s="124">
        <f t="shared" si="12"/>
        <v>7630.4762684663965</v>
      </c>
      <c r="AL57" s="124">
        <f t="shared" si="12"/>
        <v>7956.7995555114303</v>
      </c>
      <c r="AM57" s="124">
        <f t="shared" si="12"/>
        <v>8614.7687134445423</v>
      </c>
      <c r="AN57" s="124">
        <f t="shared" si="12"/>
        <v>9321.840997047806</v>
      </c>
      <c r="AO57" s="124">
        <f t="shared" si="12"/>
        <v>10054.792216033982</v>
      </c>
      <c r="AP57" s="124">
        <f t="shared" si="12"/>
        <v>10417.609838565706</v>
      </c>
      <c r="AQ57" s="124">
        <f t="shared" si="12"/>
        <v>10803.739111954999</v>
      </c>
      <c r="AR57" s="124">
        <f t="shared" si="12"/>
        <v>6998.6032792639417</v>
      </c>
      <c r="AS57" s="124">
        <f t="shared" si="12"/>
        <v>7368.6813497910334</v>
      </c>
      <c r="AT57" s="124">
        <f t="shared" si="12"/>
        <v>7027.5397617001363</v>
      </c>
      <c r="AU57" s="124">
        <f t="shared" si="12"/>
        <v>7408.1870122351065</v>
      </c>
      <c r="AV57" s="124">
        <f t="shared" si="12"/>
        <v>7058.5577560739257</v>
      </c>
      <c r="AW57" s="124">
        <f t="shared" si="12"/>
        <v>7055.2690997261852</v>
      </c>
      <c r="AX57" s="124">
        <f t="shared" si="12"/>
        <v>7222.8107573686211</v>
      </c>
      <c r="AY57" s="124">
        <f t="shared" si="12"/>
        <v>7678.729954429491</v>
      </c>
      <c r="AZ57" s="124">
        <f t="shared" si="12"/>
        <v>7254.9868146571789</v>
      </c>
      <c r="BA57" s="124">
        <f t="shared" si="12"/>
        <v>7718.9019601722684</v>
      </c>
      <c r="BB57" s="124">
        <f t="shared" si="12"/>
        <v>26355.226543934212</v>
      </c>
      <c r="BC57" s="124">
        <f t="shared" si="12"/>
        <v>26665.4957125605</v>
      </c>
      <c r="BD57" s="124">
        <f t="shared" si="12"/>
        <v>26679.509517069491</v>
      </c>
      <c r="BE57" s="124">
        <f t="shared" si="12"/>
        <v>27238.761751659724</v>
      </c>
      <c r="BF57" s="124">
        <f t="shared" si="12"/>
        <v>27132.130690617203</v>
      </c>
      <c r="BG57" s="124">
        <f t="shared" si="12"/>
        <v>27708.238269792957</v>
      </c>
      <c r="BH57" s="124">
        <f t="shared" si="12"/>
        <v>27730.379693491417</v>
      </c>
      <c r="BI57" s="124">
        <f t="shared" si="12"/>
        <v>27173.623053413656</v>
      </c>
      <c r="BJ57" s="124">
        <f t="shared" si="12"/>
        <v>29384.936361395878</v>
      </c>
      <c r="BK57" s="124">
        <f t="shared" si="12"/>
        <v>27650.661466390051</v>
      </c>
      <c r="BL57" s="124">
        <f t="shared" si="12"/>
        <v>30054.355071744991</v>
      </c>
      <c r="BM57" s="124">
        <f t="shared" si="12"/>
        <v>28279.983539298279</v>
      </c>
      <c r="BN57" s="124">
        <f t="shared" si="12"/>
        <v>30746.866707974674</v>
      </c>
      <c r="BO57" s="124">
        <f t="shared" si="12"/>
        <v>28931.078249245016</v>
      </c>
      <c r="BP57" s="124">
        <f t="shared" si="12"/>
        <v>31462.428741065087</v>
      </c>
      <c r="BQ57" s="124">
        <f t="shared" si="12"/>
        <v>29603.901052597634</v>
      </c>
      <c r="BR57" s="124">
        <f t="shared" ref="BR57:CA57" si="13">BR$14</f>
        <v>30914.484995175917</v>
      </c>
      <c r="BS57" s="124">
        <f t="shared" si="13"/>
        <v>31601.01961146824</v>
      </c>
      <c r="BT57" s="124">
        <f t="shared" si="13"/>
        <v>31972.652849087732</v>
      </c>
      <c r="BU57" s="124">
        <f t="shared" si="13"/>
        <v>32349.94987889695</v>
      </c>
      <c r="BV57" s="124">
        <f t="shared" si="13"/>
        <v>38197.796604595853</v>
      </c>
      <c r="BW57" s="124">
        <f t="shared" si="13"/>
        <v>0</v>
      </c>
      <c r="BX57" s="124">
        <f t="shared" si="13"/>
        <v>0</v>
      </c>
      <c r="BY57" s="124">
        <f t="shared" si="13"/>
        <v>0</v>
      </c>
      <c r="BZ57" s="124">
        <f t="shared" si="13"/>
        <v>0</v>
      </c>
      <c r="CA57" s="124">
        <f t="shared" si="13"/>
        <v>0</v>
      </c>
    </row>
    <row r="58" spans="1:79" s="372" customFormat="1" x14ac:dyDescent="0.2">
      <c r="A58" s="368"/>
      <c r="B58" s="369"/>
      <c r="C58" s="370"/>
      <c r="D58" s="371"/>
      <c r="E58" s="372" t="str">
        <f xml:space="preserve"> E55</f>
        <v>Shareholder discount factor - semi</v>
      </c>
      <c r="F58" s="372">
        <f t="shared" ref="F58:BQ58" si="14" xml:space="preserve"> F55</f>
        <v>0</v>
      </c>
      <c r="G58" s="372">
        <f t="shared" si="14"/>
        <v>0</v>
      </c>
      <c r="H58" s="372">
        <f t="shared" si="14"/>
        <v>0</v>
      </c>
      <c r="I58" s="372">
        <f t="shared" si="14"/>
        <v>0</v>
      </c>
      <c r="J58" s="372">
        <f t="shared" si="14"/>
        <v>0.97978177313178194</v>
      </c>
      <c r="K58" s="372">
        <f t="shared" si="14"/>
        <v>0.92216421426151562</v>
      </c>
      <c r="L58" s="372">
        <f t="shared" si="14"/>
        <v>0.86706351604582488</v>
      </c>
      <c r="M58" s="372">
        <f t="shared" si="14"/>
        <v>0.81607452589514673</v>
      </c>
      <c r="N58" s="372">
        <f t="shared" si="14"/>
        <v>0.76731284605825223</v>
      </c>
      <c r="O58" s="372">
        <f t="shared" si="14"/>
        <v>0.72194806631489183</v>
      </c>
      <c r="P58" s="372">
        <f t="shared" si="14"/>
        <v>0.67881058395089156</v>
      </c>
      <c r="Q58" s="372">
        <f t="shared" si="14"/>
        <v>0.63889209408397529</v>
      </c>
      <c r="R58" s="372">
        <f t="shared" si="14"/>
        <v>0.60071733092999258</v>
      </c>
      <c r="S58" s="372">
        <f t="shared" si="14"/>
        <v>0.56539123370263289</v>
      </c>
      <c r="T58" s="372">
        <f t="shared" si="14"/>
        <v>0.53160825746017049</v>
      </c>
      <c r="U58" s="372">
        <f t="shared" si="14"/>
        <v>0.50034622451560451</v>
      </c>
      <c r="V58" s="372">
        <f t="shared" si="14"/>
        <v>0.47044978536298276</v>
      </c>
      <c r="W58" s="372">
        <f t="shared" si="14"/>
        <v>0.44263603116489048</v>
      </c>
      <c r="X58" s="372">
        <f t="shared" si="14"/>
        <v>0.41618786282847409</v>
      </c>
      <c r="Y58" s="372">
        <f t="shared" si="14"/>
        <v>0.39171330191583231</v>
      </c>
      <c r="Z58" s="372">
        <f t="shared" si="14"/>
        <v>0.36830784321103904</v>
      </c>
      <c r="AA58" s="372">
        <f t="shared" si="14"/>
        <v>0.34664893974852429</v>
      </c>
      <c r="AB58" s="372">
        <f t="shared" si="14"/>
        <v>0.32593614443454788</v>
      </c>
      <c r="AC58" s="372">
        <f t="shared" si="14"/>
        <v>0.30676897322878255</v>
      </c>
      <c r="AD58" s="372">
        <f t="shared" si="14"/>
        <v>0.28843906587128132</v>
      </c>
      <c r="AE58" s="372">
        <f t="shared" si="14"/>
        <v>0.27138608056046604</v>
      </c>
      <c r="AF58" s="372">
        <f t="shared" si="14"/>
        <v>0.25517035423576101</v>
      </c>
      <c r="AG58" s="372">
        <f t="shared" si="14"/>
        <v>0.24016467306235936</v>
      </c>
      <c r="AH58" s="372">
        <f t="shared" si="14"/>
        <v>0.22581447277500979</v>
      </c>
      <c r="AI58" s="372">
        <f t="shared" si="14"/>
        <v>0.21253510890474278</v>
      </c>
      <c r="AJ58" s="372">
        <f t="shared" si="14"/>
        <v>0.1998358166150529</v>
      </c>
      <c r="AK58" s="372">
        <f t="shared" si="14"/>
        <v>0.18808416717233875</v>
      </c>
      <c r="AL58" s="372">
        <f t="shared" si="14"/>
        <v>0.17684585541155126</v>
      </c>
      <c r="AM58" s="372">
        <f t="shared" si="14"/>
        <v>0.16639044166410291</v>
      </c>
      <c r="AN58" s="372">
        <f t="shared" si="14"/>
        <v>0.15644836261752953</v>
      </c>
      <c r="AO58" s="372">
        <f t="shared" si="14"/>
        <v>0.14724817846380792</v>
      </c>
      <c r="AP58" s="372">
        <f t="shared" si="14"/>
        <v>0.13844987842259251</v>
      </c>
      <c r="AQ58" s="372">
        <f t="shared" si="14"/>
        <v>0.13030812253434323</v>
      </c>
      <c r="AR58" s="372">
        <f t="shared" si="14"/>
        <v>0.12252201630317923</v>
      </c>
      <c r="AS58" s="372">
        <f t="shared" si="14"/>
        <v>0.11531692259676397</v>
      </c>
      <c r="AT58" s="372">
        <f t="shared" si="14"/>
        <v>0.10842656310015862</v>
      </c>
      <c r="AU58" s="372">
        <f t="shared" si="14"/>
        <v>0.10201620886376565</v>
      </c>
      <c r="AV58" s="372">
        <f t="shared" si="14"/>
        <v>9.5920587009459837E-2</v>
      </c>
      <c r="AW58" s="372">
        <f t="shared" si="14"/>
        <v>9.0279830852889986E-2</v>
      </c>
      <c r="AX58" s="372">
        <f t="shared" si="14"/>
        <v>8.4885475229610499E-2</v>
      </c>
      <c r="AY58" s="372">
        <f t="shared" si="14"/>
        <v>7.9893655622026535E-2</v>
      </c>
      <c r="AZ58" s="372">
        <f t="shared" si="14"/>
        <v>7.5119889583726118E-2</v>
      </c>
      <c r="BA58" s="372">
        <f t="shared" si="14"/>
        <v>7.0702350107988074E-2</v>
      </c>
      <c r="BB58" s="372">
        <f t="shared" si="14"/>
        <v>6.6477778392677961E-2</v>
      </c>
      <c r="BC58" s="372">
        <f t="shared" si="14"/>
        <v>6.254750433288099E-2</v>
      </c>
      <c r="BD58" s="372">
        <f t="shared" si="14"/>
        <v>5.8810196912910638E-2</v>
      </c>
      <c r="BE58" s="372">
        <f t="shared" si="14"/>
        <v>5.5351773745912394E-2</v>
      </c>
      <c r="BF58" s="372">
        <f t="shared" si="14"/>
        <v>5.204442204682358E-2</v>
      </c>
      <c r="BG58" s="372">
        <f t="shared" si="14"/>
        <v>4.8983870571603895E-2</v>
      </c>
      <c r="BH58" s="372">
        <f t="shared" si="14"/>
        <v>4.6057010660905832E-2</v>
      </c>
      <c r="BI58" s="372">
        <f t="shared" si="14"/>
        <v>4.3348558027968061E-2</v>
      </c>
      <c r="BJ58" s="372">
        <f t="shared" si="14"/>
        <v>4.0758416514075968E-2</v>
      </c>
      <c r="BK58" s="372">
        <f t="shared" si="14"/>
        <v>3.8348712835390486E-2</v>
      </c>
      <c r="BL58" s="372">
        <f t="shared" si="14"/>
        <v>3.6057319588695062E-2</v>
      </c>
      <c r="BM58" s="372">
        <f t="shared" si="14"/>
        <v>3.3936914013619902E-2</v>
      </c>
      <c r="BN58" s="372">
        <f t="shared" si="14"/>
        <v>3.1909132379376148E-2</v>
      </c>
      <c r="BO58" s="372">
        <f t="shared" si="14"/>
        <v>3.0032667268690184E-2</v>
      </c>
      <c r="BP58" s="372">
        <f t="shared" si="14"/>
        <v>2.8238170247235538E-2</v>
      </c>
      <c r="BQ58" s="372">
        <f t="shared" si="14"/>
        <v>2.6577581653708129E-2</v>
      </c>
      <c r="BR58" s="372">
        <f t="shared" ref="BR58:CA58" si="15" xml:space="preserve"> BR55</f>
        <v>2.4989531192243845E-2</v>
      </c>
      <c r="BS58" s="372">
        <f t="shared" si="15"/>
        <v>2.3512109584812674E-2</v>
      </c>
      <c r="BT58" s="372">
        <f t="shared" si="15"/>
        <v>2.2107225688201587E-2</v>
      </c>
      <c r="BU58" s="372">
        <f t="shared" si="15"/>
        <v>2.0807176623728024E-2</v>
      </c>
      <c r="BV58" s="372">
        <f t="shared" si="15"/>
        <v>1.9563916538231498E-2</v>
      </c>
      <c r="BW58" s="372">
        <f t="shared" si="15"/>
        <v>1.8413430640467274E-2</v>
      </c>
      <c r="BX58" s="372">
        <f t="shared" si="15"/>
        <v>1.7313200476311057E-2</v>
      </c>
      <c r="BY58" s="372">
        <f t="shared" si="15"/>
        <v>1.6295071363245379E-2</v>
      </c>
      <c r="BZ58" s="372">
        <f t="shared" si="15"/>
        <v>1.5321416350717753E-2</v>
      </c>
      <c r="CA58" s="372">
        <f t="shared" si="15"/>
        <v>1.4415589370657185E-2</v>
      </c>
    </row>
    <row r="59" spans="1:79" x14ac:dyDescent="0.2">
      <c r="E59" s="85" t="s">
        <v>280</v>
      </c>
      <c r="H59" s="85">
        <f>SUM(J59:CA59)</f>
        <v>92218.688085393398</v>
      </c>
      <c r="J59" s="85">
        <f xml:space="preserve"> J57 * J58</f>
        <v>0</v>
      </c>
      <c r="K59" s="85">
        <f t="shared" ref="K59:BV59" si="16" xml:space="preserve"> K57 * K58</f>
        <v>0</v>
      </c>
      <c r="L59" s="85">
        <f t="shared" si="16"/>
        <v>0</v>
      </c>
      <c r="M59" s="85">
        <f t="shared" si="16"/>
        <v>0</v>
      </c>
      <c r="N59" s="85">
        <f t="shared" si="16"/>
        <v>0</v>
      </c>
      <c r="O59" s="85">
        <f t="shared" si="16"/>
        <v>0</v>
      </c>
      <c r="P59" s="85">
        <f t="shared" si="16"/>
        <v>2719.8657692333936</v>
      </c>
      <c r="Q59" s="85">
        <f t="shared" si="16"/>
        <v>5487.2589320360867</v>
      </c>
      <c r="R59" s="85">
        <f t="shared" si="16"/>
        <v>4113.2155194911984</v>
      </c>
      <c r="S59" s="85">
        <f t="shared" si="16"/>
        <v>4147.4102988078566</v>
      </c>
      <c r="T59" s="85">
        <f t="shared" si="16"/>
        <v>3612.6354950171326</v>
      </c>
      <c r="U59" s="85">
        <f t="shared" si="16"/>
        <v>3511.9524547380925</v>
      </c>
      <c r="V59" s="85">
        <f t="shared" si="16"/>
        <v>3190.1034379266894</v>
      </c>
      <c r="W59" s="85">
        <f t="shared" si="16"/>
        <v>2956.6973978397846</v>
      </c>
      <c r="X59" s="85">
        <f t="shared" si="16"/>
        <v>2935.265595779656</v>
      </c>
      <c r="Y59" s="85">
        <f t="shared" si="16"/>
        <v>2781.8167288489417</v>
      </c>
      <c r="Z59" s="85">
        <f t="shared" si="16"/>
        <v>2493.6519010509764</v>
      </c>
      <c r="AA59" s="85">
        <f t="shared" si="16"/>
        <v>2411.7461219093807</v>
      </c>
      <c r="AB59" s="85">
        <f t="shared" si="16"/>
        <v>1679.8092240206161</v>
      </c>
      <c r="AC59" s="85">
        <f t="shared" si="16"/>
        <v>1016.5750645385356</v>
      </c>
      <c r="AD59" s="85">
        <f t="shared" si="16"/>
        <v>1165.09173721145</v>
      </c>
      <c r="AE59" s="85">
        <f t="shared" si="16"/>
        <v>1242.8707743398204</v>
      </c>
      <c r="AF59" s="85">
        <f t="shared" si="16"/>
        <v>1234.9891938218584</v>
      </c>
      <c r="AG59" s="85">
        <f t="shared" si="16"/>
        <v>1298.3396962892755</v>
      </c>
      <c r="AH59" s="85">
        <f t="shared" si="16"/>
        <v>1283.9316829972188</v>
      </c>
      <c r="AI59" s="85">
        <f t="shared" si="16"/>
        <v>1424.1422183249799</v>
      </c>
      <c r="AJ59" s="85">
        <f t="shared" si="16"/>
        <v>1399.6928638173545</v>
      </c>
      <c r="AK59" s="85">
        <f t="shared" si="16"/>
        <v>1435.1717740827974</v>
      </c>
      <c r="AL59" s="85">
        <f t="shared" si="16"/>
        <v>1407.1270237326698</v>
      </c>
      <c r="AM59" s="85">
        <f t="shared" si="16"/>
        <v>1433.4151710641331</v>
      </c>
      <c r="AN59" s="85">
        <f t="shared" si="16"/>
        <v>1458.3867605690882</v>
      </c>
      <c r="AO59" s="85">
        <f t="shared" si="16"/>
        <v>1480.5498386430784</v>
      </c>
      <c r="AP59" s="85">
        <f t="shared" si="16"/>
        <v>1442.3168156034255</v>
      </c>
      <c r="AQ59" s="85">
        <f t="shared" si="16"/>
        <v>1407.8149600297086</v>
      </c>
      <c r="AR59" s="85">
        <f t="shared" si="16"/>
        <v>857.48298508146024</v>
      </c>
      <c r="AS59" s="85">
        <f t="shared" si="16"/>
        <v>849.73365685407089</v>
      </c>
      <c r="AT59" s="85">
        <f t="shared" si="16"/>
        <v>761.97198341085345</v>
      </c>
      <c r="AU59" s="85">
        <f t="shared" si="16"/>
        <v>755.75515354201264</v>
      </c>
      <c r="AV59" s="85">
        <f t="shared" si="16"/>
        <v>677.06100340278658</v>
      </c>
      <c r="AW59" s="85">
        <f t="shared" si="16"/>
        <v>636.94850094490141</v>
      </c>
      <c r="AX59" s="85">
        <f t="shared" si="16"/>
        <v>613.11172363277831</v>
      </c>
      <c r="AY59" s="85">
        <f t="shared" si="16"/>
        <v>613.48180659372929</v>
      </c>
      <c r="AZ59" s="85">
        <f t="shared" si="16"/>
        <v>544.9938084484362</v>
      </c>
      <c r="BA59" s="85">
        <f t="shared" si="16"/>
        <v>545.74450883733516</v>
      </c>
      <c r="BB59" s="85">
        <f t="shared" si="16"/>
        <v>1752.0369096764823</v>
      </c>
      <c r="BC59" s="85">
        <f t="shared" si="16"/>
        <v>1667.8602086197973</v>
      </c>
      <c r="BD59" s="85">
        <f t="shared" si="16"/>
        <v>1569.0272082387303</v>
      </c>
      <c r="BE59" s="85">
        <f t="shared" si="16"/>
        <v>1507.7137775966814</v>
      </c>
      <c r="BF59" s="85">
        <f t="shared" si="16"/>
        <v>1412.0760606920567</v>
      </c>
      <c r="BG59" s="85">
        <f t="shared" si="16"/>
        <v>1357.2567571746999</v>
      </c>
      <c r="BH59" s="85">
        <f t="shared" si="16"/>
        <v>1277.1783931741008</v>
      </c>
      <c r="BI59" s="85">
        <f t="shared" si="16"/>
        <v>1177.9373757610324</v>
      </c>
      <c r="BJ59" s="85">
        <f t="shared" si="16"/>
        <v>1197.683475457389</v>
      </c>
      <c r="BK59" s="85">
        <f t="shared" si="16"/>
        <v>1060.3672762831893</v>
      </c>
      <c r="BL59" s="85">
        <f t="shared" si="16"/>
        <v>1083.6794858540275</v>
      </c>
      <c r="BM59" s="85">
        <f t="shared" si="16"/>
        <v>959.7353696797519</v>
      </c>
      <c r="BN59" s="85">
        <f t="shared" si="16"/>
        <v>981.1058400357972</v>
      </c>
      <c r="BO59" s="85">
        <f t="shared" si="16"/>
        <v>868.87744678401532</v>
      </c>
      <c r="BP59" s="85">
        <f t="shared" si="16"/>
        <v>888.44141918171238</v>
      </c>
      <c r="BQ59" s="85">
        <f t="shared" si="16"/>
        <v>786.80009749370959</v>
      </c>
      <c r="BR59" s="85">
        <f t="shared" si="16"/>
        <v>772.53848707910288</v>
      </c>
      <c r="BS59" s="85">
        <f t="shared" si="16"/>
        <v>743.00663609665571</v>
      </c>
      <c r="BT59" s="85">
        <f t="shared" si="16"/>
        <v>706.82665238530399</v>
      </c>
      <c r="BU59" s="85">
        <f t="shared" si="16"/>
        <v>673.11112089895789</v>
      </c>
      <c r="BV59" s="85">
        <f t="shared" si="16"/>
        <v>747.29850471665577</v>
      </c>
      <c r="BW59" s="85">
        <f t="shared" ref="BW59:CA59" si="17" xml:space="preserve"> BW57 * BW58</f>
        <v>0</v>
      </c>
      <c r="BX59" s="85">
        <f t="shared" si="17"/>
        <v>0</v>
      </c>
      <c r="BY59" s="85">
        <f t="shared" si="17"/>
        <v>0</v>
      </c>
      <c r="BZ59" s="85">
        <f t="shared" si="17"/>
        <v>0</v>
      </c>
      <c r="CA59" s="85">
        <f t="shared" si="17"/>
        <v>0</v>
      </c>
    </row>
    <row r="60" spans="1:79" x14ac:dyDescent="0.2">
      <c r="E60" s="85" t="s">
        <v>281</v>
      </c>
      <c r="F60" s="85">
        <f xml:space="preserve"> SUM(J59:CA59)</f>
        <v>92218.688085393398</v>
      </c>
      <c r="G60" s="85" t="str">
        <f xml:space="preserve"> SMU</f>
        <v>€ 000s</v>
      </c>
    </row>
    <row r="62" spans="1:79" x14ac:dyDescent="0.2">
      <c r="E62" s="85" t="str">
        <f xml:space="preserve"> E$60</f>
        <v>PV of shareholder distibutions</v>
      </c>
      <c r="F62" s="85">
        <f t="shared" ref="F62:G64" si="18" xml:space="preserve"> F$60</f>
        <v>92218.688085393398</v>
      </c>
      <c r="G62" s="85" t="str">
        <f t="shared" si="18"/>
        <v>€ 000s</v>
      </c>
    </row>
    <row r="63" spans="1:79" s="144" customFormat="1" x14ac:dyDescent="0.2">
      <c r="A63" s="93"/>
      <c r="B63" s="93"/>
      <c r="C63" s="94"/>
      <c r="D63" s="143" t="s">
        <v>24</v>
      </c>
      <c r="E63" s="144" t="str">
        <f>ConFin!E$117</f>
        <v>PV of equity investment</v>
      </c>
      <c r="F63" s="144">
        <f>ConFin!F$117</f>
        <v>69059.672779062035</v>
      </c>
      <c r="G63" s="144" t="str">
        <f>ConFin!G$117</f>
        <v>€ 000s</v>
      </c>
    </row>
    <row r="64" spans="1:79" x14ac:dyDescent="0.2">
      <c r="E64" s="85" t="s">
        <v>282</v>
      </c>
      <c r="F64" s="85">
        <f xml:space="preserve"> F62 - F63</f>
        <v>23159.015306331363</v>
      </c>
      <c r="G64" s="85" t="str">
        <f t="shared" si="18"/>
        <v>€ 000s</v>
      </c>
    </row>
  </sheetData>
  <printOptions heading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&amp;L&amp;"Arial,Bold"&amp;14Financial Mechanics Training Model&amp;C&amp;"Arial,Bold"&amp;14Sheet: &amp;A&amp;R&amp;"Arial,Bold"&amp;14STRICTLY NOT CONFIDENTIAL</oddHeader>
    <oddFooter>&amp;L&amp;12&amp;F (Printed on &amp;D at &amp;T) &amp;C&amp;12Page &amp;P of &amp;N&amp;R&amp;12© 2008 Financial Mechanics Ltd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20"/>
  <sheetViews>
    <sheetView defaultGridColor="0" colorId="22" workbookViewId="0">
      <pane xSplit="6" ySplit="4" topLeftCell="G5" activePane="bottomRight" state="frozen"/>
      <selection activeCell="G5" sqref="G5"/>
      <selection pane="topRight" activeCell="G5" sqref="G5"/>
      <selection pane="bottomLeft" activeCell="G5" sqref="G5"/>
      <selection pane="bottomRight" activeCell="G6" sqref="A6:XFD23"/>
    </sheetView>
  </sheetViews>
  <sheetFormatPr defaultColWidth="0" defaultRowHeight="12.75" x14ac:dyDescent="0.2"/>
  <cols>
    <col min="1" max="1" width="1.28515625" style="81" customWidth="1"/>
    <col min="2" max="2" width="1.28515625" style="82" customWidth="1"/>
    <col min="3" max="3" width="1.28515625" style="83" customWidth="1"/>
    <col min="4" max="4" width="1.28515625" style="84" customWidth="1"/>
    <col min="5" max="5" width="40.7109375" style="85" customWidth="1"/>
    <col min="6" max="6" width="12.7109375" style="85" customWidth="1"/>
    <col min="7" max="8" width="11.7109375" style="85" customWidth="1"/>
    <col min="9" max="9" width="2.7109375" style="85" customWidth="1"/>
    <col min="10" max="79" width="11.7109375" style="85" customWidth="1"/>
    <col min="80" max="16384" width="0" style="85" hidden="1"/>
  </cols>
  <sheetData>
    <row r="1" spans="1:79" s="72" customFormat="1" x14ac:dyDescent="0.2">
      <c r="A1" s="69" t="str">
        <f ca="1" xml:space="preserve"> RIGHT(CELL("filename", A1), LEN(CELL("filename", A1)) - SEARCH("]", CELL("filename", A1)))</f>
        <v>{Tmp}</v>
      </c>
      <c r="B1" s="69"/>
      <c r="C1" s="70"/>
      <c r="D1" s="71"/>
      <c r="F1" s="73"/>
      <c r="G1" s="73"/>
      <c r="H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</row>
    <row r="2" spans="1:79" s="74" customFormat="1" x14ac:dyDescent="0.2">
      <c r="A2" s="75"/>
      <c r="B2" s="75"/>
      <c r="C2" s="107"/>
      <c r="D2" s="77"/>
      <c r="E2" s="74" t="str">
        <f xml:space="preserve"> 'T&amp;E'!E$24</f>
        <v>Operating period flag</v>
      </c>
      <c r="F2" s="74">
        <f xml:space="preserve"> 'T&amp;E'!F$24</f>
        <v>0</v>
      </c>
      <c r="G2" s="74" t="str">
        <f xml:space="preserve"> 'T&amp;E'!G$24</f>
        <v>flag</v>
      </c>
      <c r="H2" s="74">
        <f xml:space="preserve"> 'T&amp;E'!H$24</f>
        <v>60</v>
      </c>
      <c r="I2" s="74">
        <f xml:space="preserve"> 'T&amp;E'!I$24</f>
        <v>0</v>
      </c>
      <c r="J2" s="74">
        <f xml:space="preserve"> 'T&amp;E'!J$24</f>
        <v>0</v>
      </c>
      <c r="K2" s="74">
        <f xml:space="preserve"> 'T&amp;E'!K$24</f>
        <v>0</v>
      </c>
      <c r="L2" s="74">
        <f xml:space="preserve"> 'T&amp;E'!L$24</f>
        <v>0</v>
      </c>
      <c r="M2" s="74">
        <f xml:space="preserve"> 'T&amp;E'!M$24</f>
        <v>0</v>
      </c>
      <c r="N2" s="74">
        <f xml:space="preserve"> 'T&amp;E'!N$24</f>
        <v>0</v>
      </c>
      <c r="O2" s="74">
        <f xml:space="preserve"> 'T&amp;E'!O$24</f>
        <v>1</v>
      </c>
      <c r="P2" s="74">
        <f xml:space="preserve"> 'T&amp;E'!P$24</f>
        <v>1</v>
      </c>
      <c r="Q2" s="74">
        <f xml:space="preserve"> 'T&amp;E'!Q$24</f>
        <v>1</v>
      </c>
      <c r="R2" s="74">
        <f xml:space="preserve"> 'T&amp;E'!R$24</f>
        <v>1</v>
      </c>
      <c r="S2" s="74">
        <f xml:space="preserve"> 'T&amp;E'!S$24</f>
        <v>1</v>
      </c>
      <c r="T2" s="74">
        <f xml:space="preserve"> 'T&amp;E'!T$24</f>
        <v>1</v>
      </c>
      <c r="U2" s="74">
        <f xml:space="preserve"> 'T&amp;E'!U$24</f>
        <v>1</v>
      </c>
      <c r="V2" s="74">
        <f xml:space="preserve"> 'T&amp;E'!V$24</f>
        <v>1</v>
      </c>
      <c r="W2" s="74">
        <f xml:space="preserve"> 'T&amp;E'!W$24</f>
        <v>1</v>
      </c>
      <c r="X2" s="74">
        <f xml:space="preserve"> 'T&amp;E'!X$24</f>
        <v>1</v>
      </c>
      <c r="Y2" s="74">
        <f xml:space="preserve"> 'T&amp;E'!Y$24</f>
        <v>1</v>
      </c>
      <c r="Z2" s="74">
        <f xml:space="preserve"> 'T&amp;E'!Z$24</f>
        <v>1</v>
      </c>
      <c r="AA2" s="74">
        <f xml:space="preserve"> 'T&amp;E'!AA$24</f>
        <v>1</v>
      </c>
      <c r="AB2" s="74">
        <f xml:space="preserve"> 'T&amp;E'!AB$24</f>
        <v>1</v>
      </c>
      <c r="AC2" s="74">
        <f xml:space="preserve"> 'T&amp;E'!AC$24</f>
        <v>1</v>
      </c>
      <c r="AD2" s="74">
        <f xml:space="preserve"> 'T&amp;E'!AD$24</f>
        <v>1</v>
      </c>
      <c r="AE2" s="74">
        <f xml:space="preserve"> 'T&amp;E'!AE$24</f>
        <v>1</v>
      </c>
      <c r="AF2" s="74">
        <f xml:space="preserve"> 'T&amp;E'!AF$24</f>
        <v>1</v>
      </c>
      <c r="AG2" s="74">
        <f xml:space="preserve"> 'T&amp;E'!AG$24</f>
        <v>1</v>
      </c>
      <c r="AH2" s="74">
        <f xml:space="preserve"> 'T&amp;E'!AH$24</f>
        <v>1</v>
      </c>
      <c r="AI2" s="74">
        <f xml:space="preserve"> 'T&amp;E'!AI$24</f>
        <v>1</v>
      </c>
      <c r="AJ2" s="74">
        <f xml:space="preserve"> 'T&amp;E'!AJ$24</f>
        <v>1</v>
      </c>
      <c r="AK2" s="74">
        <f xml:space="preserve"> 'T&amp;E'!AK$24</f>
        <v>1</v>
      </c>
      <c r="AL2" s="74">
        <f xml:space="preserve"> 'T&amp;E'!AL$24</f>
        <v>1</v>
      </c>
      <c r="AM2" s="74">
        <f xml:space="preserve"> 'T&amp;E'!AM$24</f>
        <v>1</v>
      </c>
      <c r="AN2" s="74">
        <f xml:space="preserve"> 'T&amp;E'!AN$24</f>
        <v>1</v>
      </c>
      <c r="AO2" s="74">
        <f xml:space="preserve"> 'T&amp;E'!AO$24</f>
        <v>1</v>
      </c>
      <c r="AP2" s="74">
        <f xml:space="preserve"> 'T&amp;E'!AP$24</f>
        <v>1</v>
      </c>
      <c r="AQ2" s="74">
        <f xml:space="preserve"> 'T&amp;E'!AQ$24</f>
        <v>1</v>
      </c>
      <c r="AR2" s="74">
        <f xml:space="preserve"> 'T&amp;E'!AR$24</f>
        <v>1</v>
      </c>
      <c r="AS2" s="74">
        <f xml:space="preserve"> 'T&amp;E'!AS$24</f>
        <v>1</v>
      </c>
      <c r="AT2" s="74">
        <f xml:space="preserve"> 'T&amp;E'!AT$24</f>
        <v>1</v>
      </c>
      <c r="AU2" s="74">
        <f xml:space="preserve"> 'T&amp;E'!AU$24</f>
        <v>1</v>
      </c>
      <c r="AV2" s="74">
        <f xml:space="preserve"> 'T&amp;E'!AV$24</f>
        <v>1</v>
      </c>
      <c r="AW2" s="74">
        <f xml:space="preserve"> 'T&amp;E'!AW$24</f>
        <v>1</v>
      </c>
      <c r="AX2" s="74">
        <f xml:space="preserve"> 'T&amp;E'!AX$24</f>
        <v>1</v>
      </c>
      <c r="AY2" s="74">
        <f xml:space="preserve"> 'T&amp;E'!AY$24</f>
        <v>1</v>
      </c>
      <c r="AZ2" s="74">
        <f xml:space="preserve"> 'T&amp;E'!AZ$24</f>
        <v>1</v>
      </c>
      <c r="BA2" s="74">
        <f xml:space="preserve"> 'T&amp;E'!BA$24</f>
        <v>1</v>
      </c>
      <c r="BB2" s="74">
        <f xml:space="preserve"> 'T&amp;E'!BB$24</f>
        <v>1</v>
      </c>
      <c r="BC2" s="74">
        <f xml:space="preserve"> 'T&amp;E'!BC$24</f>
        <v>1</v>
      </c>
      <c r="BD2" s="74">
        <f xml:space="preserve"> 'T&amp;E'!BD$24</f>
        <v>1</v>
      </c>
      <c r="BE2" s="74">
        <f xml:space="preserve"> 'T&amp;E'!BE$24</f>
        <v>1</v>
      </c>
      <c r="BF2" s="74">
        <f xml:space="preserve"> 'T&amp;E'!BF$24</f>
        <v>1</v>
      </c>
      <c r="BG2" s="74">
        <f xml:space="preserve"> 'T&amp;E'!BG$24</f>
        <v>1</v>
      </c>
      <c r="BH2" s="74">
        <f xml:space="preserve"> 'T&amp;E'!BH$24</f>
        <v>1</v>
      </c>
      <c r="BI2" s="74">
        <f xml:space="preserve"> 'T&amp;E'!BI$24</f>
        <v>1</v>
      </c>
      <c r="BJ2" s="74">
        <f xml:space="preserve"> 'T&amp;E'!BJ$24</f>
        <v>1</v>
      </c>
      <c r="BK2" s="74">
        <f xml:space="preserve"> 'T&amp;E'!BK$24</f>
        <v>1</v>
      </c>
      <c r="BL2" s="74">
        <f xml:space="preserve"> 'T&amp;E'!BL$24</f>
        <v>1</v>
      </c>
      <c r="BM2" s="74">
        <f xml:space="preserve"> 'T&amp;E'!BM$24</f>
        <v>1</v>
      </c>
      <c r="BN2" s="74">
        <f xml:space="preserve"> 'T&amp;E'!BN$24</f>
        <v>1</v>
      </c>
      <c r="BO2" s="74">
        <f xml:space="preserve"> 'T&amp;E'!BO$24</f>
        <v>1</v>
      </c>
      <c r="BP2" s="74">
        <f xml:space="preserve"> 'T&amp;E'!BP$24</f>
        <v>1</v>
      </c>
      <c r="BQ2" s="74">
        <f xml:space="preserve"> 'T&amp;E'!BQ$24</f>
        <v>1</v>
      </c>
      <c r="BR2" s="74">
        <f xml:space="preserve"> 'T&amp;E'!BR$24</f>
        <v>1</v>
      </c>
      <c r="BS2" s="74">
        <f xml:space="preserve"> 'T&amp;E'!BS$24</f>
        <v>1</v>
      </c>
      <c r="BT2" s="74">
        <f xml:space="preserve"> 'T&amp;E'!BT$24</f>
        <v>1</v>
      </c>
      <c r="BU2" s="74">
        <f xml:space="preserve"> 'T&amp;E'!BU$24</f>
        <v>1</v>
      </c>
      <c r="BV2" s="74">
        <f xml:space="preserve"> 'T&amp;E'!BV$24</f>
        <v>1</v>
      </c>
      <c r="BW2" s="74">
        <f xml:space="preserve"> 'T&amp;E'!BW$24</f>
        <v>0</v>
      </c>
      <c r="BX2" s="74">
        <f xml:space="preserve"> 'T&amp;E'!BX$24</f>
        <v>0</v>
      </c>
      <c r="BY2" s="74">
        <f xml:space="preserve"> 'T&amp;E'!BY$24</f>
        <v>0</v>
      </c>
      <c r="BZ2" s="74">
        <f xml:space="preserve"> 'T&amp;E'!BZ$24</f>
        <v>0</v>
      </c>
      <c r="CA2" s="74">
        <f xml:space="preserve"> 'T&amp;E'!CA$24</f>
        <v>0</v>
      </c>
    </row>
    <row r="3" spans="1:79" s="74" customFormat="1" x14ac:dyDescent="0.2">
      <c r="A3" s="75"/>
      <c r="B3" s="75"/>
      <c r="C3" s="107"/>
      <c r="D3" s="77"/>
      <c r="E3" s="74" t="str">
        <f>'T&amp;E'!E$8</f>
        <v>Model column counter</v>
      </c>
      <c r="F3" s="74">
        <f>'T&amp;E'!F$8</f>
        <v>0</v>
      </c>
      <c r="G3" s="74">
        <f>'T&amp;E'!G$8</f>
        <v>0</v>
      </c>
      <c r="H3" s="74">
        <f>'T&amp;E'!H$8</f>
        <v>0</v>
      </c>
      <c r="I3" s="74">
        <f>'T&amp;E'!I$8</f>
        <v>0</v>
      </c>
      <c r="J3" s="74">
        <f>'T&amp;E'!J$8</f>
        <v>1</v>
      </c>
      <c r="K3" s="74">
        <f>'T&amp;E'!K$8</f>
        <v>2</v>
      </c>
      <c r="L3" s="74">
        <f>'T&amp;E'!L$8</f>
        <v>3</v>
      </c>
      <c r="M3" s="74">
        <f>'T&amp;E'!M$8</f>
        <v>4</v>
      </c>
      <c r="N3" s="74">
        <f>'T&amp;E'!N$8</f>
        <v>5</v>
      </c>
      <c r="O3" s="74">
        <f>'T&amp;E'!O$8</f>
        <v>6</v>
      </c>
      <c r="P3" s="74">
        <f>'T&amp;E'!P$8</f>
        <v>7</v>
      </c>
      <c r="Q3" s="74">
        <f>'T&amp;E'!Q$8</f>
        <v>8</v>
      </c>
      <c r="R3" s="74">
        <f>'T&amp;E'!R$8</f>
        <v>9</v>
      </c>
      <c r="S3" s="74">
        <f>'T&amp;E'!S$8</f>
        <v>10</v>
      </c>
      <c r="T3" s="74">
        <f>'T&amp;E'!T$8</f>
        <v>11</v>
      </c>
      <c r="U3" s="74">
        <f>'T&amp;E'!U$8</f>
        <v>12</v>
      </c>
      <c r="V3" s="74">
        <f>'T&amp;E'!V$8</f>
        <v>13</v>
      </c>
      <c r="W3" s="74">
        <f>'T&amp;E'!W$8</f>
        <v>14</v>
      </c>
      <c r="X3" s="74">
        <f>'T&amp;E'!X$8</f>
        <v>15</v>
      </c>
      <c r="Y3" s="74">
        <f>'T&amp;E'!Y$8</f>
        <v>16</v>
      </c>
      <c r="Z3" s="74">
        <f>'T&amp;E'!Z$8</f>
        <v>17</v>
      </c>
      <c r="AA3" s="74">
        <f>'T&amp;E'!AA$8</f>
        <v>18</v>
      </c>
      <c r="AB3" s="74">
        <f>'T&amp;E'!AB$8</f>
        <v>19</v>
      </c>
      <c r="AC3" s="74">
        <f>'T&amp;E'!AC$8</f>
        <v>20</v>
      </c>
      <c r="AD3" s="74">
        <f>'T&amp;E'!AD$8</f>
        <v>21</v>
      </c>
      <c r="AE3" s="74">
        <f>'T&amp;E'!AE$8</f>
        <v>22</v>
      </c>
      <c r="AF3" s="74">
        <f>'T&amp;E'!AF$8</f>
        <v>23</v>
      </c>
      <c r="AG3" s="74">
        <f>'T&amp;E'!AG$8</f>
        <v>24</v>
      </c>
      <c r="AH3" s="74">
        <f>'T&amp;E'!AH$8</f>
        <v>25</v>
      </c>
      <c r="AI3" s="74">
        <f>'T&amp;E'!AI$8</f>
        <v>26</v>
      </c>
      <c r="AJ3" s="74">
        <f>'T&amp;E'!AJ$8</f>
        <v>27</v>
      </c>
      <c r="AK3" s="74">
        <f>'T&amp;E'!AK$8</f>
        <v>28</v>
      </c>
      <c r="AL3" s="74">
        <f>'T&amp;E'!AL$8</f>
        <v>29</v>
      </c>
      <c r="AM3" s="74">
        <f>'T&amp;E'!AM$8</f>
        <v>30</v>
      </c>
      <c r="AN3" s="74">
        <f>'T&amp;E'!AN$8</f>
        <v>31</v>
      </c>
      <c r="AO3" s="74">
        <f>'T&amp;E'!AO$8</f>
        <v>32</v>
      </c>
      <c r="AP3" s="74">
        <f>'T&amp;E'!AP$8</f>
        <v>33</v>
      </c>
      <c r="AQ3" s="74">
        <f>'T&amp;E'!AQ$8</f>
        <v>34</v>
      </c>
      <c r="AR3" s="74">
        <f>'T&amp;E'!AR$8</f>
        <v>35</v>
      </c>
      <c r="AS3" s="74">
        <f>'T&amp;E'!AS$8</f>
        <v>36</v>
      </c>
      <c r="AT3" s="74">
        <f>'T&amp;E'!AT$8</f>
        <v>37</v>
      </c>
      <c r="AU3" s="74">
        <f>'T&amp;E'!AU$8</f>
        <v>38</v>
      </c>
      <c r="AV3" s="74">
        <f>'T&amp;E'!AV$8</f>
        <v>39</v>
      </c>
      <c r="AW3" s="74">
        <f>'T&amp;E'!AW$8</f>
        <v>40</v>
      </c>
      <c r="AX3" s="74">
        <f>'T&amp;E'!AX$8</f>
        <v>41</v>
      </c>
      <c r="AY3" s="74">
        <f>'T&amp;E'!AY$8</f>
        <v>42</v>
      </c>
      <c r="AZ3" s="74">
        <f>'T&amp;E'!AZ$8</f>
        <v>43</v>
      </c>
      <c r="BA3" s="74">
        <f>'T&amp;E'!BA$8</f>
        <v>44</v>
      </c>
      <c r="BB3" s="74">
        <f>'T&amp;E'!BB$8</f>
        <v>45</v>
      </c>
      <c r="BC3" s="74">
        <f>'T&amp;E'!BC$8</f>
        <v>46</v>
      </c>
      <c r="BD3" s="74">
        <f>'T&amp;E'!BD$8</f>
        <v>47</v>
      </c>
      <c r="BE3" s="74">
        <f>'T&amp;E'!BE$8</f>
        <v>48</v>
      </c>
      <c r="BF3" s="74">
        <f>'T&amp;E'!BF$8</f>
        <v>49</v>
      </c>
      <c r="BG3" s="74">
        <f>'T&amp;E'!BG$8</f>
        <v>50</v>
      </c>
      <c r="BH3" s="74">
        <f>'T&amp;E'!BH$8</f>
        <v>51</v>
      </c>
      <c r="BI3" s="74">
        <f>'T&amp;E'!BI$8</f>
        <v>52</v>
      </c>
      <c r="BJ3" s="74">
        <f>'T&amp;E'!BJ$8</f>
        <v>53</v>
      </c>
      <c r="BK3" s="74">
        <f>'T&amp;E'!BK$8</f>
        <v>54</v>
      </c>
      <c r="BL3" s="74">
        <f>'T&amp;E'!BL$8</f>
        <v>55</v>
      </c>
      <c r="BM3" s="74">
        <f>'T&amp;E'!BM$8</f>
        <v>56</v>
      </c>
      <c r="BN3" s="74">
        <f>'T&amp;E'!BN$8</f>
        <v>57</v>
      </c>
      <c r="BO3" s="74">
        <f>'T&amp;E'!BO$8</f>
        <v>58</v>
      </c>
      <c r="BP3" s="74">
        <f>'T&amp;E'!BP$8</f>
        <v>59</v>
      </c>
      <c r="BQ3" s="74">
        <f>'T&amp;E'!BQ$8</f>
        <v>60</v>
      </c>
      <c r="BR3" s="74">
        <f>'T&amp;E'!BR$8</f>
        <v>61</v>
      </c>
      <c r="BS3" s="74">
        <f>'T&amp;E'!BS$8</f>
        <v>62</v>
      </c>
      <c r="BT3" s="74">
        <f>'T&amp;E'!BT$8</f>
        <v>63</v>
      </c>
      <c r="BU3" s="74">
        <f>'T&amp;E'!BU$8</f>
        <v>64</v>
      </c>
      <c r="BV3" s="74">
        <f>'T&amp;E'!BV$8</f>
        <v>65</v>
      </c>
      <c r="BW3" s="74">
        <f>'T&amp;E'!BW$8</f>
        <v>66</v>
      </c>
      <c r="BX3" s="74">
        <f>'T&amp;E'!BX$8</f>
        <v>67</v>
      </c>
      <c r="BY3" s="74">
        <f>'T&amp;E'!BY$8</f>
        <v>68</v>
      </c>
      <c r="BZ3" s="74">
        <f>'T&amp;E'!BZ$8</f>
        <v>69</v>
      </c>
      <c r="CA3" s="74">
        <f>'T&amp;E'!CA$8</f>
        <v>70</v>
      </c>
    </row>
    <row r="4" spans="1:79" s="78" customFormat="1" x14ac:dyDescent="0.2">
      <c r="C4" s="79"/>
      <c r="D4" s="80"/>
      <c r="E4" s="78" t="str">
        <f xml:space="preserve"> 'T&amp;E'!E$12</f>
        <v>Model period ending</v>
      </c>
      <c r="F4" s="80" t="str">
        <f xml:space="preserve"> 'T&amp;E'!F$12</f>
        <v>constant</v>
      </c>
      <c r="G4" s="78" t="str">
        <f xml:space="preserve"> 'T&amp;E'!G$12</f>
        <v>unit</v>
      </c>
      <c r="H4" s="80" t="str">
        <f xml:space="preserve"> 'T&amp;E'!H$12</f>
        <v>total</v>
      </c>
      <c r="I4" s="78">
        <f xml:space="preserve"> 'T&amp;E'!I$12</f>
        <v>0</v>
      </c>
      <c r="J4" s="78">
        <f xml:space="preserve"> 'T&amp;E'!J$12</f>
        <v>41639</v>
      </c>
      <c r="K4" s="78">
        <f xml:space="preserve"> 'T&amp;E'!K$12</f>
        <v>41820</v>
      </c>
      <c r="L4" s="78">
        <f xml:space="preserve"> 'T&amp;E'!L$12</f>
        <v>42004</v>
      </c>
      <c r="M4" s="78">
        <f xml:space="preserve"> 'T&amp;E'!M$12</f>
        <v>42185</v>
      </c>
      <c r="N4" s="78">
        <f xml:space="preserve"> 'T&amp;E'!N$12</f>
        <v>42369</v>
      </c>
      <c r="O4" s="78">
        <f xml:space="preserve"> 'T&amp;E'!O$12</f>
        <v>42551</v>
      </c>
      <c r="P4" s="78">
        <f xml:space="preserve"> 'T&amp;E'!P$12</f>
        <v>42735</v>
      </c>
      <c r="Q4" s="78">
        <f xml:space="preserve"> 'T&amp;E'!Q$12</f>
        <v>42916</v>
      </c>
      <c r="R4" s="78">
        <f xml:space="preserve"> 'T&amp;E'!R$12</f>
        <v>43100</v>
      </c>
      <c r="S4" s="78">
        <f xml:space="preserve"> 'T&amp;E'!S$12</f>
        <v>43281</v>
      </c>
      <c r="T4" s="78">
        <f xml:space="preserve"> 'T&amp;E'!T$12</f>
        <v>43465</v>
      </c>
      <c r="U4" s="78">
        <f xml:space="preserve"> 'T&amp;E'!U$12</f>
        <v>43646</v>
      </c>
      <c r="V4" s="78">
        <f xml:space="preserve"> 'T&amp;E'!V$12</f>
        <v>43830</v>
      </c>
      <c r="W4" s="78">
        <f xml:space="preserve"> 'T&amp;E'!W$12</f>
        <v>44012</v>
      </c>
      <c r="X4" s="78">
        <f xml:space="preserve"> 'T&amp;E'!X$12</f>
        <v>44196</v>
      </c>
      <c r="Y4" s="78">
        <f xml:space="preserve"> 'T&amp;E'!Y$12</f>
        <v>44377</v>
      </c>
      <c r="Z4" s="78">
        <f xml:space="preserve"> 'T&amp;E'!Z$12</f>
        <v>44561</v>
      </c>
      <c r="AA4" s="78">
        <f xml:space="preserve"> 'T&amp;E'!AA$12</f>
        <v>44742</v>
      </c>
      <c r="AB4" s="78">
        <f xml:space="preserve"> 'T&amp;E'!AB$12</f>
        <v>44926</v>
      </c>
      <c r="AC4" s="78">
        <f xml:space="preserve"> 'T&amp;E'!AC$12</f>
        <v>45107</v>
      </c>
      <c r="AD4" s="78">
        <f xml:space="preserve"> 'T&amp;E'!AD$12</f>
        <v>45291</v>
      </c>
      <c r="AE4" s="78">
        <f xml:space="preserve"> 'T&amp;E'!AE$12</f>
        <v>45473</v>
      </c>
      <c r="AF4" s="78">
        <f xml:space="preserve"> 'T&amp;E'!AF$12</f>
        <v>45657</v>
      </c>
      <c r="AG4" s="78">
        <f xml:space="preserve"> 'T&amp;E'!AG$12</f>
        <v>45838</v>
      </c>
      <c r="AH4" s="78">
        <f xml:space="preserve"> 'T&amp;E'!AH$12</f>
        <v>46022</v>
      </c>
      <c r="AI4" s="78">
        <f xml:space="preserve"> 'T&amp;E'!AI$12</f>
        <v>46203</v>
      </c>
      <c r="AJ4" s="78">
        <f xml:space="preserve"> 'T&amp;E'!AJ$12</f>
        <v>46387</v>
      </c>
      <c r="AK4" s="78">
        <f xml:space="preserve"> 'T&amp;E'!AK$12</f>
        <v>46568</v>
      </c>
      <c r="AL4" s="78">
        <f xml:space="preserve"> 'T&amp;E'!AL$12</f>
        <v>46752</v>
      </c>
      <c r="AM4" s="78">
        <f xml:space="preserve"> 'T&amp;E'!AM$12</f>
        <v>46934</v>
      </c>
      <c r="AN4" s="78">
        <f xml:space="preserve"> 'T&amp;E'!AN$12</f>
        <v>47118</v>
      </c>
      <c r="AO4" s="78">
        <f xml:space="preserve"> 'T&amp;E'!AO$12</f>
        <v>47299</v>
      </c>
      <c r="AP4" s="78">
        <f xml:space="preserve"> 'T&amp;E'!AP$12</f>
        <v>47483</v>
      </c>
      <c r="AQ4" s="78">
        <f xml:space="preserve"> 'T&amp;E'!AQ$12</f>
        <v>47664</v>
      </c>
      <c r="AR4" s="78">
        <f xml:space="preserve"> 'T&amp;E'!AR$12</f>
        <v>47848</v>
      </c>
      <c r="AS4" s="78">
        <f xml:space="preserve"> 'T&amp;E'!AS$12</f>
        <v>48029</v>
      </c>
      <c r="AT4" s="78">
        <f xml:space="preserve"> 'T&amp;E'!AT$12</f>
        <v>48213</v>
      </c>
      <c r="AU4" s="78">
        <f xml:space="preserve"> 'T&amp;E'!AU$12</f>
        <v>48395</v>
      </c>
      <c r="AV4" s="78">
        <f xml:space="preserve"> 'T&amp;E'!AV$12</f>
        <v>48579</v>
      </c>
      <c r="AW4" s="78">
        <f xml:space="preserve"> 'T&amp;E'!AW$12</f>
        <v>48760</v>
      </c>
      <c r="AX4" s="78">
        <f xml:space="preserve"> 'T&amp;E'!AX$12</f>
        <v>48944</v>
      </c>
      <c r="AY4" s="78">
        <f xml:space="preserve"> 'T&amp;E'!AY$12</f>
        <v>49125</v>
      </c>
      <c r="AZ4" s="78">
        <f xml:space="preserve"> 'T&amp;E'!AZ$12</f>
        <v>49309</v>
      </c>
      <c r="BA4" s="78">
        <f xml:space="preserve"> 'T&amp;E'!BA$12</f>
        <v>49490</v>
      </c>
      <c r="BB4" s="78">
        <f xml:space="preserve"> 'T&amp;E'!BB$12</f>
        <v>49674</v>
      </c>
      <c r="BC4" s="78">
        <f xml:space="preserve"> 'T&amp;E'!BC$12</f>
        <v>49856</v>
      </c>
      <c r="BD4" s="78">
        <f xml:space="preserve"> 'T&amp;E'!BD$12</f>
        <v>50040</v>
      </c>
      <c r="BE4" s="78">
        <f xml:space="preserve"> 'T&amp;E'!BE$12</f>
        <v>50221</v>
      </c>
      <c r="BF4" s="78">
        <f xml:space="preserve"> 'T&amp;E'!BF$12</f>
        <v>50405</v>
      </c>
      <c r="BG4" s="78">
        <f xml:space="preserve"> 'T&amp;E'!BG$12</f>
        <v>50586</v>
      </c>
      <c r="BH4" s="78">
        <f xml:space="preserve"> 'T&amp;E'!BH$12</f>
        <v>50770</v>
      </c>
      <c r="BI4" s="78">
        <f xml:space="preserve"> 'T&amp;E'!BI$12</f>
        <v>50951</v>
      </c>
      <c r="BJ4" s="78">
        <f xml:space="preserve"> 'T&amp;E'!BJ$12</f>
        <v>51135</v>
      </c>
      <c r="BK4" s="78">
        <f xml:space="preserve"> 'T&amp;E'!BK$12</f>
        <v>51317</v>
      </c>
      <c r="BL4" s="78">
        <f xml:space="preserve"> 'T&amp;E'!BL$12</f>
        <v>51501</v>
      </c>
      <c r="BM4" s="78">
        <f xml:space="preserve"> 'T&amp;E'!BM$12</f>
        <v>51682</v>
      </c>
      <c r="BN4" s="78">
        <f xml:space="preserve"> 'T&amp;E'!BN$12</f>
        <v>51866</v>
      </c>
      <c r="BO4" s="78">
        <f xml:space="preserve"> 'T&amp;E'!BO$12</f>
        <v>52047</v>
      </c>
      <c r="BP4" s="78">
        <f xml:space="preserve"> 'T&amp;E'!BP$12</f>
        <v>52231</v>
      </c>
      <c r="BQ4" s="78">
        <f xml:space="preserve"> 'T&amp;E'!BQ$12</f>
        <v>52412</v>
      </c>
      <c r="BR4" s="78">
        <f xml:space="preserve"> 'T&amp;E'!BR$12</f>
        <v>52596</v>
      </c>
      <c r="BS4" s="78">
        <f xml:space="preserve"> 'T&amp;E'!BS$12</f>
        <v>52778</v>
      </c>
      <c r="BT4" s="78">
        <f xml:space="preserve"> 'T&amp;E'!BT$12</f>
        <v>52962</v>
      </c>
      <c r="BU4" s="78">
        <f xml:space="preserve"> 'T&amp;E'!BU$12</f>
        <v>53143</v>
      </c>
      <c r="BV4" s="78">
        <f xml:space="preserve"> 'T&amp;E'!BV$12</f>
        <v>53327</v>
      </c>
      <c r="BW4" s="78">
        <f xml:space="preserve"> 'T&amp;E'!BW$12</f>
        <v>53508</v>
      </c>
      <c r="BX4" s="78">
        <f xml:space="preserve"> 'T&amp;E'!BX$12</f>
        <v>53692</v>
      </c>
      <c r="BY4" s="78">
        <f xml:space="preserve"> 'T&amp;E'!BY$12</f>
        <v>53873</v>
      </c>
      <c r="BZ4" s="78">
        <f xml:space="preserve"> 'T&amp;E'!BZ$12</f>
        <v>54057</v>
      </c>
      <c r="CA4" s="78">
        <f xml:space="preserve"> 'T&amp;E'!CA$12</f>
        <v>54239</v>
      </c>
    </row>
    <row r="6" spans="1:79" x14ac:dyDescent="0.2">
      <c r="A6" s="81" t="s">
        <v>25</v>
      </c>
    </row>
    <row r="8" spans="1:79" s="114" customFormat="1" x14ac:dyDescent="0.2">
      <c r="A8" s="108"/>
      <c r="B8" s="108"/>
      <c r="C8" s="109"/>
      <c r="D8" s="110"/>
      <c r="E8" s="111" t="s">
        <v>29</v>
      </c>
      <c r="F8" s="112">
        <v>0</v>
      </c>
      <c r="G8" s="113" t="str">
        <f xml:space="preserve"> SMU</f>
        <v>€ 000s</v>
      </c>
    </row>
    <row r="9" spans="1:79" s="118" customFormat="1" x14ac:dyDescent="0.2">
      <c r="A9" s="115"/>
      <c r="B9" s="115"/>
      <c r="C9" s="116"/>
      <c r="D9" s="117"/>
      <c r="E9" s="118" t="str">
        <f>'T&amp;E'!E$19</f>
        <v>Initial operations date flag</v>
      </c>
      <c r="F9" s="118">
        <f>'T&amp;E'!F$19</f>
        <v>0</v>
      </c>
      <c r="G9" s="118" t="str">
        <f>'T&amp;E'!G$19</f>
        <v>flag</v>
      </c>
      <c r="H9" s="118">
        <f>'T&amp;E'!H$19</f>
        <v>1</v>
      </c>
      <c r="I9" s="118">
        <f>'T&amp;E'!I$19</f>
        <v>0</v>
      </c>
      <c r="J9" s="118">
        <f>'T&amp;E'!J$19</f>
        <v>0</v>
      </c>
      <c r="K9" s="118">
        <f>'T&amp;E'!K$19</f>
        <v>0</v>
      </c>
      <c r="L9" s="118">
        <f>'T&amp;E'!L$19</f>
        <v>0</v>
      </c>
      <c r="M9" s="118">
        <f>'T&amp;E'!M$19</f>
        <v>0</v>
      </c>
      <c r="N9" s="118">
        <f>'T&amp;E'!N$19</f>
        <v>1</v>
      </c>
      <c r="O9" s="118">
        <f>'T&amp;E'!O$19</f>
        <v>0</v>
      </c>
      <c r="P9" s="118">
        <f>'T&amp;E'!P$19</f>
        <v>0</v>
      </c>
      <c r="Q9" s="118">
        <f>'T&amp;E'!Q$19</f>
        <v>0</v>
      </c>
      <c r="R9" s="118">
        <f>'T&amp;E'!R$19</f>
        <v>0</v>
      </c>
      <c r="S9" s="118">
        <f>'T&amp;E'!S$19</f>
        <v>0</v>
      </c>
      <c r="T9" s="118">
        <f>'T&amp;E'!T$19</f>
        <v>0</v>
      </c>
      <c r="U9" s="118">
        <f>'T&amp;E'!U$19</f>
        <v>0</v>
      </c>
      <c r="V9" s="118">
        <f>'T&amp;E'!V$19</f>
        <v>0</v>
      </c>
      <c r="W9" s="118">
        <f>'T&amp;E'!W$19</f>
        <v>0</v>
      </c>
      <c r="X9" s="118">
        <f>'T&amp;E'!X$19</f>
        <v>0</v>
      </c>
      <c r="Y9" s="118">
        <f>'T&amp;E'!Y$19</f>
        <v>0</v>
      </c>
      <c r="Z9" s="118">
        <f>'T&amp;E'!Z$19</f>
        <v>0</v>
      </c>
      <c r="AA9" s="118">
        <f>'T&amp;E'!AA$19</f>
        <v>0</v>
      </c>
      <c r="AB9" s="118">
        <f>'T&amp;E'!AB$19</f>
        <v>0</v>
      </c>
      <c r="AC9" s="118">
        <f>'T&amp;E'!AC$19</f>
        <v>0</v>
      </c>
      <c r="AD9" s="118">
        <f>'T&amp;E'!AD$19</f>
        <v>0</v>
      </c>
      <c r="AE9" s="118">
        <f>'T&amp;E'!AE$19</f>
        <v>0</v>
      </c>
      <c r="AF9" s="118">
        <f>'T&amp;E'!AF$19</f>
        <v>0</v>
      </c>
      <c r="AG9" s="118">
        <f>'T&amp;E'!AG$19</f>
        <v>0</v>
      </c>
      <c r="AH9" s="118">
        <f>'T&amp;E'!AH$19</f>
        <v>0</v>
      </c>
      <c r="AI9" s="118">
        <f>'T&amp;E'!AI$19</f>
        <v>0</v>
      </c>
      <c r="AJ9" s="118">
        <f>'T&amp;E'!AJ$19</f>
        <v>0</v>
      </c>
      <c r="AK9" s="118">
        <f>'T&amp;E'!AK$19</f>
        <v>0</v>
      </c>
      <c r="AL9" s="118">
        <f>'T&amp;E'!AL$19</f>
        <v>0</v>
      </c>
      <c r="AM9" s="118">
        <f>'T&amp;E'!AM$19</f>
        <v>0</v>
      </c>
      <c r="AN9" s="118">
        <f>'T&amp;E'!AN$19</f>
        <v>0</v>
      </c>
      <c r="AO9" s="118">
        <f>'T&amp;E'!AO$19</f>
        <v>0</v>
      </c>
      <c r="AP9" s="118">
        <f>'T&amp;E'!AP$19</f>
        <v>0</v>
      </c>
      <c r="AQ9" s="118">
        <f>'T&amp;E'!AQ$19</f>
        <v>0</v>
      </c>
      <c r="AR9" s="118">
        <f>'T&amp;E'!AR$19</f>
        <v>0</v>
      </c>
      <c r="AS9" s="118">
        <f>'T&amp;E'!AS$19</f>
        <v>0</v>
      </c>
      <c r="AT9" s="118">
        <f>'T&amp;E'!AT$19</f>
        <v>0</v>
      </c>
      <c r="AU9" s="118">
        <f>'T&amp;E'!AU$19</f>
        <v>0</v>
      </c>
      <c r="AV9" s="118">
        <f>'T&amp;E'!AV$19</f>
        <v>0</v>
      </c>
      <c r="AW9" s="118">
        <f>'T&amp;E'!AW$19</f>
        <v>0</v>
      </c>
      <c r="AX9" s="118">
        <f>'T&amp;E'!AX$19</f>
        <v>0</v>
      </c>
      <c r="AY9" s="118">
        <f>'T&amp;E'!AY$19</f>
        <v>0</v>
      </c>
      <c r="AZ9" s="118">
        <f>'T&amp;E'!AZ$19</f>
        <v>0</v>
      </c>
      <c r="BA9" s="118">
        <f>'T&amp;E'!BA$19</f>
        <v>0</v>
      </c>
      <c r="BB9" s="118">
        <f>'T&amp;E'!BB$19</f>
        <v>0</v>
      </c>
      <c r="BC9" s="118">
        <f>'T&amp;E'!BC$19</f>
        <v>0</v>
      </c>
      <c r="BD9" s="118">
        <f>'T&amp;E'!BD$19</f>
        <v>0</v>
      </c>
      <c r="BE9" s="118">
        <f>'T&amp;E'!BE$19</f>
        <v>0</v>
      </c>
      <c r="BF9" s="118">
        <f>'T&amp;E'!BF$19</f>
        <v>0</v>
      </c>
      <c r="BG9" s="118">
        <f>'T&amp;E'!BG$19</f>
        <v>0</v>
      </c>
      <c r="BH9" s="118">
        <f>'T&amp;E'!BH$19</f>
        <v>0</v>
      </c>
      <c r="BI9" s="118">
        <f>'T&amp;E'!BI$19</f>
        <v>0</v>
      </c>
      <c r="BJ9" s="118">
        <f>'T&amp;E'!BJ$19</f>
        <v>0</v>
      </c>
      <c r="BK9" s="118">
        <f>'T&amp;E'!BK$19</f>
        <v>0</v>
      </c>
      <c r="BL9" s="118">
        <f>'T&amp;E'!BL$19</f>
        <v>0</v>
      </c>
      <c r="BM9" s="118">
        <f>'T&amp;E'!BM$19</f>
        <v>0</v>
      </c>
      <c r="BN9" s="118">
        <f>'T&amp;E'!BN$19</f>
        <v>0</v>
      </c>
      <c r="BO9" s="118">
        <f>'T&amp;E'!BO$19</f>
        <v>0</v>
      </c>
      <c r="BP9" s="118">
        <f>'T&amp;E'!BP$19</f>
        <v>0</v>
      </c>
      <c r="BQ9" s="118">
        <f>'T&amp;E'!BQ$19</f>
        <v>0</v>
      </c>
      <c r="BR9" s="118">
        <f>'T&amp;E'!BR$19</f>
        <v>0</v>
      </c>
      <c r="BS9" s="118">
        <f>'T&amp;E'!BS$19</f>
        <v>0</v>
      </c>
      <c r="BT9" s="118">
        <f>'T&amp;E'!BT$19</f>
        <v>0</v>
      </c>
      <c r="BU9" s="118">
        <f>'T&amp;E'!BU$19</f>
        <v>0</v>
      </c>
      <c r="BV9" s="118">
        <f>'T&amp;E'!BV$19</f>
        <v>0</v>
      </c>
      <c r="BW9" s="118">
        <f>'T&amp;E'!BW$19</f>
        <v>0</v>
      </c>
      <c r="BX9" s="118">
        <f>'T&amp;E'!BX$19</f>
        <v>0</v>
      </c>
      <c r="BY9" s="118">
        <f>'T&amp;E'!BY$19</f>
        <v>0</v>
      </c>
      <c r="BZ9" s="118">
        <f>'T&amp;E'!BZ$19</f>
        <v>0</v>
      </c>
      <c r="CA9" s="118">
        <f>'T&amp;E'!CA$19</f>
        <v>0</v>
      </c>
    </row>
    <row r="10" spans="1:79" s="122" customFormat="1" x14ac:dyDescent="0.2">
      <c r="A10" s="119"/>
      <c r="B10" s="119"/>
      <c r="C10" s="120"/>
      <c r="D10" s="121"/>
    </row>
    <row r="11" spans="1:79" s="122" customFormat="1" x14ac:dyDescent="0.2">
      <c r="A11" s="119"/>
      <c r="B11" s="119"/>
      <c r="C11" s="120"/>
      <c r="D11" s="121"/>
      <c r="E11" s="123" t="s">
        <v>30</v>
      </c>
      <c r="G11" s="124" t="str">
        <f xml:space="preserve"> SMU</f>
        <v>€ 000s</v>
      </c>
      <c r="J11" s="122">
        <f t="shared" ref="J11:AO11" si="0" xml:space="preserve"> I14</f>
        <v>0</v>
      </c>
      <c r="K11" s="122">
        <f t="shared" si="0"/>
        <v>0</v>
      </c>
      <c r="L11" s="122">
        <f t="shared" si="0"/>
        <v>0</v>
      </c>
      <c r="M11" s="122">
        <f t="shared" si="0"/>
        <v>0</v>
      </c>
      <c r="N11" s="122">
        <f t="shared" si="0"/>
        <v>0</v>
      </c>
      <c r="O11" s="122">
        <f t="shared" si="0"/>
        <v>0</v>
      </c>
      <c r="P11" s="122">
        <f t="shared" si="0"/>
        <v>0</v>
      </c>
      <c r="Q11" s="122">
        <f t="shared" si="0"/>
        <v>0</v>
      </c>
      <c r="R11" s="122">
        <f t="shared" si="0"/>
        <v>0</v>
      </c>
      <c r="S11" s="122">
        <f t="shared" si="0"/>
        <v>0</v>
      </c>
      <c r="T11" s="122">
        <f t="shared" si="0"/>
        <v>0</v>
      </c>
      <c r="U11" s="122">
        <f t="shared" si="0"/>
        <v>0</v>
      </c>
      <c r="V11" s="122">
        <f t="shared" si="0"/>
        <v>0</v>
      </c>
      <c r="W11" s="122">
        <f t="shared" si="0"/>
        <v>0</v>
      </c>
      <c r="X11" s="122">
        <f t="shared" si="0"/>
        <v>0</v>
      </c>
      <c r="Y11" s="122">
        <f t="shared" si="0"/>
        <v>0</v>
      </c>
      <c r="Z11" s="122">
        <f t="shared" si="0"/>
        <v>0</v>
      </c>
      <c r="AA11" s="122">
        <f t="shared" si="0"/>
        <v>0</v>
      </c>
      <c r="AB11" s="122">
        <f t="shared" si="0"/>
        <v>0</v>
      </c>
      <c r="AC11" s="122">
        <f t="shared" si="0"/>
        <v>0</v>
      </c>
      <c r="AD11" s="122">
        <f t="shared" si="0"/>
        <v>0</v>
      </c>
      <c r="AE11" s="122">
        <f t="shared" si="0"/>
        <v>0</v>
      </c>
      <c r="AF11" s="122">
        <f t="shared" si="0"/>
        <v>0</v>
      </c>
      <c r="AG11" s="122">
        <f t="shared" si="0"/>
        <v>0</v>
      </c>
      <c r="AH11" s="122">
        <f t="shared" si="0"/>
        <v>0</v>
      </c>
      <c r="AI11" s="122">
        <f t="shared" si="0"/>
        <v>0</v>
      </c>
      <c r="AJ11" s="122">
        <f t="shared" si="0"/>
        <v>0</v>
      </c>
      <c r="AK11" s="122">
        <f t="shared" si="0"/>
        <v>0</v>
      </c>
      <c r="AL11" s="122">
        <f t="shared" si="0"/>
        <v>0</v>
      </c>
      <c r="AM11" s="122">
        <f t="shared" si="0"/>
        <v>0</v>
      </c>
      <c r="AN11" s="122">
        <f t="shared" si="0"/>
        <v>0</v>
      </c>
      <c r="AO11" s="122">
        <f t="shared" si="0"/>
        <v>0</v>
      </c>
      <c r="AP11" s="122">
        <f t="shared" ref="AP11:BU11" si="1" xml:space="preserve"> AO14</f>
        <v>0</v>
      </c>
      <c r="AQ11" s="122">
        <f t="shared" si="1"/>
        <v>0</v>
      </c>
      <c r="AR11" s="122">
        <f t="shared" si="1"/>
        <v>0</v>
      </c>
      <c r="AS11" s="122">
        <f t="shared" si="1"/>
        <v>0</v>
      </c>
      <c r="AT11" s="122">
        <f t="shared" si="1"/>
        <v>0</v>
      </c>
      <c r="AU11" s="122">
        <f t="shared" si="1"/>
        <v>0</v>
      </c>
      <c r="AV11" s="122">
        <f t="shared" si="1"/>
        <v>0</v>
      </c>
      <c r="AW11" s="122">
        <f t="shared" si="1"/>
        <v>0</v>
      </c>
      <c r="AX11" s="122">
        <f t="shared" si="1"/>
        <v>0</v>
      </c>
      <c r="AY11" s="122">
        <f t="shared" si="1"/>
        <v>0</v>
      </c>
      <c r="AZ11" s="122">
        <f t="shared" si="1"/>
        <v>0</v>
      </c>
      <c r="BA11" s="122">
        <f t="shared" si="1"/>
        <v>0</v>
      </c>
      <c r="BB11" s="122">
        <f t="shared" si="1"/>
        <v>0</v>
      </c>
      <c r="BC11" s="122">
        <f t="shared" si="1"/>
        <v>0</v>
      </c>
      <c r="BD11" s="122">
        <f t="shared" si="1"/>
        <v>0</v>
      </c>
      <c r="BE11" s="122">
        <f t="shared" si="1"/>
        <v>0</v>
      </c>
      <c r="BF11" s="122">
        <f t="shared" si="1"/>
        <v>0</v>
      </c>
      <c r="BG11" s="122">
        <f t="shared" si="1"/>
        <v>0</v>
      </c>
      <c r="BH11" s="122">
        <f t="shared" si="1"/>
        <v>0</v>
      </c>
      <c r="BI11" s="122">
        <f t="shared" si="1"/>
        <v>0</v>
      </c>
      <c r="BJ11" s="122">
        <f t="shared" si="1"/>
        <v>0</v>
      </c>
      <c r="BK11" s="122">
        <f t="shared" si="1"/>
        <v>0</v>
      </c>
      <c r="BL11" s="122">
        <f t="shared" si="1"/>
        <v>0</v>
      </c>
      <c r="BM11" s="122">
        <f t="shared" si="1"/>
        <v>0</v>
      </c>
      <c r="BN11" s="122">
        <f t="shared" si="1"/>
        <v>0</v>
      </c>
      <c r="BO11" s="122">
        <f t="shared" si="1"/>
        <v>0</v>
      </c>
      <c r="BP11" s="122">
        <f t="shared" si="1"/>
        <v>0</v>
      </c>
      <c r="BQ11" s="122">
        <f t="shared" si="1"/>
        <v>0</v>
      </c>
      <c r="BR11" s="122">
        <f t="shared" si="1"/>
        <v>0</v>
      </c>
      <c r="BS11" s="122">
        <f t="shared" si="1"/>
        <v>0</v>
      </c>
      <c r="BT11" s="122">
        <f t="shared" si="1"/>
        <v>0</v>
      </c>
      <c r="BU11" s="122">
        <f t="shared" si="1"/>
        <v>0</v>
      </c>
      <c r="BV11" s="122">
        <f t="shared" ref="BV11:CA11" si="2" xml:space="preserve"> BU14</f>
        <v>0</v>
      </c>
      <c r="BW11" s="122">
        <f t="shared" si="2"/>
        <v>0</v>
      </c>
      <c r="BX11" s="122">
        <f t="shared" si="2"/>
        <v>0</v>
      </c>
      <c r="BY11" s="122">
        <f t="shared" si="2"/>
        <v>0</v>
      </c>
      <c r="BZ11" s="122">
        <f t="shared" si="2"/>
        <v>0</v>
      </c>
      <c r="CA11" s="122">
        <f t="shared" si="2"/>
        <v>0</v>
      </c>
    </row>
    <row r="12" spans="1:79" s="123" customFormat="1" x14ac:dyDescent="0.2">
      <c r="A12" s="125"/>
      <c r="B12" s="125"/>
      <c r="C12" s="126"/>
      <c r="D12" s="127" t="s">
        <v>23</v>
      </c>
      <c r="E12" s="123" t="s">
        <v>0</v>
      </c>
    </row>
    <row r="13" spans="1:79" s="123" customFormat="1" x14ac:dyDescent="0.2">
      <c r="A13" s="125"/>
      <c r="B13" s="125"/>
      <c r="C13" s="126"/>
      <c r="D13" s="127" t="s">
        <v>24</v>
      </c>
      <c r="E13" s="123" t="s">
        <v>31</v>
      </c>
    </row>
    <row r="14" spans="1:79" s="122" customFormat="1" ht="13.5" thickBot="1" x14ac:dyDescent="0.25">
      <c r="A14" s="119"/>
      <c r="B14" s="119"/>
      <c r="C14" s="120"/>
      <c r="D14" s="121"/>
      <c r="E14" s="123" t="s">
        <v>32</v>
      </c>
      <c r="G14" s="124" t="str">
        <f xml:space="preserve"> SMU</f>
        <v>€ 000s</v>
      </c>
      <c r="I14" s="128"/>
      <c r="J14" s="122">
        <f t="shared" ref="J14:AO14" si="3" xml:space="preserve"> IF( J9 = 1, $F8, J11 + J12 - J13)</f>
        <v>0</v>
      </c>
      <c r="K14" s="122">
        <f t="shared" si="3"/>
        <v>0</v>
      </c>
      <c r="L14" s="122">
        <f t="shared" si="3"/>
        <v>0</v>
      </c>
      <c r="M14" s="122">
        <f t="shared" si="3"/>
        <v>0</v>
      </c>
      <c r="N14" s="122">
        <f t="shared" si="3"/>
        <v>0</v>
      </c>
      <c r="O14" s="122">
        <f t="shared" si="3"/>
        <v>0</v>
      </c>
      <c r="P14" s="122">
        <f t="shared" si="3"/>
        <v>0</v>
      </c>
      <c r="Q14" s="122">
        <f t="shared" si="3"/>
        <v>0</v>
      </c>
      <c r="R14" s="122">
        <f t="shared" si="3"/>
        <v>0</v>
      </c>
      <c r="S14" s="122">
        <f t="shared" si="3"/>
        <v>0</v>
      </c>
      <c r="T14" s="122">
        <f t="shared" si="3"/>
        <v>0</v>
      </c>
      <c r="U14" s="122">
        <f t="shared" si="3"/>
        <v>0</v>
      </c>
      <c r="V14" s="122">
        <f t="shared" si="3"/>
        <v>0</v>
      </c>
      <c r="W14" s="122">
        <f t="shared" si="3"/>
        <v>0</v>
      </c>
      <c r="X14" s="122">
        <f t="shared" si="3"/>
        <v>0</v>
      </c>
      <c r="Y14" s="122">
        <f t="shared" si="3"/>
        <v>0</v>
      </c>
      <c r="Z14" s="122">
        <f t="shared" si="3"/>
        <v>0</v>
      </c>
      <c r="AA14" s="122">
        <f t="shared" si="3"/>
        <v>0</v>
      </c>
      <c r="AB14" s="122">
        <f t="shared" si="3"/>
        <v>0</v>
      </c>
      <c r="AC14" s="122">
        <f t="shared" si="3"/>
        <v>0</v>
      </c>
      <c r="AD14" s="122">
        <f t="shared" si="3"/>
        <v>0</v>
      </c>
      <c r="AE14" s="122">
        <f t="shared" si="3"/>
        <v>0</v>
      </c>
      <c r="AF14" s="122">
        <f t="shared" si="3"/>
        <v>0</v>
      </c>
      <c r="AG14" s="122">
        <f t="shared" si="3"/>
        <v>0</v>
      </c>
      <c r="AH14" s="122">
        <f t="shared" si="3"/>
        <v>0</v>
      </c>
      <c r="AI14" s="122">
        <f t="shared" si="3"/>
        <v>0</v>
      </c>
      <c r="AJ14" s="122">
        <f t="shared" si="3"/>
        <v>0</v>
      </c>
      <c r="AK14" s="122">
        <f t="shared" si="3"/>
        <v>0</v>
      </c>
      <c r="AL14" s="122">
        <f t="shared" si="3"/>
        <v>0</v>
      </c>
      <c r="AM14" s="122">
        <f t="shared" si="3"/>
        <v>0</v>
      </c>
      <c r="AN14" s="122">
        <f t="shared" si="3"/>
        <v>0</v>
      </c>
      <c r="AO14" s="122">
        <f t="shared" si="3"/>
        <v>0</v>
      </c>
      <c r="AP14" s="122">
        <f t="shared" ref="AP14:BU14" si="4" xml:space="preserve"> IF( AP9 = 1, $F8, AP11 + AP12 - AP13)</f>
        <v>0</v>
      </c>
      <c r="AQ14" s="122">
        <f t="shared" si="4"/>
        <v>0</v>
      </c>
      <c r="AR14" s="122">
        <f t="shared" si="4"/>
        <v>0</v>
      </c>
      <c r="AS14" s="122">
        <f t="shared" si="4"/>
        <v>0</v>
      </c>
      <c r="AT14" s="122">
        <f t="shared" si="4"/>
        <v>0</v>
      </c>
      <c r="AU14" s="122">
        <f t="shared" si="4"/>
        <v>0</v>
      </c>
      <c r="AV14" s="122">
        <f t="shared" si="4"/>
        <v>0</v>
      </c>
      <c r="AW14" s="122">
        <f t="shared" si="4"/>
        <v>0</v>
      </c>
      <c r="AX14" s="122">
        <f t="shared" si="4"/>
        <v>0</v>
      </c>
      <c r="AY14" s="122">
        <f t="shared" si="4"/>
        <v>0</v>
      </c>
      <c r="AZ14" s="122">
        <f t="shared" si="4"/>
        <v>0</v>
      </c>
      <c r="BA14" s="122">
        <f t="shared" si="4"/>
        <v>0</v>
      </c>
      <c r="BB14" s="122">
        <f t="shared" si="4"/>
        <v>0</v>
      </c>
      <c r="BC14" s="122">
        <f t="shared" si="4"/>
        <v>0</v>
      </c>
      <c r="BD14" s="122">
        <f t="shared" si="4"/>
        <v>0</v>
      </c>
      <c r="BE14" s="122">
        <f t="shared" si="4"/>
        <v>0</v>
      </c>
      <c r="BF14" s="122">
        <f t="shared" si="4"/>
        <v>0</v>
      </c>
      <c r="BG14" s="122">
        <f t="shared" si="4"/>
        <v>0</v>
      </c>
      <c r="BH14" s="122">
        <f t="shared" si="4"/>
        <v>0</v>
      </c>
      <c r="BI14" s="122">
        <f t="shared" si="4"/>
        <v>0</v>
      </c>
      <c r="BJ14" s="122">
        <f t="shared" si="4"/>
        <v>0</v>
      </c>
      <c r="BK14" s="122">
        <f t="shared" si="4"/>
        <v>0</v>
      </c>
      <c r="BL14" s="122">
        <f t="shared" si="4"/>
        <v>0</v>
      </c>
      <c r="BM14" s="122">
        <f t="shared" si="4"/>
        <v>0</v>
      </c>
      <c r="BN14" s="122">
        <f t="shared" si="4"/>
        <v>0</v>
      </c>
      <c r="BO14" s="122">
        <f t="shared" si="4"/>
        <v>0</v>
      </c>
      <c r="BP14" s="122">
        <f t="shared" si="4"/>
        <v>0</v>
      </c>
      <c r="BQ14" s="122">
        <f t="shared" si="4"/>
        <v>0</v>
      </c>
      <c r="BR14" s="122">
        <f t="shared" si="4"/>
        <v>0</v>
      </c>
      <c r="BS14" s="122">
        <f t="shared" si="4"/>
        <v>0</v>
      </c>
      <c r="BT14" s="122">
        <f t="shared" si="4"/>
        <v>0</v>
      </c>
      <c r="BU14" s="122">
        <f t="shared" si="4"/>
        <v>0</v>
      </c>
      <c r="BV14" s="122">
        <f t="shared" ref="BV14:CA14" si="5" xml:space="preserve"> IF( BV9 = 1, $F8, BV11 + BV12 - BV13)</f>
        <v>0</v>
      </c>
      <c r="BW14" s="122">
        <f t="shared" si="5"/>
        <v>0</v>
      </c>
      <c r="BX14" s="122">
        <f t="shared" si="5"/>
        <v>0</v>
      </c>
      <c r="BY14" s="122">
        <f t="shared" si="5"/>
        <v>0</v>
      </c>
      <c r="BZ14" s="122">
        <f t="shared" si="5"/>
        <v>0</v>
      </c>
      <c r="CA14" s="122">
        <f t="shared" si="5"/>
        <v>0</v>
      </c>
    </row>
    <row r="15" spans="1:79" s="133" customFormat="1" ht="13.5" thickTop="1" x14ac:dyDescent="0.2">
      <c r="A15" s="129"/>
      <c r="B15" s="130"/>
      <c r="C15" s="131"/>
      <c r="D15" s="132"/>
    </row>
    <row r="17" spans="1:79" x14ac:dyDescent="0.2">
      <c r="A17" s="81" t="s">
        <v>33</v>
      </c>
    </row>
    <row r="19" spans="1:79" x14ac:dyDescent="0.2">
      <c r="B19" s="81"/>
      <c r="C19" s="134"/>
      <c r="E19" s="135" t="s">
        <v>34</v>
      </c>
      <c r="F19" s="81"/>
      <c r="G19" s="85" t="s">
        <v>35</v>
      </c>
      <c r="H19" s="85">
        <f>SUM(J19:CA19)</f>
        <v>7000</v>
      </c>
      <c r="J19" s="136">
        <v>100</v>
      </c>
      <c r="K19" s="136">
        <v>100</v>
      </c>
      <c r="L19" s="136">
        <v>100</v>
      </c>
      <c r="M19" s="136">
        <v>100</v>
      </c>
      <c r="N19" s="136">
        <v>100</v>
      </c>
      <c r="O19" s="136">
        <v>100</v>
      </c>
      <c r="P19" s="136">
        <v>100</v>
      </c>
      <c r="Q19" s="136">
        <v>100</v>
      </c>
      <c r="R19" s="136">
        <v>100</v>
      </c>
      <c r="S19" s="136">
        <v>100</v>
      </c>
      <c r="T19" s="136">
        <v>100</v>
      </c>
      <c r="U19" s="136">
        <v>100</v>
      </c>
      <c r="V19" s="136">
        <v>100</v>
      </c>
      <c r="W19" s="136">
        <v>100</v>
      </c>
      <c r="X19" s="136">
        <v>100</v>
      </c>
      <c r="Y19" s="136">
        <v>100</v>
      </c>
      <c r="Z19" s="136">
        <v>100</v>
      </c>
      <c r="AA19" s="136">
        <v>100</v>
      </c>
      <c r="AB19" s="136">
        <v>100</v>
      </c>
      <c r="AC19" s="136">
        <v>100</v>
      </c>
      <c r="AD19" s="136">
        <v>100</v>
      </c>
      <c r="AE19" s="136">
        <v>100</v>
      </c>
      <c r="AF19" s="136">
        <v>100</v>
      </c>
      <c r="AG19" s="136">
        <v>100</v>
      </c>
      <c r="AH19" s="136">
        <v>100</v>
      </c>
      <c r="AI19" s="136">
        <v>100</v>
      </c>
      <c r="AJ19" s="136">
        <v>100</v>
      </c>
      <c r="AK19" s="136">
        <v>100</v>
      </c>
      <c r="AL19" s="136">
        <v>100</v>
      </c>
      <c r="AM19" s="136">
        <v>100</v>
      </c>
      <c r="AN19" s="136">
        <v>100</v>
      </c>
      <c r="AO19" s="136">
        <v>100</v>
      </c>
      <c r="AP19" s="136">
        <v>100</v>
      </c>
      <c r="AQ19" s="136">
        <v>100</v>
      </c>
      <c r="AR19" s="136">
        <v>100</v>
      </c>
      <c r="AS19" s="136">
        <v>100</v>
      </c>
      <c r="AT19" s="136">
        <v>100</v>
      </c>
      <c r="AU19" s="136">
        <v>100</v>
      </c>
      <c r="AV19" s="136">
        <v>100</v>
      </c>
      <c r="AW19" s="136">
        <v>100</v>
      </c>
      <c r="AX19" s="136">
        <v>100</v>
      </c>
      <c r="AY19" s="136">
        <v>100</v>
      </c>
      <c r="AZ19" s="136">
        <v>100</v>
      </c>
      <c r="BA19" s="136">
        <v>100</v>
      </c>
      <c r="BB19" s="136">
        <v>100</v>
      </c>
      <c r="BC19" s="136">
        <v>100</v>
      </c>
      <c r="BD19" s="136">
        <v>100</v>
      </c>
      <c r="BE19" s="136">
        <v>100</v>
      </c>
      <c r="BF19" s="136">
        <v>100</v>
      </c>
      <c r="BG19" s="136">
        <v>100</v>
      </c>
      <c r="BH19" s="136">
        <v>100</v>
      </c>
      <c r="BI19" s="136">
        <v>100</v>
      </c>
      <c r="BJ19" s="136">
        <v>100</v>
      </c>
      <c r="BK19" s="136">
        <v>100</v>
      </c>
      <c r="BL19" s="136">
        <v>100</v>
      </c>
      <c r="BM19" s="136">
        <v>100</v>
      </c>
      <c r="BN19" s="136">
        <v>100</v>
      </c>
      <c r="BO19" s="136">
        <v>100</v>
      </c>
      <c r="BP19" s="136">
        <v>100</v>
      </c>
      <c r="BQ19" s="136">
        <v>100</v>
      </c>
      <c r="BR19" s="136">
        <v>100</v>
      </c>
      <c r="BS19" s="136">
        <v>100</v>
      </c>
      <c r="BT19" s="136">
        <v>100</v>
      </c>
      <c r="BU19" s="136">
        <v>100</v>
      </c>
      <c r="BV19" s="136">
        <v>100</v>
      </c>
      <c r="BW19" s="136">
        <v>100</v>
      </c>
      <c r="BX19" s="136">
        <v>100</v>
      </c>
      <c r="BY19" s="136">
        <v>100</v>
      </c>
      <c r="BZ19" s="136">
        <v>100</v>
      </c>
      <c r="CA19" s="136">
        <v>100</v>
      </c>
    </row>
    <row r="20" spans="1:79" s="140" customFormat="1" x14ac:dyDescent="0.2">
      <c r="A20" s="137"/>
      <c r="B20" s="137"/>
      <c r="C20" s="138"/>
      <c r="D20" s="139"/>
      <c r="E20" s="140" t="str">
        <f xml:space="preserve"> LEFT(E19, LEN(E19) - 4)</f>
        <v>Sign switch line item</v>
      </c>
      <c r="G20" s="140" t="str">
        <f xml:space="preserve"> G19</f>
        <v>units</v>
      </c>
      <c r="H20" s="140">
        <f>SUM(J20:CA20)</f>
        <v>-7000</v>
      </c>
      <c r="J20" s="140">
        <f t="shared" ref="J20:AO20" si="6" xml:space="preserve"> -1 * J19</f>
        <v>-100</v>
      </c>
      <c r="K20" s="140">
        <f t="shared" si="6"/>
        <v>-100</v>
      </c>
      <c r="L20" s="140">
        <f t="shared" si="6"/>
        <v>-100</v>
      </c>
      <c r="M20" s="140">
        <f t="shared" si="6"/>
        <v>-100</v>
      </c>
      <c r="N20" s="140">
        <f t="shared" si="6"/>
        <v>-100</v>
      </c>
      <c r="O20" s="140">
        <f t="shared" si="6"/>
        <v>-100</v>
      </c>
      <c r="P20" s="140">
        <f t="shared" si="6"/>
        <v>-100</v>
      </c>
      <c r="Q20" s="140">
        <f t="shared" si="6"/>
        <v>-100</v>
      </c>
      <c r="R20" s="140">
        <f t="shared" si="6"/>
        <v>-100</v>
      </c>
      <c r="S20" s="140">
        <f t="shared" si="6"/>
        <v>-100</v>
      </c>
      <c r="T20" s="140">
        <f t="shared" si="6"/>
        <v>-100</v>
      </c>
      <c r="U20" s="140">
        <f t="shared" si="6"/>
        <v>-100</v>
      </c>
      <c r="V20" s="140">
        <f t="shared" si="6"/>
        <v>-100</v>
      </c>
      <c r="W20" s="140">
        <f t="shared" si="6"/>
        <v>-100</v>
      </c>
      <c r="X20" s="140">
        <f t="shared" si="6"/>
        <v>-100</v>
      </c>
      <c r="Y20" s="140">
        <f t="shared" si="6"/>
        <v>-100</v>
      </c>
      <c r="Z20" s="140">
        <f t="shared" si="6"/>
        <v>-100</v>
      </c>
      <c r="AA20" s="140">
        <f t="shared" si="6"/>
        <v>-100</v>
      </c>
      <c r="AB20" s="140">
        <f t="shared" si="6"/>
        <v>-100</v>
      </c>
      <c r="AC20" s="140">
        <f t="shared" si="6"/>
        <v>-100</v>
      </c>
      <c r="AD20" s="140">
        <f t="shared" si="6"/>
        <v>-100</v>
      </c>
      <c r="AE20" s="140">
        <f t="shared" si="6"/>
        <v>-100</v>
      </c>
      <c r="AF20" s="140">
        <f t="shared" si="6"/>
        <v>-100</v>
      </c>
      <c r="AG20" s="140">
        <f t="shared" si="6"/>
        <v>-100</v>
      </c>
      <c r="AH20" s="140">
        <f t="shared" si="6"/>
        <v>-100</v>
      </c>
      <c r="AI20" s="140">
        <f t="shared" si="6"/>
        <v>-100</v>
      </c>
      <c r="AJ20" s="140">
        <f t="shared" si="6"/>
        <v>-100</v>
      </c>
      <c r="AK20" s="140">
        <f t="shared" si="6"/>
        <v>-100</v>
      </c>
      <c r="AL20" s="140">
        <f t="shared" si="6"/>
        <v>-100</v>
      </c>
      <c r="AM20" s="140">
        <f t="shared" si="6"/>
        <v>-100</v>
      </c>
      <c r="AN20" s="140">
        <f t="shared" si="6"/>
        <v>-100</v>
      </c>
      <c r="AO20" s="140">
        <f t="shared" si="6"/>
        <v>-100</v>
      </c>
      <c r="AP20" s="140">
        <f t="shared" ref="AP20:BU20" si="7" xml:space="preserve"> -1 * AP19</f>
        <v>-100</v>
      </c>
      <c r="AQ20" s="140">
        <f t="shared" si="7"/>
        <v>-100</v>
      </c>
      <c r="AR20" s="140">
        <f t="shared" si="7"/>
        <v>-100</v>
      </c>
      <c r="AS20" s="140">
        <f t="shared" si="7"/>
        <v>-100</v>
      </c>
      <c r="AT20" s="140">
        <f t="shared" si="7"/>
        <v>-100</v>
      </c>
      <c r="AU20" s="140">
        <f t="shared" si="7"/>
        <v>-100</v>
      </c>
      <c r="AV20" s="140">
        <f t="shared" si="7"/>
        <v>-100</v>
      </c>
      <c r="AW20" s="140">
        <f t="shared" si="7"/>
        <v>-100</v>
      </c>
      <c r="AX20" s="140">
        <f t="shared" si="7"/>
        <v>-100</v>
      </c>
      <c r="AY20" s="140">
        <f t="shared" si="7"/>
        <v>-100</v>
      </c>
      <c r="AZ20" s="140">
        <f t="shared" si="7"/>
        <v>-100</v>
      </c>
      <c r="BA20" s="140">
        <f t="shared" si="7"/>
        <v>-100</v>
      </c>
      <c r="BB20" s="140">
        <f t="shared" si="7"/>
        <v>-100</v>
      </c>
      <c r="BC20" s="140">
        <f t="shared" si="7"/>
        <v>-100</v>
      </c>
      <c r="BD20" s="140">
        <f t="shared" si="7"/>
        <v>-100</v>
      </c>
      <c r="BE20" s="140">
        <f t="shared" si="7"/>
        <v>-100</v>
      </c>
      <c r="BF20" s="140">
        <f t="shared" si="7"/>
        <v>-100</v>
      </c>
      <c r="BG20" s="140">
        <f t="shared" si="7"/>
        <v>-100</v>
      </c>
      <c r="BH20" s="140">
        <f t="shared" si="7"/>
        <v>-100</v>
      </c>
      <c r="BI20" s="140">
        <f t="shared" si="7"/>
        <v>-100</v>
      </c>
      <c r="BJ20" s="140">
        <f t="shared" si="7"/>
        <v>-100</v>
      </c>
      <c r="BK20" s="140">
        <f t="shared" si="7"/>
        <v>-100</v>
      </c>
      <c r="BL20" s="140">
        <f t="shared" si="7"/>
        <v>-100</v>
      </c>
      <c r="BM20" s="140">
        <f t="shared" si="7"/>
        <v>-100</v>
      </c>
      <c r="BN20" s="140">
        <f t="shared" si="7"/>
        <v>-100</v>
      </c>
      <c r="BO20" s="140">
        <f t="shared" si="7"/>
        <v>-100</v>
      </c>
      <c r="BP20" s="140">
        <f t="shared" si="7"/>
        <v>-100</v>
      </c>
      <c r="BQ20" s="140">
        <f t="shared" si="7"/>
        <v>-100</v>
      </c>
      <c r="BR20" s="140">
        <f t="shared" si="7"/>
        <v>-100</v>
      </c>
      <c r="BS20" s="140">
        <f t="shared" si="7"/>
        <v>-100</v>
      </c>
      <c r="BT20" s="140">
        <f t="shared" si="7"/>
        <v>-100</v>
      </c>
      <c r="BU20" s="140">
        <f t="shared" si="7"/>
        <v>-100</v>
      </c>
      <c r="BV20" s="140">
        <f t="shared" ref="BV20:CA20" si="8" xml:space="preserve"> -1 * BV19</f>
        <v>-100</v>
      </c>
      <c r="BW20" s="140">
        <f t="shared" si="8"/>
        <v>-100</v>
      </c>
      <c r="BX20" s="140">
        <f t="shared" si="8"/>
        <v>-100</v>
      </c>
      <c r="BY20" s="140">
        <f t="shared" si="8"/>
        <v>-100</v>
      </c>
      <c r="BZ20" s="140">
        <f t="shared" si="8"/>
        <v>-100</v>
      </c>
      <c r="CA20" s="140">
        <f t="shared" si="8"/>
        <v>-100</v>
      </c>
    </row>
  </sheetData>
  <phoneticPr fontId="2" type="noConversion"/>
  <printOptions heading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&amp;L&amp;"Arial,Bold"&amp;14Financial Mechanics Training Model&amp;C&amp;"Arial,Bold"&amp;14Sheet: &amp;A&amp;R&amp;"Arial,Bold"&amp;14STRICTLY NOT CONFIDENTIAL</oddHeader>
    <oddFooter>&amp;L&amp;12&amp;F (Printed on &amp;D at &amp;T) &amp;C&amp;12Page &amp;P of &amp;N&amp;R&amp;12© 2008 Financial Mechanics Ltd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InpC</vt:lpstr>
      <vt:lpstr>InpS</vt:lpstr>
      <vt:lpstr>ConTime</vt:lpstr>
      <vt:lpstr>ConCost</vt:lpstr>
      <vt:lpstr>ConFin</vt:lpstr>
      <vt:lpstr>T&amp;E</vt:lpstr>
      <vt:lpstr>Rev</vt:lpstr>
      <vt:lpstr>Opex</vt:lpstr>
      <vt:lpstr>FixAsst</vt:lpstr>
      <vt:lpstr>SrDebt</vt:lpstr>
      <vt:lpstr>DSRA</vt:lpstr>
      <vt:lpstr>Tax</vt:lpstr>
      <vt:lpstr>Equity</vt:lpstr>
      <vt:lpstr>Finstat</vt:lpstr>
      <vt:lpstr>Ratios</vt:lpstr>
      <vt:lpstr>Returns</vt:lpstr>
      <vt:lpstr>{Tmp}</vt:lpstr>
      <vt:lpstr>DSCR</vt:lpstr>
      <vt:lpstr>Curr_Unit</vt:lpstr>
      <vt:lpstr>SMU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John Richter</cp:lastModifiedBy>
  <cp:lastPrinted>2008-10-15T15:36:30Z</cp:lastPrinted>
  <dcterms:created xsi:type="dcterms:W3CDTF">2004-05-12T17:06:52Z</dcterms:created>
  <dcterms:modified xsi:type="dcterms:W3CDTF">2013-06-05T17:10:01Z</dcterms:modified>
</cp:coreProperties>
</file>